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Ex1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3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4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Harold Jeancarlos GT\Desktop\"/>
    </mc:Choice>
  </mc:AlternateContent>
  <xr:revisionPtr revIDLastSave="0" documentId="13_ncr:1_{816DFAF4-BA32-4483-ACF7-7AA63E2401D8}" xr6:coauthVersionLast="45" xr6:coauthVersionMax="45" xr10:uidLastSave="{00000000-0000-0000-0000-000000000000}"/>
  <bookViews>
    <workbookView xWindow="-120" yWindow="-120" windowWidth="24240" windowHeight="13140" tabRatio="810" firstSheet="4" activeTab="15" xr2:uid="{00000000-000D-0000-FFFF-FFFF00000000}"/>
  </bookViews>
  <sheets>
    <sheet name="Ahuchapan" sheetId="1" r:id="rId1"/>
    <sheet name="Santa Ana" sheetId="20" r:id="rId2"/>
    <sheet name="Sonsonate" sheetId="21" r:id="rId3"/>
    <sheet name="La Libertad" sheetId="22" r:id="rId4"/>
    <sheet name="Chalatenango" sheetId="23" r:id="rId5"/>
    <sheet name="San Salvador" sheetId="24" r:id="rId6"/>
    <sheet name="Cuscatlan" sheetId="25" r:id="rId7"/>
    <sheet name="Cabañas" sheetId="26" r:id="rId8"/>
    <sheet name="La Paz" sheetId="27" r:id="rId9"/>
    <sheet name="San Vicente" sheetId="28" r:id="rId10"/>
    <sheet name="Usulutan" sheetId="29" r:id="rId11"/>
    <sheet name="San Miguel" sheetId="30" r:id="rId12"/>
    <sheet name="Morazan" sheetId="31" r:id="rId13"/>
    <sheet name="La Union" sheetId="32" r:id="rId14"/>
    <sheet name="Datos" sheetId="33" r:id="rId15"/>
    <sheet name="Simulacion" sheetId="19" r:id="rId16"/>
    <sheet name="Hoja1" sheetId="34" r:id="rId17"/>
  </sheets>
  <definedNames>
    <definedName name="_xlchart.v5.0" hidden="1">Datos!$B$3:$C$3</definedName>
    <definedName name="_xlchart.v5.1" hidden="1">Datos!$B$4:$C$17</definedName>
    <definedName name="_xlchart.v5.2" hidden="1">Datos!$D$3</definedName>
    <definedName name="_xlchart.v5.3" hidden="1">Datos!$D$4:$D$17</definedName>
    <definedName name="_xlcn.WorksheetConnection_Tabla131" hidden="1">Tabla13[]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13" name="Tabla13" connection="WorksheetConnection_Tabla13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5" i="21" l="1"/>
  <c r="G7" i="33"/>
  <c r="N9" i="32" s="1"/>
  <c r="G6" i="33"/>
  <c r="N8" i="29" s="1"/>
  <c r="G5" i="33"/>
  <c r="N7" i="31" s="1"/>
  <c r="G4" i="33"/>
  <c r="N6" i="31" s="1"/>
  <c r="G3" i="33"/>
  <c r="N5" i="32" s="1"/>
  <c r="N5" i="25" l="1"/>
  <c r="N5" i="29"/>
  <c r="N5" i="30"/>
  <c r="N9" i="22"/>
  <c r="N9" i="24"/>
  <c r="N9" i="29"/>
  <c r="N8" i="1"/>
  <c r="N8" i="26"/>
  <c r="N7" i="1"/>
  <c r="N8" i="28"/>
  <c r="N8" i="31"/>
  <c r="N9" i="1"/>
  <c r="N8" i="21"/>
  <c r="N8" i="23"/>
  <c r="N9" i="26"/>
  <c r="N9" i="28"/>
  <c r="N9" i="31"/>
  <c r="N8" i="20"/>
  <c r="N9" i="21"/>
  <c r="N9" i="23"/>
  <c r="N8" i="25"/>
  <c r="N8" i="27"/>
  <c r="N8" i="30"/>
  <c r="N8" i="32"/>
  <c r="N9" i="20"/>
  <c r="N8" i="22"/>
  <c r="N8" i="24"/>
  <c r="N9" i="25"/>
  <c r="N9" i="27"/>
  <c r="N9" i="30"/>
  <c r="N7" i="24"/>
  <c r="N7" i="28"/>
  <c r="N7" i="30"/>
  <c r="N7" i="22"/>
  <c r="N7" i="27"/>
  <c r="N7" i="23"/>
  <c r="N7" i="29"/>
  <c r="N7" i="20"/>
  <c r="N7" i="21"/>
  <c r="N7" i="26"/>
  <c r="N7" i="32"/>
  <c r="N7" i="25"/>
  <c r="N6" i="32"/>
  <c r="N6" i="28"/>
  <c r="N6" i="24"/>
  <c r="N6" i="21"/>
  <c r="N6" i="20"/>
  <c r="N6" i="25"/>
  <c r="I5" i="25" s="1"/>
  <c r="N5" i="1"/>
  <c r="N6" i="22"/>
  <c r="N5" i="23"/>
  <c r="N6" i="26"/>
  <c r="N5" i="27"/>
  <c r="N6" i="30"/>
  <c r="N5" i="31"/>
  <c r="N5" i="22"/>
  <c r="N5" i="26"/>
  <c r="N6" i="29"/>
  <c r="N6" i="1"/>
  <c r="N5" i="20"/>
  <c r="N6" i="23"/>
  <c r="N5" i="24"/>
  <c r="N6" i="27"/>
  <c r="N5" i="28"/>
  <c r="D4" i="32"/>
  <c r="D4" i="31"/>
  <c r="N14" i="31" s="1"/>
  <c r="D4" i="30"/>
  <c r="D4" i="29"/>
  <c r="N14" i="29" s="1"/>
  <c r="D4" i="28"/>
  <c r="N14" i="28" s="1"/>
  <c r="D4" i="27"/>
  <c r="D4" i="26"/>
  <c r="N14" i="26" s="1"/>
  <c r="N14" i="25"/>
  <c r="D4" i="25"/>
  <c r="D4" i="24"/>
  <c r="D4" i="23"/>
  <c r="I5" i="28" l="1"/>
  <c r="D5" i="28" s="1"/>
  <c r="I5" i="29"/>
  <c r="D5" i="29" s="1"/>
  <c r="D5" i="25"/>
  <c r="I5" i="24"/>
  <c r="I5" i="31"/>
  <c r="N14" i="30"/>
  <c r="I5" i="30"/>
  <c r="N14" i="32"/>
  <c r="I5" i="32"/>
  <c r="I5" i="26"/>
  <c r="N14" i="27"/>
  <c r="I5" i="27"/>
  <c r="D5" i="32" l="1"/>
  <c r="D5" i="26"/>
  <c r="D5" i="27"/>
  <c r="D5" i="24"/>
  <c r="D5" i="31"/>
  <c r="D5" i="30"/>
  <c r="D4" i="22" l="1"/>
  <c r="D4" i="21" l="1"/>
  <c r="D4" i="20"/>
  <c r="K5" i="31" l="1"/>
  <c r="G5" i="31" s="1"/>
  <c r="K5" i="27"/>
  <c r="G5" i="27" s="1"/>
  <c r="K5" i="32"/>
  <c r="G5" i="32" s="1"/>
  <c r="K5" i="29"/>
  <c r="G5" i="29" s="1"/>
  <c r="K5" i="25"/>
  <c r="G5" i="25" s="1"/>
  <c r="K5" i="24"/>
  <c r="G5" i="24" s="1"/>
  <c r="K5" i="26"/>
  <c r="G5" i="26" s="1"/>
  <c r="K5" i="30"/>
  <c r="G5" i="30" s="1"/>
  <c r="K5" i="28"/>
  <c r="G5" i="28" s="1"/>
  <c r="J5" i="24"/>
  <c r="J5" i="27"/>
  <c r="J5" i="25"/>
  <c r="J5" i="31"/>
  <c r="K5" i="23"/>
  <c r="G5" i="23" s="1"/>
  <c r="I5" i="1"/>
  <c r="I5" i="23"/>
  <c r="K5" i="22"/>
  <c r="I5" i="20"/>
  <c r="J5" i="20"/>
  <c r="F5" i="20" s="1"/>
  <c r="K5" i="21"/>
  <c r="D4" i="1"/>
  <c r="J5" i="1"/>
  <c r="F5" i="1" s="1"/>
  <c r="D5" i="20" l="1"/>
  <c r="K5" i="1"/>
  <c r="G5" i="1" s="1"/>
  <c r="J5" i="29"/>
  <c r="F5" i="29" s="1"/>
  <c r="J5" i="30"/>
  <c r="F5" i="30" s="1"/>
  <c r="J5" i="23"/>
  <c r="F5" i="23" s="1"/>
  <c r="J5" i="28"/>
  <c r="F5" i="28" s="1"/>
  <c r="J5" i="32"/>
  <c r="E5" i="32" s="1"/>
  <c r="J5" i="26"/>
  <c r="E5" i="26" s="1"/>
  <c r="F5" i="31"/>
  <c r="E5" i="31"/>
  <c r="F5" i="25"/>
  <c r="E5" i="25"/>
  <c r="E5" i="27"/>
  <c r="F5" i="27"/>
  <c r="F5" i="24"/>
  <c r="E5" i="24"/>
  <c r="J5" i="22"/>
  <c r="F5" i="22" s="1"/>
  <c r="K5" i="20"/>
  <c r="G5" i="20" s="1"/>
  <c r="D5" i="23"/>
  <c r="I5" i="22"/>
  <c r="I5" i="21"/>
  <c r="G5" i="22"/>
  <c r="J5" i="21"/>
  <c r="F5" i="21" s="1"/>
  <c r="G5" i="21"/>
  <c r="D5" i="1"/>
  <c r="E5" i="1"/>
  <c r="E5" i="28" l="1"/>
  <c r="F5" i="32"/>
  <c r="E5" i="30"/>
  <c r="K6" i="30" s="1"/>
  <c r="D5" i="21"/>
  <c r="D5" i="22"/>
  <c r="E5" i="29"/>
  <c r="J6" i="29" s="1"/>
  <c r="F6" i="29" s="1"/>
  <c r="F5" i="26"/>
  <c r="I6" i="26" s="1"/>
  <c r="E5" i="20"/>
  <c r="J6" i="20" s="1"/>
  <c r="F6" i="20" s="1"/>
  <c r="E5" i="23"/>
  <c r="I6" i="28"/>
  <c r="K6" i="28"/>
  <c r="J6" i="28"/>
  <c r="J6" i="27"/>
  <c r="K6" i="27"/>
  <c r="I6" i="27"/>
  <c r="K6" i="26"/>
  <c r="J6" i="26"/>
  <c r="I6" i="24"/>
  <c r="K6" i="24"/>
  <c r="J6" i="24"/>
  <c r="F6" i="24" s="1"/>
  <c r="J6" i="32"/>
  <c r="I6" i="32"/>
  <c r="K6" i="32"/>
  <c r="I6" i="25"/>
  <c r="K6" i="25"/>
  <c r="J6" i="25"/>
  <c r="F6" i="25" s="1"/>
  <c r="J6" i="31"/>
  <c r="K6" i="31"/>
  <c r="I6" i="31"/>
  <c r="E5" i="22"/>
  <c r="E5" i="21"/>
  <c r="J6" i="1"/>
  <c r="F6" i="1" s="1"/>
  <c r="I6" i="1"/>
  <c r="K6" i="1"/>
  <c r="G6" i="1" s="1"/>
  <c r="J6" i="30" l="1"/>
  <c r="F6" i="26"/>
  <c r="I6" i="30"/>
  <c r="K6" i="29"/>
  <c r="G6" i="29" s="1"/>
  <c r="I6" i="29"/>
  <c r="K6" i="20"/>
  <c r="G6" i="20" s="1"/>
  <c r="I6" i="21"/>
  <c r="J6" i="22"/>
  <c r="F6" i="22" s="1"/>
  <c r="D6" i="32"/>
  <c r="D6" i="28"/>
  <c r="D6" i="26"/>
  <c r="J6" i="23"/>
  <c r="F6" i="23" s="1"/>
  <c r="I6" i="20"/>
  <c r="K6" i="23"/>
  <c r="G6" i="23" s="1"/>
  <c r="I6" i="23"/>
  <c r="E6" i="25"/>
  <c r="E6" i="27"/>
  <c r="E6" i="32"/>
  <c r="J7" i="32" s="1"/>
  <c r="E6" i="31"/>
  <c r="D6" i="31"/>
  <c r="G6" i="24"/>
  <c r="G6" i="30"/>
  <c r="G6" i="27"/>
  <c r="G6" i="28"/>
  <c r="D6" i="24"/>
  <c r="G6" i="26"/>
  <c r="F6" i="27"/>
  <c r="G6" i="31"/>
  <c r="G6" i="32"/>
  <c r="F6" i="31"/>
  <c r="G6" i="25"/>
  <c r="E6" i="24"/>
  <c r="E6" i="26"/>
  <c r="E6" i="28"/>
  <c r="D6" i="25"/>
  <c r="F6" i="32"/>
  <c r="D6" i="27"/>
  <c r="F6" i="28"/>
  <c r="F6" i="30"/>
  <c r="K6" i="22"/>
  <c r="G6" i="22" s="1"/>
  <c r="I6" i="22"/>
  <c r="K6" i="21"/>
  <c r="G6" i="21" s="1"/>
  <c r="J6" i="21"/>
  <c r="F6" i="21" s="1"/>
  <c r="D6" i="1"/>
  <c r="E6" i="1"/>
  <c r="E6" i="30" l="1"/>
  <c r="E6" i="20"/>
  <c r="K7" i="20" s="1"/>
  <c r="G7" i="20" s="1"/>
  <c r="D6" i="30"/>
  <c r="D6" i="20"/>
  <c r="E6" i="29"/>
  <c r="J7" i="29" s="1"/>
  <c r="F7" i="29" s="1"/>
  <c r="D6" i="29"/>
  <c r="E6" i="23"/>
  <c r="J7" i="23" s="1"/>
  <c r="F7" i="23" s="1"/>
  <c r="K7" i="27"/>
  <c r="G7" i="27" s="1"/>
  <c r="J7" i="25"/>
  <c r="F7" i="25" s="1"/>
  <c r="D6" i="21"/>
  <c r="D6" i="22"/>
  <c r="K7" i="32"/>
  <c r="G7" i="32" s="1"/>
  <c r="D6" i="23"/>
  <c r="F7" i="32"/>
  <c r="K7" i="25"/>
  <c r="G7" i="25" s="1"/>
  <c r="J7" i="27"/>
  <c r="F7" i="27" s="1"/>
  <c r="K7" i="30"/>
  <c r="G7" i="30" s="1"/>
  <c r="J7" i="30"/>
  <c r="F7" i="30" s="1"/>
  <c r="K7" i="24"/>
  <c r="G7" i="24" s="1"/>
  <c r="I7" i="24"/>
  <c r="J7" i="24"/>
  <c r="I7" i="27"/>
  <c r="K7" i="28"/>
  <c r="J7" i="28"/>
  <c r="I7" i="28"/>
  <c r="I7" i="25"/>
  <c r="K7" i="26"/>
  <c r="G7" i="26" s="1"/>
  <c r="J7" i="26"/>
  <c r="I7" i="26"/>
  <c r="I7" i="32"/>
  <c r="J7" i="31"/>
  <c r="K7" i="31"/>
  <c r="I7" i="31"/>
  <c r="E6" i="22"/>
  <c r="E6" i="21"/>
  <c r="I7" i="1"/>
  <c r="K7" i="1"/>
  <c r="G7" i="1" s="1"/>
  <c r="J7" i="1"/>
  <c r="F7" i="1" s="1"/>
  <c r="I7" i="30" l="1"/>
  <c r="D7" i="30" s="1"/>
  <c r="I7" i="20"/>
  <c r="D7" i="20" s="1"/>
  <c r="J7" i="20"/>
  <c r="F7" i="20" s="1"/>
  <c r="I7" i="29"/>
  <c r="D7" i="29" s="1"/>
  <c r="K7" i="29"/>
  <c r="G7" i="29" s="1"/>
  <c r="I7" i="23"/>
  <c r="D7" i="23" s="1"/>
  <c r="K7" i="23"/>
  <c r="G7" i="23" s="1"/>
  <c r="I7" i="21"/>
  <c r="K7" i="22"/>
  <c r="G7" i="22" s="1"/>
  <c r="D7" i="26"/>
  <c r="D7" i="25"/>
  <c r="D7" i="27"/>
  <c r="D7" i="28"/>
  <c r="E7" i="31"/>
  <c r="K8" i="31" s="1"/>
  <c r="E7" i="26"/>
  <c r="E7" i="30"/>
  <c r="G7" i="31"/>
  <c r="D7" i="32"/>
  <c r="E7" i="32"/>
  <c r="D7" i="31"/>
  <c r="E7" i="28"/>
  <c r="E7" i="24"/>
  <c r="D7" i="24"/>
  <c r="F7" i="31"/>
  <c r="I7" i="22"/>
  <c r="F7" i="28"/>
  <c r="E7" i="25"/>
  <c r="F7" i="26"/>
  <c r="E7" i="27"/>
  <c r="F7" i="24"/>
  <c r="G7" i="28"/>
  <c r="J7" i="22"/>
  <c r="F7" i="22" s="1"/>
  <c r="J7" i="21"/>
  <c r="F7" i="21" s="1"/>
  <c r="K7" i="21"/>
  <c r="G7" i="21" s="1"/>
  <c r="E7" i="1"/>
  <c r="D7" i="1"/>
  <c r="E7" i="20" l="1"/>
  <c r="K8" i="20" s="1"/>
  <c r="G8" i="20" s="1"/>
  <c r="E7" i="29"/>
  <c r="J8" i="29" s="1"/>
  <c r="I8" i="31"/>
  <c r="D8" i="31" s="1"/>
  <c r="E7" i="23"/>
  <c r="J8" i="23" s="1"/>
  <c r="F8" i="23" s="1"/>
  <c r="I8" i="30"/>
  <c r="D7" i="21"/>
  <c r="K8" i="26"/>
  <c r="G8" i="26" s="1"/>
  <c r="J8" i="31"/>
  <c r="F8" i="31" s="1"/>
  <c r="D7" i="22"/>
  <c r="K8" i="1"/>
  <c r="G8" i="1" s="1"/>
  <c r="G8" i="31"/>
  <c r="J8" i="26"/>
  <c r="F8" i="26" s="1"/>
  <c r="E7" i="22"/>
  <c r="K8" i="22" s="1"/>
  <c r="G8" i="22" s="1"/>
  <c r="K8" i="30"/>
  <c r="G8" i="30" s="1"/>
  <c r="J8" i="30"/>
  <c r="F8" i="30" s="1"/>
  <c r="K8" i="27"/>
  <c r="I8" i="27"/>
  <c r="J8" i="27"/>
  <c r="K8" i="24"/>
  <c r="J8" i="24"/>
  <c r="I8" i="24"/>
  <c r="D8" i="24" s="1"/>
  <c r="I8" i="26"/>
  <c r="I8" i="25"/>
  <c r="J8" i="25"/>
  <c r="K8" i="25"/>
  <c r="J8" i="28"/>
  <c r="I8" i="28"/>
  <c r="K8" i="28"/>
  <c r="J8" i="32"/>
  <c r="I8" i="32"/>
  <c r="K8" i="32"/>
  <c r="E7" i="21"/>
  <c r="I8" i="20"/>
  <c r="J8" i="1"/>
  <c r="F8" i="1" s="1"/>
  <c r="I8" i="1"/>
  <c r="D8" i="1" s="1"/>
  <c r="J8" i="20" l="1"/>
  <c r="F8" i="20" s="1"/>
  <c r="I8" i="29"/>
  <c r="D8" i="29" s="1"/>
  <c r="K8" i="29"/>
  <c r="G8" i="29" s="1"/>
  <c r="I8" i="23"/>
  <c r="D8" i="23" s="1"/>
  <c r="E8" i="31"/>
  <c r="K9" i="31" s="1"/>
  <c r="G9" i="31" s="1"/>
  <c r="K8" i="23"/>
  <c r="G8" i="23" s="1"/>
  <c r="J8" i="21"/>
  <c r="F8" i="21" s="1"/>
  <c r="D8" i="28"/>
  <c r="D8" i="20"/>
  <c r="D8" i="32"/>
  <c r="J8" i="22"/>
  <c r="F8" i="22" s="1"/>
  <c r="D8" i="30"/>
  <c r="I8" i="22"/>
  <c r="E8" i="27"/>
  <c r="J9" i="27" s="1"/>
  <c r="I8" i="21"/>
  <c r="E8" i="30"/>
  <c r="E8" i="32"/>
  <c r="G8" i="32"/>
  <c r="G8" i="25"/>
  <c r="G8" i="28"/>
  <c r="F8" i="25"/>
  <c r="D8" i="26"/>
  <c r="E8" i="26"/>
  <c r="G8" i="24"/>
  <c r="F8" i="27"/>
  <c r="F8" i="32"/>
  <c r="F8" i="29"/>
  <c r="D8" i="25"/>
  <c r="F8" i="28"/>
  <c r="D8" i="27"/>
  <c r="K8" i="21"/>
  <c r="G8" i="21" s="1"/>
  <c r="E8" i="28"/>
  <c r="E8" i="25"/>
  <c r="E8" i="24"/>
  <c r="G8" i="27"/>
  <c r="F8" i="24"/>
  <c r="E8" i="20"/>
  <c r="E8" i="1"/>
  <c r="E8" i="29" l="1"/>
  <c r="K9" i="29" s="1"/>
  <c r="G9" i="29" s="1"/>
  <c r="J9" i="31"/>
  <c r="F9" i="31" s="1"/>
  <c r="I9" i="31"/>
  <c r="D9" i="31" s="1"/>
  <c r="E8" i="23"/>
  <c r="K9" i="23" s="1"/>
  <c r="G9" i="23" s="1"/>
  <c r="E8" i="22"/>
  <c r="J9" i="22" s="1"/>
  <c r="F9" i="22" s="1"/>
  <c r="D8" i="21"/>
  <c r="J9" i="20"/>
  <c r="F9" i="20" s="1"/>
  <c r="D8" i="22"/>
  <c r="I9" i="32"/>
  <c r="D9" i="32" s="1"/>
  <c r="K9" i="27"/>
  <c r="G9" i="27" s="1"/>
  <c r="E8" i="21"/>
  <c r="K9" i="21" s="1"/>
  <c r="G9" i="21" s="1"/>
  <c r="I9" i="27"/>
  <c r="K9" i="30"/>
  <c r="G9" i="30" s="1"/>
  <c r="J9" i="30"/>
  <c r="F9" i="30" s="1"/>
  <c r="I9" i="30"/>
  <c r="D9" i="30" s="1"/>
  <c r="J9" i="28"/>
  <c r="F9" i="28" s="1"/>
  <c r="K9" i="28"/>
  <c r="G9" i="28" s="1"/>
  <c r="I9" i="25"/>
  <c r="K9" i="25"/>
  <c r="G9" i="25" s="1"/>
  <c r="J9" i="25"/>
  <c r="F9" i="25" s="1"/>
  <c r="K9" i="26"/>
  <c r="J9" i="26"/>
  <c r="I9" i="26"/>
  <c r="D9" i="26" s="1"/>
  <c r="K9" i="32"/>
  <c r="G9" i="32" s="1"/>
  <c r="J9" i="32"/>
  <c r="F9" i="27"/>
  <c r="K9" i="24"/>
  <c r="J9" i="24"/>
  <c r="F9" i="24" s="1"/>
  <c r="I9" i="24"/>
  <c r="I9" i="28"/>
  <c r="D9" i="28" s="1"/>
  <c r="K9" i="20"/>
  <c r="G9" i="20" s="1"/>
  <c r="I9" i="20"/>
  <c r="D9" i="20" s="1"/>
  <c r="J9" i="1"/>
  <c r="F9" i="1" s="1"/>
  <c r="K9" i="1"/>
  <c r="G9" i="1" s="1"/>
  <c r="I9" i="1"/>
  <c r="I9" i="29" l="1"/>
  <c r="D9" i="29" s="1"/>
  <c r="J9" i="29"/>
  <c r="F9" i="29" s="1"/>
  <c r="K9" i="22"/>
  <c r="G9" i="22" s="1"/>
  <c r="E9" i="31"/>
  <c r="K10" i="31" s="1"/>
  <c r="G10" i="31" s="1"/>
  <c r="J9" i="23"/>
  <c r="F9" i="23" s="1"/>
  <c r="I9" i="23"/>
  <c r="D9" i="23" s="1"/>
  <c r="I9" i="22"/>
  <c r="D9" i="22" s="1"/>
  <c r="E9" i="27"/>
  <c r="K10" i="27" s="1"/>
  <c r="J9" i="21"/>
  <c r="F9" i="21" s="1"/>
  <c r="D9" i="27"/>
  <c r="I9" i="21"/>
  <c r="E9" i="24"/>
  <c r="K10" i="24" s="1"/>
  <c r="E9" i="30"/>
  <c r="E9" i="25"/>
  <c r="D9" i="24"/>
  <c r="F9" i="26"/>
  <c r="E9" i="28"/>
  <c r="G9" i="26"/>
  <c r="E9" i="26"/>
  <c r="G9" i="24"/>
  <c r="E9" i="32"/>
  <c r="F9" i="32"/>
  <c r="D9" i="25"/>
  <c r="E9" i="20"/>
  <c r="D9" i="1"/>
  <c r="E9" i="1"/>
  <c r="E9" i="29" l="1"/>
  <c r="I10" i="29" s="1"/>
  <c r="D10" i="29" s="1"/>
  <c r="I10" i="31"/>
  <c r="D10" i="31" s="1"/>
  <c r="E9" i="22"/>
  <c r="K10" i="22" s="1"/>
  <c r="G10" i="22" s="1"/>
  <c r="J10" i="31"/>
  <c r="F10" i="31" s="1"/>
  <c r="E9" i="23"/>
  <c r="K10" i="23" s="1"/>
  <c r="G10" i="23" s="1"/>
  <c r="J10" i="27"/>
  <c r="F10" i="27" s="1"/>
  <c r="I10" i="27"/>
  <c r="D10" i="27" s="1"/>
  <c r="D9" i="21"/>
  <c r="I10" i="20"/>
  <c r="D10" i="20" s="1"/>
  <c r="E9" i="21"/>
  <c r="J10" i="21" s="1"/>
  <c r="F10" i="21" s="1"/>
  <c r="I10" i="24"/>
  <c r="D10" i="24" s="1"/>
  <c r="J10" i="24"/>
  <c r="F10" i="24" s="1"/>
  <c r="G10" i="24"/>
  <c r="K10" i="30"/>
  <c r="G10" i="30" s="1"/>
  <c r="J10" i="30"/>
  <c r="F10" i="30" s="1"/>
  <c r="I10" i="30"/>
  <c r="J10" i="32"/>
  <c r="F10" i="32" s="1"/>
  <c r="K10" i="32"/>
  <c r="I10" i="32"/>
  <c r="K10" i="26"/>
  <c r="J10" i="26"/>
  <c r="I10" i="26"/>
  <c r="D10" i="26" s="1"/>
  <c r="G10" i="27"/>
  <c r="K10" i="28"/>
  <c r="J10" i="28"/>
  <c r="F10" i="28" s="1"/>
  <c r="I10" i="28"/>
  <c r="I10" i="25"/>
  <c r="D10" i="25" s="1"/>
  <c r="J10" i="25"/>
  <c r="K10" i="25"/>
  <c r="K10" i="20"/>
  <c r="J10" i="20"/>
  <c r="F10" i="20" s="1"/>
  <c r="I10" i="1"/>
  <c r="K10" i="1"/>
  <c r="G10" i="1" s="1"/>
  <c r="J10" i="1"/>
  <c r="F10" i="1" s="1"/>
  <c r="J10" i="29" l="1"/>
  <c r="F10" i="29" s="1"/>
  <c r="K10" i="29"/>
  <c r="G10" i="29" s="1"/>
  <c r="J10" i="22"/>
  <c r="F10" i="22" s="1"/>
  <c r="I10" i="22"/>
  <c r="D10" i="22" s="1"/>
  <c r="E10" i="31"/>
  <c r="J11" i="31" s="1"/>
  <c r="F11" i="31" s="1"/>
  <c r="I10" i="23"/>
  <c r="D10" i="23" s="1"/>
  <c r="J10" i="23"/>
  <c r="I10" i="21"/>
  <c r="D10" i="21" s="1"/>
  <c r="E10" i="27"/>
  <c r="J11" i="27" s="1"/>
  <c r="K10" i="21"/>
  <c r="G10" i="21" s="1"/>
  <c r="E10" i="24"/>
  <c r="I11" i="24" s="1"/>
  <c r="D11" i="24" s="1"/>
  <c r="D10" i="30"/>
  <c r="E10" i="30"/>
  <c r="E10" i="25"/>
  <c r="G10" i="28"/>
  <c r="F10" i="26"/>
  <c r="G10" i="32"/>
  <c r="G10" i="26"/>
  <c r="G10" i="25"/>
  <c r="E10" i="28"/>
  <c r="D10" i="28"/>
  <c r="E10" i="26"/>
  <c r="F10" i="25"/>
  <c r="E10" i="32"/>
  <c r="D10" i="32"/>
  <c r="E10" i="20"/>
  <c r="K11" i="20" s="1"/>
  <c r="G10" i="20"/>
  <c r="E10" i="1"/>
  <c r="D10" i="1"/>
  <c r="E10" i="29" l="1"/>
  <c r="J11" i="29" s="1"/>
  <c r="F11" i="29" s="1"/>
  <c r="E10" i="22"/>
  <c r="J11" i="22" s="1"/>
  <c r="F11" i="22" s="1"/>
  <c r="K11" i="31"/>
  <c r="G11" i="31" s="1"/>
  <c r="I11" i="31"/>
  <c r="D11" i="31" s="1"/>
  <c r="E10" i="23"/>
  <c r="F10" i="23"/>
  <c r="E10" i="21"/>
  <c r="J11" i="21" s="1"/>
  <c r="F11" i="21" s="1"/>
  <c r="K11" i="27"/>
  <c r="G11" i="27" s="1"/>
  <c r="I11" i="29"/>
  <c r="D11" i="29" s="1"/>
  <c r="I11" i="27"/>
  <c r="K11" i="24"/>
  <c r="G11" i="24" s="1"/>
  <c r="J11" i="24"/>
  <c r="F11" i="24" s="1"/>
  <c r="K11" i="30"/>
  <c r="G11" i="30" s="1"/>
  <c r="I11" i="30"/>
  <c r="D11" i="30" s="1"/>
  <c r="J11" i="30"/>
  <c r="F11" i="30" s="1"/>
  <c r="I11" i="28"/>
  <c r="D11" i="28" s="1"/>
  <c r="I11" i="32"/>
  <c r="D11" i="32" s="1"/>
  <c r="F11" i="27"/>
  <c r="J11" i="28"/>
  <c r="F11" i="28" s="1"/>
  <c r="K11" i="28"/>
  <c r="G11" i="28" s="1"/>
  <c r="K11" i="32"/>
  <c r="J11" i="32"/>
  <c r="F11" i="32" s="1"/>
  <c r="K11" i="26"/>
  <c r="J11" i="26"/>
  <c r="F11" i="26" s="1"/>
  <c r="I11" i="26"/>
  <c r="D11" i="26" s="1"/>
  <c r="K11" i="25"/>
  <c r="G11" i="25" s="1"/>
  <c r="J11" i="25"/>
  <c r="F11" i="25" s="1"/>
  <c r="I11" i="25"/>
  <c r="D11" i="25" s="1"/>
  <c r="J11" i="20"/>
  <c r="F11" i="20" s="1"/>
  <c r="I11" i="20"/>
  <c r="D11" i="20" s="1"/>
  <c r="G11" i="20"/>
  <c r="J11" i="1"/>
  <c r="F11" i="1" s="1"/>
  <c r="I11" i="1"/>
  <c r="D11" i="1" s="1"/>
  <c r="K11" i="1"/>
  <c r="G11" i="1" s="1"/>
  <c r="K11" i="22" l="1"/>
  <c r="G11" i="22" s="1"/>
  <c r="K11" i="21"/>
  <c r="G11" i="21" s="1"/>
  <c r="K11" i="29"/>
  <c r="G11" i="29" s="1"/>
  <c r="I11" i="22"/>
  <c r="D11" i="22" s="1"/>
  <c r="E11" i="31"/>
  <c r="K12" i="31" s="1"/>
  <c r="G12" i="31" s="1"/>
  <c r="I11" i="23"/>
  <c r="K11" i="23"/>
  <c r="G11" i="23" s="1"/>
  <c r="J11" i="23"/>
  <c r="F11" i="23" s="1"/>
  <c r="I11" i="21"/>
  <c r="D11" i="21" s="1"/>
  <c r="E11" i="27"/>
  <c r="J12" i="27" s="1"/>
  <c r="F12" i="27" s="1"/>
  <c r="E11" i="29"/>
  <c r="K12" i="29" s="1"/>
  <c r="G12" i="29" s="1"/>
  <c r="D11" i="27"/>
  <c r="E11" i="24"/>
  <c r="J12" i="24" s="1"/>
  <c r="F12" i="24" s="1"/>
  <c r="E11" i="25"/>
  <c r="I12" i="25" s="1"/>
  <c r="D12" i="25" s="1"/>
  <c r="E11" i="30"/>
  <c r="E11" i="26"/>
  <c r="K12" i="26" s="1"/>
  <c r="G11" i="32"/>
  <c r="G11" i="26"/>
  <c r="E11" i="32"/>
  <c r="E11" i="28"/>
  <c r="E11" i="20"/>
  <c r="K12" i="20" s="1"/>
  <c r="G12" i="20" s="1"/>
  <c r="E11" i="1"/>
  <c r="E11" i="22" l="1"/>
  <c r="I12" i="22" s="1"/>
  <c r="D12" i="22" s="1"/>
  <c r="I12" i="31"/>
  <c r="D12" i="31" s="1"/>
  <c r="J12" i="31"/>
  <c r="F12" i="31" s="1"/>
  <c r="E11" i="23"/>
  <c r="D11" i="23"/>
  <c r="E11" i="21"/>
  <c r="J12" i="21" s="1"/>
  <c r="F12" i="21" s="1"/>
  <c r="K12" i="27"/>
  <c r="G12" i="27" s="1"/>
  <c r="I12" i="27"/>
  <c r="D12" i="27" s="1"/>
  <c r="I12" i="29"/>
  <c r="D12" i="29" s="1"/>
  <c r="J12" i="29"/>
  <c r="F12" i="29" s="1"/>
  <c r="K12" i="24"/>
  <c r="G12" i="24" s="1"/>
  <c r="I12" i="24"/>
  <c r="D12" i="24" s="1"/>
  <c r="J12" i="25"/>
  <c r="F12" i="25" s="1"/>
  <c r="K12" i="25"/>
  <c r="G12" i="25" s="1"/>
  <c r="I12" i="26"/>
  <c r="D12" i="26" s="1"/>
  <c r="G12" i="26"/>
  <c r="J12" i="26"/>
  <c r="F12" i="26" s="1"/>
  <c r="I12" i="30"/>
  <c r="K12" i="30"/>
  <c r="G12" i="30" s="1"/>
  <c r="J12" i="30"/>
  <c r="F12" i="30" s="1"/>
  <c r="K12" i="28"/>
  <c r="G12" i="28" s="1"/>
  <c r="J12" i="28"/>
  <c r="F12" i="28" s="1"/>
  <c r="K12" i="32"/>
  <c r="G12" i="32" s="1"/>
  <c r="J12" i="32"/>
  <c r="F12" i="32" s="1"/>
  <c r="I12" i="32"/>
  <c r="I12" i="28"/>
  <c r="K12" i="22"/>
  <c r="G12" i="22" s="1"/>
  <c r="J12" i="20"/>
  <c r="F12" i="20" s="1"/>
  <c r="I12" i="20"/>
  <c r="D12" i="20" s="1"/>
  <c r="I12" i="1"/>
  <c r="D12" i="1" s="1"/>
  <c r="J12" i="1"/>
  <c r="F12" i="1" s="1"/>
  <c r="K12" i="1"/>
  <c r="G12" i="1" s="1"/>
  <c r="J12" i="22" l="1"/>
  <c r="F12" i="22" s="1"/>
  <c r="E12" i="31"/>
  <c r="I13" i="31" s="1"/>
  <c r="J12" i="23"/>
  <c r="F12" i="23" s="1"/>
  <c r="K12" i="23"/>
  <c r="G12" i="23" s="1"/>
  <c r="I12" i="23"/>
  <c r="D12" i="23" s="1"/>
  <c r="K12" i="21"/>
  <c r="G12" i="21" s="1"/>
  <c r="I12" i="21"/>
  <c r="D12" i="21" s="1"/>
  <c r="E12" i="27"/>
  <c r="K13" i="27" s="1"/>
  <c r="G13" i="27" s="1"/>
  <c r="E12" i="29"/>
  <c r="E12" i="24"/>
  <c r="I13" i="24" s="1"/>
  <c r="E12" i="25"/>
  <c r="J13" i="25" s="1"/>
  <c r="F13" i="25" s="1"/>
  <c r="E12" i="26"/>
  <c r="I13" i="26" s="1"/>
  <c r="D12" i="30"/>
  <c r="E12" i="30"/>
  <c r="E12" i="28"/>
  <c r="D12" i="28"/>
  <c r="E12" i="32"/>
  <c r="D12" i="32"/>
  <c r="E12" i="22"/>
  <c r="J13" i="22" s="1"/>
  <c r="F13" i="22" s="1"/>
  <c r="E12" i="20"/>
  <c r="J13" i="20" s="1"/>
  <c r="F13" i="20" s="1"/>
  <c r="E12" i="1"/>
  <c r="K13" i="31" l="1"/>
  <c r="G13" i="31" s="1"/>
  <c r="J13" i="31"/>
  <c r="F13" i="31" s="1"/>
  <c r="E12" i="23"/>
  <c r="E12" i="21"/>
  <c r="K13" i="21" s="1"/>
  <c r="G13" i="21" s="1"/>
  <c r="D13" i="31"/>
  <c r="J13" i="27"/>
  <c r="F13" i="27" s="1"/>
  <c r="I13" i="27"/>
  <c r="D13" i="27" s="1"/>
  <c r="J13" i="24"/>
  <c r="F13" i="24" s="1"/>
  <c r="J13" i="29"/>
  <c r="F13" i="29" s="1"/>
  <c r="I13" i="29"/>
  <c r="K13" i="29"/>
  <c r="G13" i="29" s="1"/>
  <c r="K13" i="24"/>
  <c r="G13" i="24" s="1"/>
  <c r="I13" i="25"/>
  <c r="D13" i="25" s="1"/>
  <c r="K13" i="25"/>
  <c r="G13" i="25" s="1"/>
  <c r="D13" i="26"/>
  <c r="K13" i="26"/>
  <c r="G13" i="26" s="1"/>
  <c r="J13" i="26"/>
  <c r="F13" i="26" s="1"/>
  <c r="K13" i="30"/>
  <c r="G13" i="30" s="1"/>
  <c r="J13" i="30"/>
  <c r="F13" i="30" s="1"/>
  <c r="I13" i="30"/>
  <c r="D13" i="30" s="1"/>
  <c r="K13" i="22"/>
  <c r="G13" i="22" s="1"/>
  <c r="I13" i="28"/>
  <c r="D13" i="28" s="1"/>
  <c r="K13" i="28"/>
  <c r="G13" i="28" s="1"/>
  <c r="J13" i="28"/>
  <c r="F13" i="28" s="1"/>
  <c r="D13" i="24"/>
  <c r="I13" i="32"/>
  <c r="D13" i="32" s="1"/>
  <c r="K13" i="32"/>
  <c r="G13" i="32" s="1"/>
  <c r="J13" i="32"/>
  <c r="F13" i="32" s="1"/>
  <c r="I13" i="22"/>
  <c r="D13" i="22" s="1"/>
  <c r="I13" i="20"/>
  <c r="D13" i="20" s="1"/>
  <c r="K13" i="20"/>
  <c r="G13" i="20" s="1"/>
  <c r="J13" i="1"/>
  <c r="F13" i="1" s="1"/>
  <c r="K13" i="1"/>
  <c r="G13" i="1" s="1"/>
  <c r="I13" i="1"/>
  <c r="D13" i="1" s="1"/>
  <c r="E13" i="31" l="1"/>
  <c r="K14" i="31" s="1"/>
  <c r="G14" i="31" s="1"/>
  <c r="J13" i="21"/>
  <c r="F13" i="21" s="1"/>
  <c r="I13" i="21"/>
  <c r="D13" i="21" s="1"/>
  <c r="J13" i="23"/>
  <c r="F13" i="23" s="1"/>
  <c r="I13" i="23"/>
  <c r="D13" i="23" s="1"/>
  <c r="K13" i="23"/>
  <c r="G13" i="23" s="1"/>
  <c r="E13" i="27"/>
  <c r="K14" i="27" s="1"/>
  <c r="G14" i="27" s="1"/>
  <c r="E13" i="24"/>
  <c r="K14" i="24" s="1"/>
  <c r="G14" i="24" s="1"/>
  <c r="D13" i="29"/>
  <c r="E13" i="29"/>
  <c r="E13" i="25"/>
  <c r="K14" i="25" s="1"/>
  <c r="G14" i="25" s="1"/>
  <c r="E13" i="26"/>
  <c r="E13" i="28"/>
  <c r="I14" i="28" s="1"/>
  <c r="D14" i="28" s="1"/>
  <c r="E13" i="30"/>
  <c r="E13" i="32"/>
  <c r="E13" i="22"/>
  <c r="J14" i="22" s="1"/>
  <c r="F14" i="22" s="1"/>
  <c r="E13" i="20"/>
  <c r="I14" i="20" s="1"/>
  <c r="D14" i="20" s="1"/>
  <c r="E13" i="1"/>
  <c r="J14" i="1" s="1"/>
  <c r="F14" i="1" s="1"/>
  <c r="I14" i="31" l="1"/>
  <c r="D14" i="31" s="1"/>
  <c r="J14" i="31"/>
  <c r="F14" i="31" s="1"/>
  <c r="E13" i="21"/>
  <c r="K14" i="21" s="1"/>
  <c r="G14" i="21" s="1"/>
  <c r="E13" i="23"/>
  <c r="I14" i="23" s="1"/>
  <c r="D14" i="23" s="1"/>
  <c r="I14" i="24"/>
  <c r="D14" i="24" s="1"/>
  <c r="J14" i="24"/>
  <c r="F14" i="24" s="1"/>
  <c r="J14" i="25"/>
  <c r="F14" i="25" s="1"/>
  <c r="J14" i="27"/>
  <c r="F14" i="27" s="1"/>
  <c r="I14" i="27"/>
  <c r="D14" i="27" s="1"/>
  <c r="I14" i="25"/>
  <c r="D14" i="25" s="1"/>
  <c r="J14" i="29"/>
  <c r="F14" i="29" s="1"/>
  <c r="K14" i="29"/>
  <c r="G14" i="29" s="1"/>
  <c r="I14" i="29"/>
  <c r="K14" i="28"/>
  <c r="G14" i="28" s="1"/>
  <c r="J14" i="26"/>
  <c r="F14" i="26" s="1"/>
  <c r="I14" i="26"/>
  <c r="K14" i="26"/>
  <c r="G14" i="26" s="1"/>
  <c r="J14" i="28"/>
  <c r="F14" i="28" s="1"/>
  <c r="I14" i="22"/>
  <c r="D14" i="22" s="1"/>
  <c r="I14" i="30"/>
  <c r="J14" i="30"/>
  <c r="F14" i="30" s="1"/>
  <c r="K14" i="30"/>
  <c r="G14" i="30" s="1"/>
  <c r="K14" i="32"/>
  <c r="G14" i="32" s="1"/>
  <c r="J14" i="32"/>
  <c r="F14" i="32" s="1"/>
  <c r="I14" i="32"/>
  <c r="K14" i="22"/>
  <c r="G14" i="22" s="1"/>
  <c r="J14" i="20"/>
  <c r="F14" i="20" s="1"/>
  <c r="K14" i="20"/>
  <c r="G14" i="20" s="1"/>
  <c r="I14" i="1"/>
  <c r="D14" i="1" s="1"/>
  <c r="K14" i="1"/>
  <c r="G14" i="1" s="1"/>
  <c r="E14" i="31" l="1"/>
  <c r="K15" i="31" s="1"/>
  <c r="G15" i="31" s="1"/>
  <c r="I14" i="21"/>
  <c r="D14" i="21" s="1"/>
  <c r="J14" i="21"/>
  <c r="F14" i="21" s="1"/>
  <c r="E14" i="24"/>
  <c r="J15" i="24" s="1"/>
  <c r="F15" i="24" s="1"/>
  <c r="K14" i="23"/>
  <c r="G14" i="23" s="1"/>
  <c r="J14" i="23"/>
  <c r="F14" i="23" s="1"/>
  <c r="E14" i="25"/>
  <c r="J15" i="25" s="1"/>
  <c r="F15" i="25" s="1"/>
  <c r="E14" i="27"/>
  <c r="J15" i="27" s="1"/>
  <c r="F15" i="27" s="1"/>
  <c r="D14" i="29"/>
  <c r="E14" i="29"/>
  <c r="E14" i="28"/>
  <c r="I15" i="28" s="1"/>
  <c r="D15" i="28" s="1"/>
  <c r="D14" i="26"/>
  <c r="E14" i="26"/>
  <c r="D14" i="30"/>
  <c r="E14" i="30"/>
  <c r="E14" i="32"/>
  <c r="D14" i="32"/>
  <c r="E14" i="22"/>
  <c r="K15" i="22" s="1"/>
  <c r="G15" i="22" s="1"/>
  <c r="E14" i="20"/>
  <c r="E14" i="1"/>
  <c r="J15" i="1" s="1"/>
  <c r="F15" i="1" s="1"/>
  <c r="I15" i="31" l="1"/>
  <c r="D15" i="31" s="1"/>
  <c r="J15" i="31"/>
  <c r="F15" i="31" s="1"/>
  <c r="E14" i="21"/>
  <c r="K15" i="21" s="1"/>
  <c r="G15" i="21" s="1"/>
  <c r="I15" i="24"/>
  <c r="D15" i="24" s="1"/>
  <c r="K15" i="24"/>
  <c r="G15" i="24" s="1"/>
  <c r="K15" i="25"/>
  <c r="G15" i="25" s="1"/>
  <c r="E14" i="23"/>
  <c r="I15" i="25"/>
  <c r="D15" i="25" s="1"/>
  <c r="K15" i="27"/>
  <c r="G15" i="27" s="1"/>
  <c r="I15" i="27"/>
  <c r="D15" i="27" s="1"/>
  <c r="I15" i="29"/>
  <c r="K15" i="29"/>
  <c r="G15" i="29" s="1"/>
  <c r="J15" i="29"/>
  <c r="F15" i="29" s="1"/>
  <c r="K15" i="28"/>
  <c r="G15" i="28" s="1"/>
  <c r="J15" i="28"/>
  <c r="F15" i="28" s="1"/>
  <c r="K15" i="26"/>
  <c r="G15" i="26" s="1"/>
  <c r="I15" i="26"/>
  <c r="J15" i="26"/>
  <c r="F15" i="26" s="1"/>
  <c r="K15" i="30"/>
  <c r="G15" i="30" s="1"/>
  <c r="J15" i="30"/>
  <c r="F15" i="30" s="1"/>
  <c r="I15" i="30"/>
  <c r="I15" i="32"/>
  <c r="D15" i="32" s="1"/>
  <c r="K15" i="32"/>
  <c r="G15" i="32" s="1"/>
  <c r="J15" i="32"/>
  <c r="F15" i="32" s="1"/>
  <c r="J15" i="22"/>
  <c r="F15" i="22" s="1"/>
  <c r="I15" i="22"/>
  <c r="I15" i="21"/>
  <c r="J15" i="21"/>
  <c r="F15" i="21" s="1"/>
  <c r="K15" i="20"/>
  <c r="G15" i="20" s="1"/>
  <c r="J15" i="20"/>
  <c r="F15" i="20" s="1"/>
  <c r="I15" i="20"/>
  <c r="D15" i="20" s="1"/>
  <c r="I15" i="1"/>
  <c r="D15" i="1" s="1"/>
  <c r="K15" i="1"/>
  <c r="G15" i="1" s="1"/>
  <c r="E15" i="31" l="1"/>
  <c r="J16" i="31" s="1"/>
  <c r="F16" i="31" s="1"/>
  <c r="E15" i="24"/>
  <c r="J16" i="24" s="1"/>
  <c r="F16" i="24" s="1"/>
  <c r="E15" i="25"/>
  <c r="J16" i="25" s="1"/>
  <c r="F16" i="25" s="1"/>
  <c r="E15" i="27"/>
  <c r="I16" i="27" s="1"/>
  <c r="D16" i="27" s="1"/>
  <c r="J15" i="23"/>
  <c r="F15" i="23" s="1"/>
  <c r="I15" i="23"/>
  <c r="D15" i="23" s="1"/>
  <c r="K15" i="23"/>
  <c r="G15" i="23" s="1"/>
  <c r="I16" i="31"/>
  <c r="D15" i="29"/>
  <c r="E15" i="29"/>
  <c r="E15" i="28"/>
  <c r="I16" i="28" s="1"/>
  <c r="D16" i="28" s="1"/>
  <c r="D15" i="26"/>
  <c r="E15" i="26"/>
  <c r="E15" i="30"/>
  <c r="D15" i="30"/>
  <c r="E15" i="32"/>
  <c r="I16" i="32" s="1"/>
  <c r="D16" i="32" s="1"/>
  <c r="E15" i="22"/>
  <c r="D15" i="22"/>
  <c r="E15" i="21"/>
  <c r="J16" i="21" s="1"/>
  <c r="F16" i="21" s="1"/>
  <c r="D15" i="21"/>
  <c r="E15" i="20"/>
  <c r="E15" i="1"/>
  <c r="J16" i="1" s="1"/>
  <c r="F16" i="1" s="1"/>
  <c r="K16" i="31" l="1"/>
  <c r="G16" i="31" s="1"/>
  <c r="I16" i="24"/>
  <c r="K16" i="24"/>
  <c r="G16" i="24" s="1"/>
  <c r="K16" i="25"/>
  <c r="G16" i="25" s="1"/>
  <c r="K16" i="27"/>
  <c r="G16" i="27" s="1"/>
  <c r="I16" i="25"/>
  <c r="D16" i="25" s="1"/>
  <c r="J16" i="27"/>
  <c r="F16" i="27" s="1"/>
  <c r="E15" i="23"/>
  <c r="D16" i="31"/>
  <c r="E16" i="31"/>
  <c r="K16" i="28"/>
  <c r="G16" i="28" s="1"/>
  <c r="I16" i="29"/>
  <c r="K16" i="29"/>
  <c r="G16" i="29" s="1"/>
  <c r="J16" i="29"/>
  <c r="F16" i="29" s="1"/>
  <c r="J16" i="28"/>
  <c r="F16" i="28" s="1"/>
  <c r="J16" i="26"/>
  <c r="F16" i="26" s="1"/>
  <c r="I16" i="26"/>
  <c r="K16" i="26"/>
  <c r="G16" i="26" s="1"/>
  <c r="J16" i="30"/>
  <c r="F16" i="30" s="1"/>
  <c r="K16" i="30"/>
  <c r="G16" i="30" s="1"/>
  <c r="I16" i="30"/>
  <c r="D16" i="30" s="1"/>
  <c r="J16" i="32"/>
  <c r="F16" i="32" s="1"/>
  <c r="K16" i="32"/>
  <c r="G16" i="32" s="1"/>
  <c r="K16" i="22"/>
  <c r="G16" i="22" s="1"/>
  <c r="J16" i="22"/>
  <c r="F16" i="22" s="1"/>
  <c r="I16" i="22"/>
  <c r="D16" i="22" s="1"/>
  <c r="K16" i="21"/>
  <c r="G16" i="21" s="1"/>
  <c r="I16" i="21"/>
  <c r="D16" i="21" s="1"/>
  <c r="J16" i="20"/>
  <c r="F16" i="20" s="1"/>
  <c r="I16" i="20"/>
  <c r="K16" i="20"/>
  <c r="G16" i="20" s="1"/>
  <c r="I16" i="1"/>
  <c r="D16" i="1" s="1"/>
  <c r="K16" i="1"/>
  <c r="G16" i="1" s="1"/>
  <c r="E16" i="24" l="1"/>
  <c r="K17" i="24" s="1"/>
  <c r="G17" i="24" s="1"/>
  <c r="D16" i="24"/>
  <c r="I17" i="24" s="1"/>
  <c r="D17" i="24" s="1"/>
  <c r="E16" i="25"/>
  <c r="K17" i="25" s="1"/>
  <c r="G17" i="25" s="1"/>
  <c r="E16" i="27"/>
  <c r="I17" i="27" s="1"/>
  <c r="K16" i="23"/>
  <c r="G16" i="23" s="1"/>
  <c r="J16" i="23"/>
  <c r="F16" i="23" s="1"/>
  <c r="I16" i="23"/>
  <c r="D16" i="23" s="1"/>
  <c r="J17" i="24"/>
  <c r="F17" i="24" s="1"/>
  <c r="I17" i="31"/>
  <c r="K17" i="31"/>
  <c r="G17" i="31" s="1"/>
  <c r="J17" i="31"/>
  <c r="F17" i="31" s="1"/>
  <c r="E16" i="28"/>
  <c r="J17" i="28" s="1"/>
  <c r="F17" i="28" s="1"/>
  <c r="D16" i="29"/>
  <c r="E16" i="29"/>
  <c r="D16" i="26"/>
  <c r="E16" i="26"/>
  <c r="E16" i="30"/>
  <c r="E16" i="32"/>
  <c r="E16" i="22"/>
  <c r="E16" i="21"/>
  <c r="I17" i="21" s="1"/>
  <c r="D17" i="21" s="1"/>
  <c r="D16" i="20"/>
  <c r="E16" i="20"/>
  <c r="E16" i="1"/>
  <c r="K17" i="27" l="1"/>
  <c r="G17" i="27" s="1"/>
  <c r="J17" i="25"/>
  <c r="F17" i="25" s="1"/>
  <c r="I17" i="25"/>
  <c r="D17" i="25" s="1"/>
  <c r="J17" i="27"/>
  <c r="F17" i="27" s="1"/>
  <c r="K17" i="28"/>
  <c r="G17" i="28" s="1"/>
  <c r="E16" i="23"/>
  <c r="E17" i="24"/>
  <c r="K18" i="24" s="1"/>
  <c r="G18" i="24" s="1"/>
  <c r="I17" i="28"/>
  <c r="E17" i="31"/>
  <c r="D17" i="31"/>
  <c r="D17" i="27"/>
  <c r="I17" i="29"/>
  <c r="K17" i="29"/>
  <c r="G17" i="29" s="1"/>
  <c r="J17" i="29"/>
  <c r="F17" i="29" s="1"/>
  <c r="J17" i="26"/>
  <c r="F17" i="26" s="1"/>
  <c r="I17" i="26"/>
  <c r="K17" i="26"/>
  <c r="G17" i="26" s="1"/>
  <c r="I17" i="30"/>
  <c r="K17" i="30"/>
  <c r="G17" i="30" s="1"/>
  <c r="J17" i="30"/>
  <c r="F17" i="30" s="1"/>
  <c r="K17" i="32"/>
  <c r="G17" i="32" s="1"/>
  <c r="J17" i="32"/>
  <c r="F17" i="32" s="1"/>
  <c r="I17" i="32"/>
  <c r="K17" i="21"/>
  <c r="G17" i="21" s="1"/>
  <c r="J17" i="22"/>
  <c r="F17" i="22" s="1"/>
  <c r="K17" i="22"/>
  <c r="G17" i="22" s="1"/>
  <c r="I17" i="22"/>
  <c r="J17" i="21"/>
  <c r="F17" i="21" s="1"/>
  <c r="J17" i="20"/>
  <c r="F17" i="20" s="1"/>
  <c r="K17" i="20"/>
  <c r="G17" i="20" s="1"/>
  <c r="I17" i="20"/>
  <c r="J17" i="1"/>
  <c r="F17" i="1" s="1"/>
  <c r="K17" i="1"/>
  <c r="G17" i="1" s="1"/>
  <c r="I17" i="1"/>
  <c r="E17" i="25" l="1"/>
  <c r="K18" i="25" s="1"/>
  <c r="G18" i="25" s="1"/>
  <c r="E17" i="27"/>
  <c r="J18" i="27" s="1"/>
  <c r="F18" i="27" s="1"/>
  <c r="E17" i="28"/>
  <c r="J18" i="28" s="1"/>
  <c r="F18" i="28" s="1"/>
  <c r="D17" i="28"/>
  <c r="K17" i="23"/>
  <c r="G17" i="23" s="1"/>
  <c r="I17" i="23"/>
  <c r="D17" i="23" s="1"/>
  <c r="J17" i="23"/>
  <c r="F17" i="23" s="1"/>
  <c r="J18" i="24"/>
  <c r="F18" i="24" s="1"/>
  <c r="I18" i="24"/>
  <c r="D18" i="24" s="1"/>
  <c r="K18" i="31"/>
  <c r="G18" i="31" s="1"/>
  <c r="J18" i="31"/>
  <c r="F18" i="31" s="1"/>
  <c r="I18" i="31"/>
  <c r="D17" i="29"/>
  <c r="E17" i="29"/>
  <c r="D17" i="26"/>
  <c r="E17" i="26"/>
  <c r="E17" i="30"/>
  <c r="D17" i="30"/>
  <c r="E17" i="32"/>
  <c r="D17" i="32"/>
  <c r="E17" i="22"/>
  <c r="D17" i="22"/>
  <c r="E17" i="21"/>
  <c r="I18" i="21" s="1"/>
  <c r="D17" i="20"/>
  <c r="E17" i="20"/>
  <c r="D17" i="1"/>
  <c r="E17" i="1"/>
  <c r="J18" i="25" l="1"/>
  <c r="F18" i="25" s="1"/>
  <c r="K18" i="28"/>
  <c r="G18" i="28" s="1"/>
  <c r="I18" i="25"/>
  <c r="I18" i="28"/>
  <c r="K18" i="27"/>
  <c r="G18" i="27" s="1"/>
  <c r="I18" i="27"/>
  <c r="D18" i="27" s="1"/>
  <c r="E17" i="23"/>
  <c r="E18" i="24"/>
  <c r="D18" i="31"/>
  <c r="E18" i="31"/>
  <c r="K18" i="29"/>
  <c r="G18" i="29" s="1"/>
  <c r="I18" i="29"/>
  <c r="J18" i="29"/>
  <c r="F18" i="29" s="1"/>
  <c r="K18" i="26"/>
  <c r="G18" i="26" s="1"/>
  <c r="J18" i="26"/>
  <c r="F18" i="26" s="1"/>
  <c r="I18" i="26"/>
  <c r="I18" i="30"/>
  <c r="K18" i="30"/>
  <c r="G18" i="30" s="1"/>
  <c r="J18" i="30"/>
  <c r="F18" i="30" s="1"/>
  <c r="K18" i="21"/>
  <c r="G18" i="21" s="1"/>
  <c r="J18" i="21"/>
  <c r="F18" i="21" s="1"/>
  <c r="J18" i="32"/>
  <c r="F18" i="32" s="1"/>
  <c r="K18" i="32"/>
  <c r="G18" i="32" s="1"/>
  <c r="I18" i="32"/>
  <c r="D18" i="32" s="1"/>
  <c r="I18" i="22"/>
  <c r="D18" i="22" s="1"/>
  <c r="K18" i="22"/>
  <c r="G18" i="22" s="1"/>
  <c r="J18" i="22"/>
  <c r="F18" i="22" s="1"/>
  <c r="J18" i="20"/>
  <c r="F18" i="20" s="1"/>
  <c r="I18" i="20"/>
  <c r="K18" i="20"/>
  <c r="G18" i="20" s="1"/>
  <c r="D18" i="21"/>
  <c r="K18" i="1"/>
  <c r="G18" i="1" s="1"/>
  <c r="I18" i="1"/>
  <c r="D18" i="1" s="1"/>
  <c r="J18" i="1"/>
  <c r="F18" i="1" s="1"/>
  <c r="E18" i="25" l="1"/>
  <c r="K19" i="25" s="1"/>
  <c r="G19" i="25" s="1"/>
  <c r="E18" i="28"/>
  <c r="D18" i="25"/>
  <c r="D18" i="28"/>
  <c r="E18" i="27"/>
  <c r="J19" i="27" s="1"/>
  <c r="F19" i="27" s="1"/>
  <c r="J18" i="23"/>
  <c r="F18" i="23" s="1"/>
  <c r="I18" i="23"/>
  <c r="D18" i="23" s="1"/>
  <c r="K18" i="23"/>
  <c r="G18" i="23" s="1"/>
  <c r="J19" i="24"/>
  <c r="F19" i="24" s="1"/>
  <c r="K19" i="24"/>
  <c r="G19" i="24" s="1"/>
  <c r="I19" i="24"/>
  <c r="D19" i="24" s="1"/>
  <c r="K19" i="31"/>
  <c r="G19" i="31" s="1"/>
  <c r="I19" i="31"/>
  <c r="J19" i="31"/>
  <c r="F19" i="31" s="1"/>
  <c r="D18" i="29"/>
  <c r="E18" i="29"/>
  <c r="J19" i="25"/>
  <c r="F19" i="25" s="1"/>
  <c r="D18" i="26"/>
  <c r="E18" i="26"/>
  <c r="E18" i="21"/>
  <c r="I19" i="21" s="1"/>
  <c r="E18" i="30"/>
  <c r="D18" i="30"/>
  <c r="E18" i="22"/>
  <c r="J19" i="22" s="1"/>
  <c r="F19" i="22" s="1"/>
  <c r="I19" i="28"/>
  <c r="D19" i="28" s="1"/>
  <c r="K19" i="28"/>
  <c r="G19" i="28" s="1"/>
  <c r="J19" i="28"/>
  <c r="F19" i="28" s="1"/>
  <c r="E18" i="32"/>
  <c r="D18" i="20"/>
  <c r="E18" i="20"/>
  <c r="E18" i="1"/>
  <c r="I19" i="25" l="1"/>
  <c r="D19" i="25" s="1"/>
  <c r="K19" i="27"/>
  <c r="G19" i="27" s="1"/>
  <c r="I19" i="27"/>
  <c r="D19" i="27" s="1"/>
  <c r="E18" i="23"/>
  <c r="E19" i="24"/>
  <c r="D19" i="31"/>
  <c r="E19" i="31"/>
  <c r="J19" i="29"/>
  <c r="F19" i="29" s="1"/>
  <c r="I19" i="29"/>
  <c r="K19" i="29"/>
  <c r="G19" i="29" s="1"/>
  <c r="K19" i="21"/>
  <c r="G19" i="21" s="1"/>
  <c r="I19" i="22"/>
  <c r="D19" i="22" s="1"/>
  <c r="J19" i="21"/>
  <c r="F19" i="21" s="1"/>
  <c r="J19" i="26"/>
  <c r="F19" i="26" s="1"/>
  <c r="I19" i="26"/>
  <c r="K19" i="26"/>
  <c r="G19" i="26" s="1"/>
  <c r="K19" i="22"/>
  <c r="G19" i="22" s="1"/>
  <c r="K19" i="30"/>
  <c r="G19" i="30" s="1"/>
  <c r="J19" i="30"/>
  <c r="F19" i="30" s="1"/>
  <c r="I19" i="30"/>
  <c r="K19" i="32"/>
  <c r="G19" i="32" s="1"/>
  <c r="J19" i="32"/>
  <c r="F19" i="32" s="1"/>
  <c r="I19" i="32"/>
  <c r="E19" i="28"/>
  <c r="K19" i="20"/>
  <c r="G19" i="20" s="1"/>
  <c r="J19" i="20"/>
  <c r="F19" i="20" s="1"/>
  <c r="I19" i="20"/>
  <c r="D19" i="21"/>
  <c r="K19" i="1"/>
  <c r="G19" i="1" s="1"/>
  <c r="J19" i="1"/>
  <c r="F19" i="1" s="1"/>
  <c r="I19" i="1"/>
  <c r="E19" i="25" l="1"/>
  <c r="K20" i="25" s="1"/>
  <c r="G20" i="25" s="1"/>
  <c r="E19" i="27"/>
  <c r="K20" i="27" s="1"/>
  <c r="G20" i="27" s="1"/>
  <c r="J19" i="23"/>
  <c r="F19" i="23" s="1"/>
  <c r="K19" i="23"/>
  <c r="G19" i="23" s="1"/>
  <c r="I19" i="23"/>
  <c r="D19" i="23" s="1"/>
  <c r="J20" i="24"/>
  <c r="F20" i="24" s="1"/>
  <c r="K20" i="24"/>
  <c r="G20" i="24" s="1"/>
  <c r="I20" i="24"/>
  <c r="D20" i="24" s="1"/>
  <c r="I20" i="31"/>
  <c r="J20" i="31"/>
  <c r="F20" i="31" s="1"/>
  <c r="K20" i="31"/>
  <c r="G20" i="31" s="1"/>
  <c r="J20" i="25"/>
  <c r="F20" i="25" s="1"/>
  <c r="D19" i="29"/>
  <c r="E19" i="29"/>
  <c r="I20" i="25"/>
  <c r="D20" i="25" s="1"/>
  <c r="E19" i="21"/>
  <c r="J20" i="21" s="1"/>
  <c r="F20" i="21" s="1"/>
  <c r="E19" i="22"/>
  <c r="I20" i="22" s="1"/>
  <c r="D19" i="26"/>
  <c r="E19" i="26"/>
  <c r="E19" i="30"/>
  <c r="D19" i="30"/>
  <c r="I20" i="28"/>
  <c r="D20" i="28" s="1"/>
  <c r="J20" i="28"/>
  <c r="F20" i="28" s="1"/>
  <c r="K20" i="28"/>
  <c r="G20" i="28" s="1"/>
  <c r="E19" i="32"/>
  <c r="D19" i="32"/>
  <c r="D19" i="20"/>
  <c r="E19" i="20"/>
  <c r="D19" i="1"/>
  <c r="E19" i="1"/>
  <c r="J20" i="27" l="1"/>
  <c r="F20" i="27" s="1"/>
  <c r="I20" i="27"/>
  <c r="D20" i="27" s="1"/>
  <c r="E19" i="23"/>
  <c r="E20" i="24"/>
  <c r="I21" i="24" s="1"/>
  <c r="D21" i="24" s="1"/>
  <c r="D20" i="31"/>
  <c r="E20" i="31"/>
  <c r="I20" i="21"/>
  <c r="D20" i="21" s="1"/>
  <c r="K20" i="21"/>
  <c r="G20" i="21" s="1"/>
  <c r="E20" i="25"/>
  <c r="I21" i="25" s="1"/>
  <c r="D21" i="25" s="1"/>
  <c r="J20" i="22"/>
  <c r="F20" i="22" s="1"/>
  <c r="I20" i="29"/>
  <c r="K20" i="29"/>
  <c r="G20" i="29" s="1"/>
  <c r="J20" i="29"/>
  <c r="F20" i="29" s="1"/>
  <c r="K20" i="22"/>
  <c r="G20" i="22" s="1"/>
  <c r="J20" i="26"/>
  <c r="F20" i="26" s="1"/>
  <c r="I20" i="26"/>
  <c r="K20" i="26"/>
  <c r="G20" i="26" s="1"/>
  <c r="J20" i="30"/>
  <c r="F20" i="30" s="1"/>
  <c r="I20" i="30"/>
  <c r="K20" i="30"/>
  <c r="G20" i="30" s="1"/>
  <c r="K20" i="32"/>
  <c r="G20" i="32" s="1"/>
  <c r="J20" i="32"/>
  <c r="F20" i="32" s="1"/>
  <c r="I20" i="32"/>
  <c r="E20" i="28"/>
  <c r="D20" i="22"/>
  <c r="K20" i="20"/>
  <c r="G20" i="20" s="1"/>
  <c r="I20" i="20"/>
  <c r="J20" i="20"/>
  <c r="F20" i="20" s="1"/>
  <c r="J20" i="1"/>
  <c r="F20" i="1" s="1"/>
  <c r="K20" i="1"/>
  <c r="G20" i="1" s="1"/>
  <c r="I20" i="1"/>
  <c r="E20" i="27" l="1"/>
  <c r="J21" i="27" s="1"/>
  <c r="F21" i="27" s="1"/>
  <c r="J20" i="23"/>
  <c r="F20" i="23" s="1"/>
  <c r="K20" i="23"/>
  <c r="G20" i="23" s="1"/>
  <c r="I20" i="23"/>
  <c r="D20" i="23" s="1"/>
  <c r="E20" i="21"/>
  <c r="I21" i="21" s="1"/>
  <c r="K21" i="24"/>
  <c r="G21" i="24" s="1"/>
  <c r="J21" i="24"/>
  <c r="F21" i="24" s="1"/>
  <c r="J21" i="31"/>
  <c r="F21" i="31" s="1"/>
  <c r="K21" i="31"/>
  <c r="G21" i="31" s="1"/>
  <c r="I21" i="31"/>
  <c r="K21" i="25"/>
  <c r="G21" i="25" s="1"/>
  <c r="J21" i="25"/>
  <c r="F21" i="25" s="1"/>
  <c r="I21" i="27"/>
  <c r="D21" i="27" s="1"/>
  <c r="E20" i="29"/>
  <c r="D20" i="29"/>
  <c r="E20" i="22"/>
  <c r="I21" i="22" s="1"/>
  <c r="D21" i="22" s="1"/>
  <c r="D20" i="26"/>
  <c r="E20" i="26"/>
  <c r="E20" i="32"/>
  <c r="J21" i="32" s="1"/>
  <c r="F21" i="32" s="1"/>
  <c r="E20" i="30"/>
  <c r="D20" i="30"/>
  <c r="I21" i="28"/>
  <c r="D21" i="28" s="1"/>
  <c r="K21" i="28"/>
  <c r="G21" i="28" s="1"/>
  <c r="J21" i="28"/>
  <c r="F21" i="28" s="1"/>
  <c r="D20" i="32"/>
  <c r="D20" i="20"/>
  <c r="E20" i="20"/>
  <c r="K21" i="21"/>
  <c r="G21" i="21" s="1"/>
  <c r="E20" i="1"/>
  <c r="K21" i="1" s="1"/>
  <c r="G21" i="1" s="1"/>
  <c r="D20" i="1"/>
  <c r="K21" i="27" l="1"/>
  <c r="G21" i="27" s="1"/>
  <c r="J21" i="21"/>
  <c r="F21" i="21" s="1"/>
  <c r="E20" i="23"/>
  <c r="E21" i="24"/>
  <c r="D21" i="31"/>
  <c r="E21" i="31"/>
  <c r="E21" i="25"/>
  <c r="J22" i="25" s="1"/>
  <c r="F22" i="25" s="1"/>
  <c r="J21" i="29"/>
  <c r="F21" i="29" s="1"/>
  <c r="K21" i="29"/>
  <c r="G21" i="29" s="1"/>
  <c r="I21" i="29"/>
  <c r="K21" i="22"/>
  <c r="G21" i="22" s="1"/>
  <c r="J21" i="22"/>
  <c r="F21" i="22" s="1"/>
  <c r="K21" i="32"/>
  <c r="G21" i="32" s="1"/>
  <c r="I21" i="32"/>
  <c r="K21" i="26"/>
  <c r="G21" i="26" s="1"/>
  <c r="J21" i="26"/>
  <c r="F21" i="26" s="1"/>
  <c r="I21" i="26"/>
  <c r="K21" i="30"/>
  <c r="G21" i="30" s="1"/>
  <c r="J21" i="30"/>
  <c r="F21" i="30" s="1"/>
  <c r="I21" i="30"/>
  <c r="E21" i="28"/>
  <c r="I21" i="20"/>
  <c r="K21" i="20"/>
  <c r="G21" i="20" s="1"/>
  <c r="J21" i="20"/>
  <c r="F21" i="20" s="1"/>
  <c r="D21" i="21"/>
  <c r="I21" i="1"/>
  <c r="J21" i="1"/>
  <c r="F21" i="1" s="1"/>
  <c r="E21" i="27" l="1"/>
  <c r="K22" i="27" s="1"/>
  <c r="G22" i="27" s="1"/>
  <c r="E21" i="21"/>
  <c r="J22" i="21" s="1"/>
  <c r="F22" i="21" s="1"/>
  <c r="K21" i="23"/>
  <c r="G21" i="23" s="1"/>
  <c r="J21" i="23"/>
  <c r="F21" i="23" s="1"/>
  <c r="I21" i="23"/>
  <c r="D21" i="23" s="1"/>
  <c r="J22" i="24"/>
  <c r="F22" i="24" s="1"/>
  <c r="I22" i="24"/>
  <c r="D22" i="24" s="1"/>
  <c r="K22" i="24"/>
  <c r="G22" i="24" s="1"/>
  <c r="I22" i="27"/>
  <c r="D22" i="27" s="1"/>
  <c r="J22" i="31"/>
  <c r="F22" i="31" s="1"/>
  <c r="K22" i="31"/>
  <c r="G22" i="31" s="1"/>
  <c r="I22" i="31"/>
  <c r="K22" i="25"/>
  <c r="G22" i="25" s="1"/>
  <c r="I22" i="25"/>
  <c r="D22" i="25" s="1"/>
  <c r="E21" i="29"/>
  <c r="D21" i="29"/>
  <c r="E21" i="22"/>
  <c r="K22" i="22" s="1"/>
  <c r="G22" i="22" s="1"/>
  <c r="E21" i="32"/>
  <c r="D21" i="32"/>
  <c r="D21" i="26"/>
  <c r="E21" i="26"/>
  <c r="E21" i="30"/>
  <c r="D21" i="30"/>
  <c r="J22" i="28"/>
  <c r="F22" i="28" s="1"/>
  <c r="K22" i="28"/>
  <c r="G22" i="28" s="1"/>
  <c r="I22" i="28"/>
  <c r="D22" i="28" s="1"/>
  <c r="D21" i="20"/>
  <c r="E21" i="20"/>
  <c r="E21" i="1"/>
  <c r="K22" i="1" s="1"/>
  <c r="G22" i="1" s="1"/>
  <c r="D21" i="1"/>
  <c r="K22" i="21" l="1"/>
  <c r="G22" i="21" s="1"/>
  <c r="J22" i="27"/>
  <c r="F22" i="27" s="1"/>
  <c r="I22" i="21"/>
  <c r="D22" i="21" s="1"/>
  <c r="E21" i="23"/>
  <c r="E22" i="24"/>
  <c r="E22" i="25"/>
  <c r="I23" i="25" s="1"/>
  <c r="D23" i="25" s="1"/>
  <c r="D22" i="31"/>
  <c r="E22" i="31"/>
  <c r="J22" i="29"/>
  <c r="F22" i="29" s="1"/>
  <c r="K22" i="29"/>
  <c r="G22" i="29" s="1"/>
  <c r="I22" i="29"/>
  <c r="I22" i="22"/>
  <c r="D22" i="22" s="1"/>
  <c r="J22" i="22"/>
  <c r="F22" i="22" s="1"/>
  <c r="I22" i="32"/>
  <c r="D22" i="32" s="1"/>
  <c r="J22" i="32"/>
  <c r="F22" i="32" s="1"/>
  <c r="K22" i="32"/>
  <c r="G22" i="32" s="1"/>
  <c r="J22" i="26"/>
  <c r="F22" i="26" s="1"/>
  <c r="I22" i="26"/>
  <c r="K22" i="26"/>
  <c r="G22" i="26" s="1"/>
  <c r="E22" i="28"/>
  <c r="K23" i="28" s="1"/>
  <c r="G23" i="28" s="1"/>
  <c r="K22" i="30"/>
  <c r="G22" i="30" s="1"/>
  <c r="J22" i="30"/>
  <c r="F22" i="30" s="1"/>
  <c r="I22" i="30"/>
  <c r="I22" i="20"/>
  <c r="J22" i="20"/>
  <c r="F22" i="20" s="1"/>
  <c r="K22" i="20"/>
  <c r="G22" i="20" s="1"/>
  <c r="I22" i="1"/>
  <c r="D22" i="1" s="1"/>
  <c r="J22" i="1"/>
  <c r="F22" i="1" s="1"/>
  <c r="E22" i="21" l="1"/>
  <c r="J23" i="21" s="1"/>
  <c r="F23" i="21" s="1"/>
  <c r="E22" i="27"/>
  <c r="I23" i="27" s="1"/>
  <c r="J23" i="25"/>
  <c r="F23" i="25" s="1"/>
  <c r="J22" i="23"/>
  <c r="F22" i="23" s="1"/>
  <c r="I22" i="23"/>
  <c r="D22" i="23" s="1"/>
  <c r="K22" i="23"/>
  <c r="G22" i="23" s="1"/>
  <c r="K23" i="25"/>
  <c r="G23" i="25" s="1"/>
  <c r="K23" i="24"/>
  <c r="G23" i="24" s="1"/>
  <c r="J23" i="24"/>
  <c r="F23" i="24" s="1"/>
  <c r="I23" i="24"/>
  <c r="D23" i="24" s="1"/>
  <c r="J23" i="31"/>
  <c r="F23" i="31" s="1"/>
  <c r="K23" i="31"/>
  <c r="G23" i="31" s="1"/>
  <c r="I23" i="31"/>
  <c r="D23" i="27"/>
  <c r="E22" i="29"/>
  <c r="D22" i="29"/>
  <c r="E22" i="22"/>
  <c r="I23" i="22" s="1"/>
  <c r="D23" i="22" s="1"/>
  <c r="E22" i="32"/>
  <c r="I23" i="32" s="1"/>
  <c r="D23" i="32" s="1"/>
  <c r="J23" i="28"/>
  <c r="F23" i="28" s="1"/>
  <c r="I23" i="28"/>
  <c r="D23" i="28" s="1"/>
  <c r="D22" i="26"/>
  <c r="E22" i="26"/>
  <c r="E22" i="30"/>
  <c r="D22" i="30"/>
  <c r="D22" i="20"/>
  <c r="E22" i="20"/>
  <c r="I23" i="21"/>
  <c r="D23" i="21" s="1"/>
  <c r="E22" i="1"/>
  <c r="K23" i="1" s="1"/>
  <c r="G23" i="1" s="1"/>
  <c r="K23" i="21" l="1"/>
  <c r="G23" i="21" s="1"/>
  <c r="K23" i="27"/>
  <c r="G23" i="27" s="1"/>
  <c r="J23" i="27"/>
  <c r="F23" i="27" s="1"/>
  <c r="E22" i="23"/>
  <c r="E23" i="25"/>
  <c r="I24" i="25" s="1"/>
  <c r="D24" i="25" s="1"/>
  <c r="E23" i="24"/>
  <c r="J23" i="22"/>
  <c r="F23" i="22" s="1"/>
  <c r="K23" i="22"/>
  <c r="G23" i="22" s="1"/>
  <c r="D23" i="31"/>
  <c r="E23" i="31"/>
  <c r="J23" i="29"/>
  <c r="F23" i="29" s="1"/>
  <c r="K23" i="29"/>
  <c r="G23" i="29" s="1"/>
  <c r="I23" i="29"/>
  <c r="D23" i="29" s="1"/>
  <c r="K23" i="32"/>
  <c r="G23" i="32" s="1"/>
  <c r="J23" i="32"/>
  <c r="E23" i="28"/>
  <c r="K23" i="26"/>
  <c r="G23" i="26" s="1"/>
  <c r="J23" i="26"/>
  <c r="F23" i="26" s="1"/>
  <c r="I23" i="26"/>
  <c r="D23" i="26" s="1"/>
  <c r="I23" i="30"/>
  <c r="D23" i="30" s="1"/>
  <c r="J23" i="30"/>
  <c r="F23" i="30" s="1"/>
  <c r="K23" i="30"/>
  <c r="G23" i="30" s="1"/>
  <c r="I23" i="20"/>
  <c r="D23" i="20" s="1"/>
  <c r="K23" i="20"/>
  <c r="G23" i="20" s="1"/>
  <c r="J23" i="20"/>
  <c r="F23" i="20" s="1"/>
  <c r="J23" i="1"/>
  <c r="F23" i="1" s="1"/>
  <c r="I23" i="1"/>
  <c r="D23" i="1" s="1"/>
  <c r="E23" i="21" l="1"/>
  <c r="J24" i="21" s="1"/>
  <c r="F24" i="21" s="1"/>
  <c r="E23" i="27"/>
  <c r="J24" i="27" s="1"/>
  <c r="F24" i="27" s="1"/>
  <c r="J24" i="25"/>
  <c r="F24" i="25" s="1"/>
  <c r="K24" i="25"/>
  <c r="G24" i="25" s="1"/>
  <c r="E23" i="22"/>
  <c r="I24" i="22" s="1"/>
  <c r="D24" i="22" s="1"/>
  <c r="K23" i="23"/>
  <c r="G23" i="23" s="1"/>
  <c r="J23" i="23"/>
  <c r="F23" i="23" s="1"/>
  <c r="I23" i="23"/>
  <c r="D23" i="23" s="1"/>
  <c r="K24" i="24"/>
  <c r="G24" i="24" s="1"/>
  <c r="J24" i="24"/>
  <c r="F24" i="24" s="1"/>
  <c r="I24" i="24"/>
  <c r="D24" i="24" s="1"/>
  <c r="I24" i="31"/>
  <c r="D24" i="31" s="1"/>
  <c r="J24" i="31"/>
  <c r="F24" i="31" s="1"/>
  <c r="K24" i="31"/>
  <c r="G24" i="31" s="1"/>
  <c r="E23" i="29"/>
  <c r="F23" i="32"/>
  <c r="E23" i="32"/>
  <c r="J24" i="28"/>
  <c r="F24" i="28" s="1"/>
  <c r="K24" i="28"/>
  <c r="G24" i="28" s="1"/>
  <c r="I24" i="28"/>
  <c r="E23" i="30"/>
  <c r="I24" i="30" s="1"/>
  <c r="D24" i="30" s="1"/>
  <c r="E23" i="26"/>
  <c r="E23" i="20"/>
  <c r="I24" i="21"/>
  <c r="D24" i="21" s="1"/>
  <c r="K24" i="21"/>
  <c r="G24" i="21" s="1"/>
  <c r="E23" i="1"/>
  <c r="J24" i="1" s="1"/>
  <c r="F24" i="1" s="1"/>
  <c r="K24" i="27" l="1"/>
  <c r="G24" i="27" s="1"/>
  <c r="I24" i="27"/>
  <c r="D24" i="27" s="1"/>
  <c r="J24" i="22"/>
  <c r="F24" i="22" s="1"/>
  <c r="E24" i="25"/>
  <c r="K25" i="25" s="1"/>
  <c r="G25" i="25" s="1"/>
  <c r="K24" i="22"/>
  <c r="G24" i="22" s="1"/>
  <c r="E23" i="23"/>
  <c r="E24" i="24"/>
  <c r="E24" i="31"/>
  <c r="I24" i="29"/>
  <c r="K24" i="29"/>
  <c r="G24" i="29" s="1"/>
  <c r="J24" i="29"/>
  <c r="F24" i="29" s="1"/>
  <c r="K24" i="32"/>
  <c r="G24" i="32" s="1"/>
  <c r="J24" i="32"/>
  <c r="F24" i="32" s="1"/>
  <c r="I24" i="32"/>
  <c r="K24" i="30"/>
  <c r="G24" i="30" s="1"/>
  <c r="J24" i="30"/>
  <c r="F24" i="30" s="1"/>
  <c r="D24" i="28"/>
  <c r="E24" i="28"/>
  <c r="J24" i="26"/>
  <c r="F24" i="26" s="1"/>
  <c r="I24" i="26"/>
  <c r="D24" i="26" s="1"/>
  <c r="K24" i="26"/>
  <c r="G24" i="26" s="1"/>
  <c r="K24" i="20"/>
  <c r="G24" i="20" s="1"/>
  <c r="I24" i="20"/>
  <c r="D24" i="20" s="1"/>
  <c r="J24" i="20"/>
  <c r="F24" i="20" s="1"/>
  <c r="E24" i="21"/>
  <c r="I25" i="21" s="1"/>
  <c r="K24" i="1"/>
  <c r="G24" i="1" s="1"/>
  <c r="I24" i="1"/>
  <c r="D24" i="1" s="1"/>
  <c r="E24" i="27" l="1"/>
  <c r="I25" i="27" s="1"/>
  <c r="D25" i="27" s="1"/>
  <c r="E24" i="22"/>
  <c r="K25" i="22" s="1"/>
  <c r="G25" i="22" s="1"/>
  <c r="J25" i="25"/>
  <c r="F25" i="25" s="1"/>
  <c r="I25" i="25"/>
  <c r="D25" i="25" s="1"/>
  <c r="I24" i="23"/>
  <c r="D24" i="23" s="1"/>
  <c r="K24" i="23"/>
  <c r="G24" i="23" s="1"/>
  <c r="J24" i="23"/>
  <c r="F24" i="23" s="1"/>
  <c r="K25" i="24"/>
  <c r="G25" i="24" s="1"/>
  <c r="I25" i="24"/>
  <c r="D25" i="24" s="1"/>
  <c r="J25" i="24"/>
  <c r="F25" i="24" s="1"/>
  <c r="K25" i="31"/>
  <c r="G25" i="31" s="1"/>
  <c r="J25" i="31"/>
  <c r="F25" i="31" s="1"/>
  <c r="I25" i="31"/>
  <c r="D25" i="31" s="1"/>
  <c r="D24" i="29"/>
  <c r="E24" i="29"/>
  <c r="E24" i="32"/>
  <c r="D24" i="32"/>
  <c r="E24" i="30"/>
  <c r="J25" i="30" s="1"/>
  <c r="F25" i="30" s="1"/>
  <c r="J25" i="28"/>
  <c r="F25" i="28" s="1"/>
  <c r="K25" i="28"/>
  <c r="G25" i="28" s="1"/>
  <c r="I25" i="28"/>
  <c r="D25" i="28" s="1"/>
  <c r="E24" i="26"/>
  <c r="J25" i="22"/>
  <c r="F25" i="22" s="1"/>
  <c r="E24" i="20"/>
  <c r="I25" i="20" s="1"/>
  <c r="D25" i="21"/>
  <c r="J25" i="21"/>
  <c r="F25" i="21" s="1"/>
  <c r="K25" i="21"/>
  <c r="G25" i="21" s="1"/>
  <c r="E24" i="1"/>
  <c r="K25" i="1" s="1"/>
  <c r="G25" i="1" s="1"/>
  <c r="K25" i="27" l="1"/>
  <c r="G25" i="27" s="1"/>
  <c r="J25" i="27"/>
  <c r="F25" i="27" s="1"/>
  <c r="I25" i="22"/>
  <c r="D25" i="22" s="1"/>
  <c r="E25" i="25"/>
  <c r="K26" i="25" s="1"/>
  <c r="G26" i="25" s="1"/>
  <c r="E24" i="23"/>
  <c r="E25" i="24"/>
  <c r="E25" i="31"/>
  <c r="K25" i="29"/>
  <c r="G25" i="29" s="1"/>
  <c r="J25" i="29"/>
  <c r="F25" i="29" s="1"/>
  <c r="I25" i="29"/>
  <c r="K25" i="32"/>
  <c r="G25" i="32" s="1"/>
  <c r="J25" i="32"/>
  <c r="F25" i="32" s="1"/>
  <c r="I25" i="32"/>
  <c r="K25" i="30"/>
  <c r="G25" i="30" s="1"/>
  <c r="I25" i="30"/>
  <c r="E25" i="28"/>
  <c r="K26" i="28" s="1"/>
  <c r="G26" i="28" s="1"/>
  <c r="K25" i="26"/>
  <c r="G25" i="26" s="1"/>
  <c r="J25" i="26"/>
  <c r="F25" i="26" s="1"/>
  <c r="I25" i="26"/>
  <c r="D25" i="26" s="1"/>
  <c r="E25" i="22"/>
  <c r="K26" i="22" s="1"/>
  <c r="G26" i="22" s="1"/>
  <c r="J25" i="20"/>
  <c r="F25" i="20" s="1"/>
  <c r="K25" i="20"/>
  <c r="G25" i="20" s="1"/>
  <c r="D25" i="20"/>
  <c r="E25" i="21"/>
  <c r="I25" i="1"/>
  <c r="D25" i="1" s="1"/>
  <c r="J25" i="1"/>
  <c r="F25" i="1" s="1"/>
  <c r="E25" i="27" l="1"/>
  <c r="J26" i="27" s="1"/>
  <c r="F26" i="27" s="1"/>
  <c r="I26" i="25"/>
  <c r="D26" i="25" s="1"/>
  <c r="J26" i="25"/>
  <c r="F26" i="25" s="1"/>
  <c r="K25" i="23"/>
  <c r="G25" i="23" s="1"/>
  <c r="J25" i="23"/>
  <c r="F25" i="23" s="1"/>
  <c r="I25" i="23"/>
  <c r="D25" i="23" s="1"/>
  <c r="E25" i="30"/>
  <c r="J26" i="30" s="1"/>
  <c r="F26" i="30" s="1"/>
  <c r="I26" i="24"/>
  <c r="D26" i="24" s="1"/>
  <c r="J26" i="24"/>
  <c r="F26" i="24" s="1"/>
  <c r="K26" i="24"/>
  <c r="G26" i="24" s="1"/>
  <c r="I26" i="31"/>
  <c r="D26" i="31" s="1"/>
  <c r="K26" i="31"/>
  <c r="G26" i="31" s="1"/>
  <c r="J26" i="31"/>
  <c r="F26" i="31" s="1"/>
  <c r="D25" i="29"/>
  <c r="E25" i="29"/>
  <c r="D25" i="30"/>
  <c r="E25" i="32"/>
  <c r="D25" i="32"/>
  <c r="I26" i="22"/>
  <c r="D26" i="22" s="1"/>
  <c r="I26" i="28"/>
  <c r="J26" i="28"/>
  <c r="F26" i="28" s="1"/>
  <c r="J26" i="22"/>
  <c r="F26" i="22" s="1"/>
  <c r="E25" i="26"/>
  <c r="E25" i="20"/>
  <c r="K26" i="20" s="1"/>
  <c r="G26" i="20" s="1"/>
  <c r="K26" i="21"/>
  <c r="G26" i="21" s="1"/>
  <c r="I26" i="21"/>
  <c r="J26" i="21"/>
  <c r="F26" i="21" s="1"/>
  <c r="E25" i="1"/>
  <c r="K26" i="1" s="1"/>
  <c r="G26" i="1" s="1"/>
  <c r="K26" i="27" l="1"/>
  <c r="G26" i="27" s="1"/>
  <c r="I26" i="27"/>
  <c r="D26" i="27" s="1"/>
  <c r="E26" i="25"/>
  <c r="I27" i="25" s="1"/>
  <c r="D27" i="25" s="1"/>
  <c r="K26" i="30"/>
  <c r="G26" i="30" s="1"/>
  <c r="E25" i="23"/>
  <c r="I26" i="30"/>
  <c r="D26" i="30" s="1"/>
  <c r="E26" i="24"/>
  <c r="E26" i="31"/>
  <c r="J26" i="29"/>
  <c r="F26" i="29" s="1"/>
  <c r="I26" i="29"/>
  <c r="K26" i="29"/>
  <c r="G26" i="29" s="1"/>
  <c r="I26" i="32"/>
  <c r="D26" i="32" s="1"/>
  <c r="J26" i="32"/>
  <c r="F26" i="32" s="1"/>
  <c r="K26" i="32"/>
  <c r="G26" i="32" s="1"/>
  <c r="E26" i="22"/>
  <c r="J27" i="22" s="1"/>
  <c r="F27" i="22" s="1"/>
  <c r="D26" i="28"/>
  <c r="E26" i="28"/>
  <c r="I26" i="26"/>
  <c r="D26" i="26" s="1"/>
  <c r="K26" i="26"/>
  <c r="G26" i="26" s="1"/>
  <c r="J26" i="26"/>
  <c r="F26" i="26" s="1"/>
  <c r="I26" i="20"/>
  <c r="D26" i="20" s="1"/>
  <c r="J26" i="20"/>
  <c r="F26" i="20" s="1"/>
  <c r="D26" i="21"/>
  <c r="E26" i="21"/>
  <c r="I26" i="1"/>
  <c r="D26" i="1" s="1"/>
  <c r="J26" i="1"/>
  <c r="F26" i="1" s="1"/>
  <c r="E26" i="27" l="1"/>
  <c r="J27" i="27" s="1"/>
  <c r="F27" i="27" s="1"/>
  <c r="K27" i="25"/>
  <c r="G27" i="25" s="1"/>
  <c r="J27" i="25"/>
  <c r="F27" i="25" s="1"/>
  <c r="E26" i="30"/>
  <c r="J27" i="30" s="1"/>
  <c r="F27" i="30" s="1"/>
  <c r="K26" i="23"/>
  <c r="G26" i="23" s="1"/>
  <c r="I26" i="23"/>
  <c r="D26" i="23" s="1"/>
  <c r="J26" i="23"/>
  <c r="F26" i="23" s="1"/>
  <c r="I27" i="24"/>
  <c r="D27" i="24" s="1"/>
  <c r="K27" i="24"/>
  <c r="G27" i="24" s="1"/>
  <c r="J27" i="24"/>
  <c r="F27" i="24" s="1"/>
  <c r="J27" i="31"/>
  <c r="F27" i="31" s="1"/>
  <c r="I27" i="31"/>
  <c r="D27" i="31" s="1"/>
  <c r="K27" i="31"/>
  <c r="G27" i="31" s="1"/>
  <c r="D26" i="29"/>
  <c r="E26" i="29"/>
  <c r="I27" i="22"/>
  <c r="D27" i="22" s="1"/>
  <c r="K27" i="22"/>
  <c r="G27" i="22" s="1"/>
  <c r="E26" i="32"/>
  <c r="J27" i="28"/>
  <c r="F27" i="28" s="1"/>
  <c r="I27" i="28"/>
  <c r="K27" i="28"/>
  <c r="G27" i="28" s="1"/>
  <c r="E26" i="26"/>
  <c r="E26" i="20"/>
  <c r="J27" i="21"/>
  <c r="F27" i="21" s="1"/>
  <c r="K27" i="21"/>
  <c r="G27" i="21" s="1"/>
  <c r="I27" i="21"/>
  <c r="E26" i="1"/>
  <c r="J27" i="1" s="1"/>
  <c r="F27" i="1" s="1"/>
  <c r="I27" i="27" l="1"/>
  <c r="D27" i="27" s="1"/>
  <c r="K27" i="27"/>
  <c r="G27" i="27" s="1"/>
  <c r="E27" i="25"/>
  <c r="I27" i="30"/>
  <c r="D27" i="30" s="1"/>
  <c r="K27" i="30"/>
  <c r="G27" i="30" s="1"/>
  <c r="E26" i="23"/>
  <c r="E27" i="24"/>
  <c r="E27" i="31"/>
  <c r="J27" i="29"/>
  <c r="F27" i="29" s="1"/>
  <c r="I27" i="29"/>
  <c r="D27" i="29" s="1"/>
  <c r="K27" i="29"/>
  <c r="G27" i="29" s="1"/>
  <c r="E27" i="22"/>
  <c r="I28" i="22" s="1"/>
  <c r="D28" i="22" s="1"/>
  <c r="I27" i="32"/>
  <c r="D27" i="32" s="1"/>
  <c r="K27" i="32"/>
  <c r="G27" i="32" s="1"/>
  <c r="J27" i="32"/>
  <c r="F27" i="32" s="1"/>
  <c r="E27" i="28"/>
  <c r="D27" i="28"/>
  <c r="I27" i="26"/>
  <c r="D27" i="26" s="1"/>
  <c r="J27" i="26"/>
  <c r="F27" i="26" s="1"/>
  <c r="K27" i="26"/>
  <c r="G27" i="26" s="1"/>
  <c r="I27" i="20"/>
  <c r="K27" i="20"/>
  <c r="G27" i="20" s="1"/>
  <c r="J27" i="20"/>
  <c r="F27" i="20" s="1"/>
  <c r="D27" i="21"/>
  <c r="E27" i="21"/>
  <c r="I27" i="1"/>
  <c r="D27" i="1" s="1"/>
  <c r="K27" i="1"/>
  <c r="G27" i="1" s="1"/>
  <c r="E27" i="27" l="1"/>
  <c r="I28" i="27" s="1"/>
  <c r="D28" i="27" s="1"/>
  <c r="E27" i="30"/>
  <c r="K28" i="30" s="1"/>
  <c r="G28" i="30" s="1"/>
  <c r="K28" i="25"/>
  <c r="G28" i="25" s="1"/>
  <c r="J28" i="25"/>
  <c r="F28" i="25" s="1"/>
  <c r="I28" i="25"/>
  <c r="J27" i="23"/>
  <c r="F27" i="23" s="1"/>
  <c r="K27" i="23"/>
  <c r="G27" i="23" s="1"/>
  <c r="I27" i="23"/>
  <c r="D27" i="23" s="1"/>
  <c r="K28" i="24"/>
  <c r="G28" i="24" s="1"/>
  <c r="J28" i="24"/>
  <c r="F28" i="24" s="1"/>
  <c r="I28" i="24"/>
  <c r="D28" i="24" s="1"/>
  <c r="J28" i="22"/>
  <c r="F28" i="22" s="1"/>
  <c r="I28" i="31"/>
  <c r="D28" i="31" s="1"/>
  <c r="J28" i="31"/>
  <c r="F28" i="31" s="1"/>
  <c r="K28" i="31"/>
  <c r="G28" i="31" s="1"/>
  <c r="K28" i="22"/>
  <c r="G28" i="22" s="1"/>
  <c r="E27" i="29"/>
  <c r="E27" i="32"/>
  <c r="K28" i="32" s="1"/>
  <c r="G28" i="32" s="1"/>
  <c r="K28" i="28"/>
  <c r="G28" i="28" s="1"/>
  <c r="J28" i="28"/>
  <c r="F28" i="28" s="1"/>
  <c r="I28" i="28"/>
  <c r="E27" i="26"/>
  <c r="D27" i="20"/>
  <c r="E27" i="20"/>
  <c r="I28" i="21"/>
  <c r="K28" i="21"/>
  <c r="G28" i="21" s="1"/>
  <c r="J28" i="21"/>
  <c r="F28" i="21" s="1"/>
  <c r="E27" i="1"/>
  <c r="I28" i="1" s="1"/>
  <c r="D28" i="1" s="1"/>
  <c r="J28" i="27" l="1"/>
  <c r="F28" i="27" s="1"/>
  <c r="K28" i="27"/>
  <c r="G28" i="27" s="1"/>
  <c r="J28" i="30"/>
  <c r="F28" i="30" s="1"/>
  <c r="I28" i="30"/>
  <c r="D28" i="30" s="1"/>
  <c r="D28" i="25"/>
  <c r="E28" i="25"/>
  <c r="E27" i="23"/>
  <c r="E28" i="24"/>
  <c r="E28" i="31"/>
  <c r="E28" i="22"/>
  <c r="K29" i="22" s="1"/>
  <c r="G29" i="22" s="1"/>
  <c r="K28" i="29"/>
  <c r="G28" i="29" s="1"/>
  <c r="I28" i="29"/>
  <c r="D28" i="29" s="1"/>
  <c r="J28" i="29"/>
  <c r="F28" i="29" s="1"/>
  <c r="J28" i="32"/>
  <c r="F28" i="32" s="1"/>
  <c r="I28" i="32"/>
  <c r="D28" i="32" s="1"/>
  <c r="E28" i="28"/>
  <c r="D28" i="28"/>
  <c r="I28" i="26"/>
  <c r="D28" i="26" s="1"/>
  <c r="K28" i="26"/>
  <c r="G28" i="26" s="1"/>
  <c r="J28" i="26"/>
  <c r="F28" i="26" s="1"/>
  <c r="I28" i="20"/>
  <c r="J28" i="20"/>
  <c r="F28" i="20" s="1"/>
  <c r="K28" i="20"/>
  <c r="G28" i="20" s="1"/>
  <c r="D28" i="21"/>
  <c r="E28" i="21"/>
  <c r="J28" i="1"/>
  <c r="F28" i="1" s="1"/>
  <c r="K28" i="1"/>
  <c r="G28" i="1" s="1"/>
  <c r="E28" i="27" l="1"/>
  <c r="E28" i="30"/>
  <c r="J29" i="30" s="1"/>
  <c r="F29" i="30" s="1"/>
  <c r="I29" i="25"/>
  <c r="J29" i="25"/>
  <c r="F29" i="25" s="1"/>
  <c r="K29" i="25"/>
  <c r="G29" i="25" s="1"/>
  <c r="I29" i="22"/>
  <c r="D29" i="22" s="1"/>
  <c r="J29" i="22"/>
  <c r="F29" i="22" s="1"/>
  <c r="K28" i="23"/>
  <c r="G28" i="23" s="1"/>
  <c r="J28" i="23"/>
  <c r="F28" i="23" s="1"/>
  <c r="I28" i="23"/>
  <c r="D28" i="23" s="1"/>
  <c r="I29" i="24"/>
  <c r="D29" i="24" s="1"/>
  <c r="J29" i="24"/>
  <c r="F29" i="24" s="1"/>
  <c r="K29" i="24"/>
  <c r="G29" i="24" s="1"/>
  <c r="J29" i="31"/>
  <c r="F29" i="31" s="1"/>
  <c r="I29" i="31"/>
  <c r="D29" i="31" s="1"/>
  <c r="K29" i="31"/>
  <c r="G29" i="31" s="1"/>
  <c r="E28" i="29"/>
  <c r="I29" i="29" s="1"/>
  <c r="D29" i="29" s="1"/>
  <c r="E28" i="32"/>
  <c r="J29" i="32" s="1"/>
  <c r="F29" i="32" s="1"/>
  <c r="I29" i="30"/>
  <c r="D29" i="30" s="1"/>
  <c r="I29" i="28"/>
  <c r="D29" i="28" s="1"/>
  <c r="K29" i="28"/>
  <c r="G29" i="28" s="1"/>
  <c r="J29" i="28"/>
  <c r="F29" i="28" s="1"/>
  <c r="E28" i="26"/>
  <c r="I29" i="26" s="1"/>
  <c r="E28" i="20"/>
  <c r="K29" i="20" s="1"/>
  <c r="G29" i="20" s="1"/>
  <c r="D28" i="20"/>
  <c r="I29" i="21"/>
  <c r="D29" i="21" s="1"/>
  <c r="K29" i="21"/>
  <c r="G29" i="21" s="1"/>
  <c r="J29" i="21"/>
  <c r="F29" i="21" s="1"/>
  <c r="E28" i="1"/>
  <c r="K29" i="1" s="1"/>
  <c r="G29" i="1" s="1"/>
  <c r="K29" i="30" l="1"/>
  <c r="G29" i="30" s="1"/>
  <c r="J29" i="27"/>
  <c r="F29" i="27" s="1"/>
  <c r="K29" i="27"/>
  <c r="G29" i="27" s="1"/>
  <c r="I29" i="27"/>
  <c r="D29" i="25"/>
  <c r="E29" i="25"/>
  <c r="E29" i="22"/>
  <c r="I30" i="22" s="1"/>
  <c r="D30" i="22" s="1"/>
  <c r="E28" i="23"/>
  <c r="E29" i="24"/>
  <c r="I30" i="24" s="1"/>
  <c r="D30" i="24" s="1"/>
  <c r="E29" i="31"/>
  <c r="J29" i="29"/>
  <c r="F29" i="29" s="1"/>
  <c r="K29" i="29"/>
  <c r="G29" i="29" s="1"/>
  <c r="I29" i="32"/>
  <c r="K29" i="32"/>
  <c r="G29" i="32" s="1"/>
  <c r="J29" i="26"/>
  <c r="F29" i="26" s="1"/>
  <c r="K29" i="26"/>
  <c r="G29" i="26" s="1"/>
  <c r="E29" i="28"/>
  <c r="E29" i="30"/>
  <c r="I30" i="30" s="1"/>
  <c r="D30" i="30" s="1"/>
  <c r="D29" i="26"/>
  <c r="J29" i="20"/>
  <c r="F29" i="20" s="1"/>
  <c r="I29" i="20"/>
  <c r="D29" i="20" s="1"/>
  <c r="E29" i="21"/>
  <c r="K30" i="21" s="1"/>
  <c r="G30" i="21" s="1"/>
  <c r="I29" i="1"/>
  <c r="D29" i="1" s="1"/>
  <c r="J29" i="1"/>
  <c r="F29" i="1" s="1"/>
  <c r="D29" i="27" l="1"/>
  <c r="E29" i="27"/>
  <c r="I30" i="25"/>
  <c r="J30" i="25"/>
  <c r="F30" i="25" s="1"/>
  <c r="K30" i="25"/>
  <c r="G30" i="25" s="1"/>
  <c r="J30" i="22"/>
  <c r="F30" i="22" s="1"/>
  <c r="K30" i="22"/>
  <c r="G30" i="22" s="1"/>
  <c r="J30" i="24"/>
  <c r="F30" i="24" s="1"/>
  <c r="K30" i="24"/>
  <c r="G30" i="24" s="1"/>
  <c r="I29" i="23"/>
  <c r="D29" i="23" s="1"/>
  <c r="J29" i="23"/>
  <c r="F29" i="23" s="1"/>
  <c r="K29" i="23"/>
  <c r="G29" i="23" s="1"/>
  <c r="K30" i="31"/>
  <c r="G30" i="31" s="1"/>
  <c r="J30" i="31"/>
  <c r="F30" i="31" s="1"/>
  <c r="I30" i="31"/>
  <c r="D30" i="31" s="1"/>
  <c r="E29" i="29"/>
  <c r="I30" i="29" s="1"/>
  <c r="D30" i="29" s="1"/>
  <c r="E29" i="32"/>
  <c r="K30" i="32" s="1"/>
  <c r="G30" i="32" s="1"/>
  <c r="D29" i="32"/>
  <c r="K30" i="30"/>
  <c r="G30" i="30" s="1"/>
  <c r="J30" i="30"/>
  <c r="F30" i="30" s="1"/>
  <c r="E29" i="26"/>
  <c r="J30" i="26" s="1"/>
  <c r="F30" i="26" s="1"/>
  <c r="K30" i="28"/>
  <c r="G30" i="28" s="1"/>
  <c r="J30" i="28"/>
  <c r="F30" i="28" s="1"/>
  <c r="I30" i="28"/>
  <c r="E29" i="20"/>
  <c r="K30" i="20" s="1"/>
  <c r="G30" i="20" s="1"/>
  <c r="I30" i="21"/>
  <c r="D30" i="21" s="1"/>
  <c r="J30" i="21"/>
  <c r="F30" i="21" s="1"/>
  <c r="E29" i="1"/>
  <c r="K30" i="1" s="1"/>
  <c r="G30" i="1" s="1"/>
  <c r="K30" i="27" l="1"/>
  <c r="G30" i="27" s="1"/>
  <c r="J30" i="27"/>
  <c r="F30" i="27" s="1"/>
  <c r="I30" i="27"/>
  <c r="D30" i="25"/>
  <c r="E30" i="25"/>
  <c r="E30" i="22"/>
  <c r="J31" i="22" s="1"/>
  <c r="F31" i="22" s="1"/>
  <c r="E30" i="24"/>
  <c r="J31" i="24" s="1"/>
  <c r="F31" i="24" s="1"/>
  <c r="E29" i="23"/>
  <c r="E30" i="31"/>
  <c r="K30" i="29"/>
  <c r="G30" i="29" s="1"/>
  <c r="J30" i="29"/>
  <c r="J30" i="32"/>
  <c r="F30" i="32" s="1"/>
  <c r="I30" i="32"/>
  <c r="D30" i="32" s="1"/>
  <c r="E30" i="30"/>
  <c r="J31" i="30" s="1"/>
  <c r="F31" i="30" s="1"/>
  <c r="I30" i="26"/>
  <c r="D30" i="26" s="1"/>
  <c r="K30" i="26"/>
  <c r="G30" i="26" s="1"/>
  <c r="E30" i="28"/>
  <c r="D30" i="28"/>
  <c r="I30" i="20"/>
  <c r="D30" i="20" s="1"/>
  <c r="J30" i="20"/>
  <c r="F30" i="20" s="1"/>
  <c r="E30" i="21"/>
  <c r="I30" i="1"/>
  <c r="D30" i="1" s="1"/>
  <c r="J30" i="1"/>
  <c r="F30" i="1" s="1"/>
  <c r="D30" i="27" l="1"/>
  <c r="E30" i="27"/>
  <c r="J31" i="25"/>
  <c r="F31" i="25" s="1"/>
  <c r="I31" i="25"/>
  <c r="D31" i="25" s="1"/>
  <c r="K31" i="25"/>
  <c r="G31" i="25" s="1"/>
  <c r="K31" i="22"/>
  <c r="G31" i="22" s="1"/>
  <c r="I31" i="22"/>
  <c r="D31" i="22" s="1"/>
  <c r="I31" i="24"/>
  <c r="D31" i="24" s="1"/>
  <c r="K31" i="24"/>
  <c r="G31" i="24" s="1"/>
  <c r="J30" i="23"/>
  <c r="F30" i="23" s="1"/>
  <c r="K30" i="23"/>
  <c r="G30" i="23" s="1"/>
  <c r="I30" i="23"/>
  <c r="D30" i="23" s="1"/>
  <c r="K31" i="30"/>
  <c r="G31" i="30" s="1"/>
  <c r="E30" i="29"/>
  <c r="J31" i="29" s="1"/>
  <c r="F30" i="29"/>
  <c r="K31" i="31"/>
  <c r="G31" i="31" s="1"/>
  <c r="J31" i="31"/>
  <c r="F31" i="31" s="1"/>
  <c r="I31" i="31"/>
  <c r="D31" i="31" s="1"/>
  <c r="E30" i="32"/>
  <c r="I31" i="32" s="1"/>
  <c r="D31" i="32" s="1"/>
  <c r="I31" i="30"/>
  <c r="D31" i="30" s="1"/>
  <c r="E30" i="26"/>
  <c r="K31" i="26" s="1"/>
  <c r="G31" i="26" s="1"/>
  <c r="I31" i="28"/>
  <c r="D31" i="28" s="1"/>
  <c r="J31" i="28"/>
  <c r="F31" i="28" s="1"/>
  <c r="K31" i="28"/>
  <c r="G31" i="28" s="1"/>
  <c r="E30" i="20"/>
  <c r="I31" i="20" s="1"/>
  <c r="D31" i="20" s="1"/>
  <c r="I31" i="21"/>
  <c r="K31" i="21"/>
  <c r="G31" i="21" s="1"/>
  <c r="J31" i="21"/>
  <c r="F31" i="21" s="1"/>
  <c r="E30" i="1"/>
  <c r="J31" i="1" s="1"/>
  <c r="F31" i="1" s="1"/>
  <c r="J31" i="27" l="1"/>
  <c r="F31" i="27" s="1"/>
  <c r="I31" i="27"/>
  <c r="K31" i="27"/>
  <c r="G31" i="27" s="1"/>
  <c r="E31" i="25"/>
  <c r="I32" i="25" s="1"/>
  <c r="D32" i="25" s="1"/>
  <c r="E31" i="22"/>
  <c r="J32" i="22" s="1"/>
  <c r="F32" i="22" s="1"/>
  <c r="E31" i="24"/>
  <c r="J32" i="24" s="1"/>
  <c r="F32" i="24" s="1"/>
  <c r="F31" i="29"/>
  <c r="E30" i="23"/>
  <c r="K31" i="23" s="1"/>
  <c r="G31" i="23" s="1"/>
  <c r="I31" i="29"/>
  <c r="D31" i="29" s="1"/>
  <c r="K31" i="29"/>
  <c r="G31" i="29" s="1"/>
  <c r="J31" i="32"/>
  <c r="F31" i="32" s="1"/>
  <c r="E31" i="30"/>
  <c r="K32" i="30" s="1"/>
  <c r="G32" i="30" s="1"/>
  <c r="K31" i="32"/>
  <c r="G31" i="32" s="1"/>
  <c r="E31" i="31"/>
  <c r="J31" i="26"/>
  <c r="F31" i="26" s="1"/>
  <c r="I31" i="26"/>
  <c r="E31" i="28"/>
  <c r="K31" i="20"/>
  <c r="G31" i="20" s="1"/>
  <c r="J31" i="20"/>
  <c r="F31" i="20" s="1"/>
  <c r="D31" i="21"/>
  <c r="E31" i="21"/>
  <c r="K31" i="1"/>
  <c r="G31" i="1" s="1"/>
  <c r="I31" i="1"/>
  <c r="D31" i="1" s="1"/>
  <c r="D31" i="27" l="1"/>
  <c r="E31" i="27"/>
  <c r="K32" i="25"/>
  <c r="G32" i="25" s="1"/>
  <c r="J32" i="25"/>
  <c r="I32" i="22"/>
  <c r="D32" i="22" s="1"/>
  <c r="K32" i="22"/>
  <c r="G32" i="22" s="1"/>
  <c r="I32" i="24"/>
  <c r="D32" i="24" s="1"/>
  <c r="K32" i="24"/>
  <c r="G32" i="24" s="1"/>
  <c r="I31" i="23"/>
  <c r="D31" i="23" s="1"/>
  <c r="I32" i="30"/>
  <c r="D32" i="30" s="1"/>
  <c r="J32" i="30"/>
  <c r="F32" i="30" s="1"/>
  <c r="J31" i="23"/>
  <c r="F31" i="23" s="1"/>
  <c r="E31" i="32"/>
  <c r="I32" i="32" s="1"/>
  <c r="D32" i="32" s="1"/>
  <c r="E31" i="29"/>
  <c r="I32" i="29" s="1"/>
  <c r="K32" i="31"/>
  <c r="G32" i="31" s="1"/>
  <c r="J32" i="31"/>
  <c r="F32" i="31" s="1"/>
  <c r="I32" i="31"/>
  <c r="D32" i="31" s="1"/>
  <c r="D31" i="26"/>
  <c r="E31" i="26"/>
  <c r="I32" i="28"/>
  <c r="D32" i="28" s="1"/>
  <c r="K32" i="28"/>
  <c r="G32" i="28" s="1"/>
  <c r="J32" i="28"/>
  <c r="F32" i="28" s="1"/>
  <c r="E31" i="20"/>
  <c r="I32" i="20" s="1"/>
  <c r="K32" i="21"/>
  <c r="G32" i="21" s="1"/>
  <c r="I32" i="21"/>
  <c r="J32" i="21"/>
  <c r="F32" i="21" s="1"/>
  <c r="E31" i="1"/>
  <c r="K32" i="1" s="1"/>
  <c r="G32" i="1" s="1"/>
  <c r="J32" i="27" l="1"/>
  <c r="F32" i="27" s="1"/>
  <c r="I32" i="27"/>
  <c r="K32" i="27"/>
  <c r="G32" i="27" s="1"/>
  <c r="F32" i="25"/>
  <c r="E32" i="25"/>
  <c r="E32" i="22"/>
  <c r="J33" i="22" s="1"/>
  <c r="F33" i="22" s="1"/>
  <c r="E32" i="24"/>
  <c r="J33" i="24" s="1"/>
  <c r="F33" i="24" s="1"/>
  <c r="E32" i="30"/>
  <c r="J33" i="30" s="1"/>
  <c r="F33" i="30" s="1"/>
  <c r="K32" i="32"/>
  <c r="G32" i="32" s="1"/>
  <c r="E31" i="23"/>
  <c r="J32" i="23" s="1"/>
  <c r="F32" i="23" s="1"/>
  <c r="J32" i="32"/>
  <c r="F32" i="32" s="1"/>
  <c r="K32" i="29"/>
  <c r="G32" i="29" s="1"/>
  <c r="J32" i="29"/>
  <c r="F32" i="29" s="1"/>
  <c r="E32" i="31"/>
  <c r="J33" i="31" s="1"/>
  <c r="F33" i="31" s="1"/>
  <c r="D32" i="29"/>
  <c r="J32" i="26"/>
  <c r="F32" i="26" s="1"/>
  <c r="I32" i="26"/>
  <c r="K32" i="26"/>
  <c r="G32" i="26" s="1"/>
  <c r="E32" i="28"/>
  <c r="K32" i="20"/>
  <c r="G32" i="20" s="1"/>
  <c r="J32" i="20"/>
  <c r="F32" i="20" s="1"/>
  <c r="D32" i="20"/>
  <c r="D32" i="21"/>
  <c r="E32" i="21"/>
  <c r="I32" i="1"/>
  <c r="D32" i="1" s="1"/>
  <c r="J32" i="1"/>
  <c r="F32" i="1" s="1"/>
  <c r="K33" i="22" l="1"/>
  <c r="G33" i="22" s="1"/>
  <c r="I33" i="22"/>
  <c r="D33" i="22" s="1"/>
  <c r="D32" i="27"/>
  <c r="E32" i="27"/>
  <c r="K33" i="25"/>
  <c r="G33" i="25" s="1"/>
  <c r="J33" i="25"/>
  <c r="F33" i="25" s="1"/>
  <c r="I33" i="25"/>
  <c r="I33" i="30"/>
  <c r="D33" i="30" s="1"/>
  <c r="I32" i="23"/>
  <c r="D32" i="23" s="1"/>
  <c r="I33" i="24"/>
  <c r="D33" i="24" s="1"/>
  <c r="K33" i="24"/>
  <c r="G33" i="24" s="1"/>
  <c r="K32" i="23"/>
  <c r="G32" i="23" s="1"/>
  <c r="K33" i="30"/>
  <c r="G33" i="30" s="1"/>
  <c r="E32" i="32"/>
  <c r="K33" i="32" s="1"/>
  <c r="G33" i="32" s="1"/>
  <c r="E32" i="29"/>
  <c r="I33" i="29" s="1"/>
  <c r="K33" i="31"/>
  <c r="G33" i="31" s="1"/>
  <c r="I33" i="31"/>
  <c r="D32" i="26"/>
  <c r="E32" i="26"/>
  <c r="E33" i="22"/>
  <c r="I34" i="22" s="1"/>
  <c r="D34" i="22" s="1"/>
  <c r="I33" i="28"/>
  <c r="D33" i="28" s="1"/>
  <c r="J33" i="28"/>
  <c r="F33" i="28" s="1"/>
  <c r="K33" i="28"/>
  <c r="G33" i="28" s="1"/>
  <c r="E32" i="20"/>
  <c r="K33" i="20" s="1"/>
  <c r="G33" i="20" s="1"/>
  <c r="J33" i="21"/>
  <c r="F33" i="21" s="1"/>
  <c r="K33" i="21"/>
  <c r="G33" i="21" s="1"/>
  <c r="I33" i="21"/>
  <c r="D33" i="21" s="1"/>
  <c r="E32" i="1"/>
  <c r="K33" i="1" s="1"/>
  <c r="G33" i="1" s="1"/>
  <c r="K33" i="27" l="1"/>
  <c r="G33" i="27" s="1"/>
  <c r="J33" i="27"/>
  <c r="F33" i="27" s="1"/>
  <c r="I33" i="27"/>
  <c r="D33" i="25"/>
  <c r="E33" i="25"/>
  <c r="I33" i="32"/>
  <c r="D33" i="32" s="1"/>
  <c r="E33" i="24"/>
  <c r="K34" i="24" s="1"/>
  <c r="G34" i="24" s="1"/>
  <c r="E32" i="23"/>
  <c r="J33" i="23" s="1"/>
  <c r="F33" i="23" s="1"/>
  <c r="E33" i="30"/>
  <c r="K34" i="30" s="1"/>
  <c r="G34" i="30" s="1"/>
  <c r="J33" i="29"/>
  <c r="F33" i="29" s="1"/>
  <c r="J33" i="32"/>
  <c r="F33" i="32" s="1"/>
  <c r="K33" i="29"/>
  <c r="G33" i="29" s="1"/>
  <c r="E33" i="31"/>
  <c r="K34" i="31" s="1"/>
  <c r="G34" i="31" s="1"/>
  <c r="D33" i="31"/>
  <c r="D33" i="29"/>
  <c r="K33" i="26"/>
  <c r="G33" i="26" s="1"/>
  <c r="I33" i="26"/>
  <c r="J33" i="26"/>
  <c r="F33" i="26" s="1"/>
  <c r="J34" i="22"/>
  <c r="F34" i="22" s="1"/>
  <c r="K34" i="22"/>
  <c r="G34" i="22" s="1"/>
  <c r="E33" i="28"/>
  <c r="J33" i="20"/>
  <c r="F33" i="20" s="1"/>
  <c r="I33" i="20"/>
  <c r="D33" i="20" s="1"/>
  <c r="E33" i="21"/>
  <c r="I33" i="1"/>
  <c r="D33" i="1" s="1"/>
  <c r="J33" i="1"/>
  <c r="F33" i="1" s="1"/>
  <c r="D33" i="27" l="1"/>
  <c r="E33" i="27"/>
  <c r="J34" i="25"/>
  <c r="F34" i="25" s="1"/>
  <c r="K34" i="25"/>
  <c r="G34" i="25" s="1"/>
  <c r="I34" i="25"/>
  <c r="I33" i="23"/>
  <c r="D33" i="23" s="1"/>
  <c r="K33" i="23"/>
  <c r="G33" i="23" s="1"/>
  <c r="J34" i="24"/>
  <c r="F34" i="24" s="1"/>
  <c r="E33" i="29"/>
  <c r="J34" i="29" s="1"/>
  <c r="F34" i="29" s="1"/>
  <c r="J34" i="30"/>
  <c r="F34" i="30" s="1"/>
  <c r="I34" i="24"/>
  <c r="D34" i="24" s="1"/>
  <c r="I34" i="30"/>
  <c r="D34" i="30" s="1"/>
  <c r="J34" i="31"/>
  <c r="F34" i="31" s="1"/>
  <c r="E33" i="32"/>
  <c r="I34" i="32" s="1"/>
  <c r="D34" i="32" s="1"/>
  <c r="I34" i="31"/>
  <c r="D34" i="31" s="1"/>
  <c r="D33" i="26"/>
  <c r="E33" i="26"/>
  <c r="E34" i="22"/>
  <c r="K35" i="22" s="1"/>
  <c r="G35" i="22" s="1"/>
  <c r="K34" i="28"/>
  <c r="G34" i="28" s="1"/>
  <c r="J34" i="28"/>
  <c r="F34" i="28" s="1"/>
  <c r="I34" i="28"/>
  <c r="D34" i="28" s="1"/>
  <c r="E33" i="20"/>
  <c r="K34" i="20" s="1"/>
  <c r="G34" i="20" s="1"/>
  <c r="I34" i="21"/>
  <c r="D34" i="21" s="1"/>
  <c r="J34" i="21"/>
  <c r="F34" i="21" s="1"/>
  <c r="K34" i="21"/>
  <c r="G34" i="21" s="1"/>
  <c r="E33" i="1"/>
  <c r="K34" i="1" s="1"/>
  <c r="G34" i="1" s="1"/>
  <c r="J34" i="27" l="1"/>
  <c r="F34" i="27" s="1"/>
  <c r="K34" i="27"/>
  <c r="G34" i="27" s="1"/>
  <c r="I34" i="27"/>
  <c r="D34" i="25"/>
  <c r="E34" i="25"/>
  <c r="K34" i="29"/>
  <c r="G34" i="29" s="1"/>
  <c r="E34" i="24"/>
  <c r="J35" i="24" s="1"/>
  <c r="F35" i="24" s="1"/>
  <c r="I34" i="29"/>
  <c r="D34" i="29" s="1"/>
  <c r="E33" i="23"/>
  <c r="K34" i="23" s="1"/>
  <c r="G34" i="23" s="1"/>
  <c r="J34" i="32"/>
  <c r="F34" i="32" s="1"/>
  <c r="E34" i="30"/>
  <c r="K35" i="30" s="1"/>
  <c r="G35" i="30" s="1"/>
  <c r="K34" i="32"/>
  <c r="G34" i="32" s="1"/>
  <c r="E34" i="31"/>
  <c r="J35" i="31" s="1"/>
  <c r="F35" i="31" s="1"/>
  <c r="I35" i="22"/>
  <c r="D35" i="22" s="1"/>
  <c r="J34" i="26"/>
  <c r="F34" i="26" s="1"/>
  <c r="I34" i="26"/>
  <c r="D34" i="26" s="1"/>
  <c r="K34" i="26"/>
  <c r="G34" i="26" s="1"/>
  <c r="J35" i="22"/>
  <c r="F35" i="22" s="1"/>
  <c r="E34" i="28"/>
  <c r="I34" i="20"/>
  <c r="D34" i="20" s="1"/>
  <c r="J34" i="20"/>
  <c r="F34" i="20" s="1"/>
  <c r="E34" i="21"/>
  <c r="I34" i="1"/>
  <c r="D34" i="1" s="1"/>
  <c r="J34" i="1"/>
  <c r="F34" i="1" s="1"/>
  <c r="E34" i="27" l="1"/>
  <c r="D34" i="27"/>
  <c r="J35" i="25"/>
  <c r="F35" i="25" s="1"/>
  <c r="K35" i="25"/>
  <c r="G35" i="25" s="1"/>
  <c r="I35" i="25"/>
  <c r="K35" i="24"/>
  <c r="G35" i="24" s="1"/>
  <c r="I35" i="24"/>
  <c r="D35" i="24" s="1"/>
  <c r="J35" i="30"/>
  <c r="F35" i="30" s="1"/>
  <c r="I35" i="30"/>
  <c r="D35" i="30" s="1"/>
  <c r="E34" i="29"/>
  <c r="K35" i="29" s="1"/>
  <c r="G35" i="29" s="1"/>
  <c r="I34" i="23"/>
  <c r="D34" i="23" s="1"/>
  <c r="J34" i="23"/>
  <c r="F34" i="23" s="1"/>
  <c r="E34" i="32"/>
  <c r="K35" i="32" s="1"/>
  <c r="G35" i="32" s="1"/>
  <c r="K35" i="31"/>
  <c r="G35" i="31" s="1"/>
  <c r="I35" i="31"/>
  <c r="D35" i="31" s="1"/>
  <c r="E34" i="26"/>
  <c r="E35" i="22"/>
  <c r="I36" i="22" s="1"/>
  <c r="D36" i="22" s="1"/>
  <c r="J35" i="28"/>
  <c r="F35" i="28" s="1"/>
  <c r="K35" i="28"/>
  <c r="G35" i="28" s="1"/>
  <c r="I35" i="28"/>
  <c r="D35" i="28" s="1"/>
  <c r="E34" i="20"/>
  <c r="J35" i="20" s="1"/>
  <c r="F35" i="20" s="1"/>
  <c r="I35" i="21"/>
  <c r="D35" i="21" s="1"/>
  <c r="J35" i="21"/>
  <c r="F35" i="21" s="1"/>
  <c r="K35" i="21"/>
  <c r="G35" i="21" s="1"/>
  <c r="E34" i="1"/>
  <c r="K35" i="1" s="1"/>
  <c r="G35" i="1" s="1"/>
  <c r="K35" i="27" l="1"/>
  <c r="G35" i="27" s="1"/>
  <c r="I35" i="27"/>
  <c r="J35" i="27"/>
  <c r="F35" i="27" s="1"/>
  <c r="E35" i="25"/>
  <c r="D35" i="25"/>
  <c r="J35" i="29"/>
  <c r="F35" i="29" s="1"/>
  <c r="E35" i="24"/>
  <c r="J36" i="24" s="1"/>
  <c r="F36" i="24" s="1"/>
  <c r="E35" i="30"/>
  <c r="I36" i="30" s="1"/>
  <c r="D36" i="30" s="1"/>
  <c r="I35" i="29"/>
  <c r="J35" i="32"/>
  <c r="F35" i="32" s="1"/>
  <c r="E34" i="23"/>
  <c r="I35" i="23" s="1"/>
  <c r="D35" i="23" s="1"/>
  <c r="I35" i="32"/>
  <c r="D35" i="32" s="1"/>
  <c r="E35" i="31"/>
  <c r="I36" i="31" s="1"/>
  <c r="K36" i="22"/>
  <c r="G36" i="22" s="1"/>
  <c r="J36" i="22"/>
  <c r="F36" i="22" s="1"/>
  <c r="J35" i="26"/>
  <c r="F35" i="26" s="1"/>
  <c r="K35" i="26"/>
  <c r="G35" i="26" s="1"/>
  <c r="I35" i="26"/>
  <c r="D35" i="26" s="1"/>
  <c r="E35" i="28"/>
  <c r="I35" i="20"/>
  <c r="K35" i="20"/>
  <c r="G35" i="20" s="1"/>
  <c r="E35" i="21"/>
  <c r="J35" i="1"/>
  <c r="F35" i="1" s="1"/>
  <c r="I35" i="1"/>
  <c r="D35" i="1" s="1"/>
  <c r="D35" i="27" l="1"/>
  <c r="E35" i="27"/>
  <c r="E35" i="29"/>
  <c r="K36" i="29" s="1"/>
  <c r="G36" i="29" s="1"/>
  <c r="I36" i="24"/>
  <c r="D36" i="24" s="1"/>
  <c r="K36" i="25"/>
  <c r="G36" i="25" s="1"/>
  <c r="I36" i="25"/>
  <c r="J36" i="25"/>
  <c r="F36" i="25" s="1"/>
  <c r="J36" i="30"/>
  <c r="F36" i="30" s="1"/>
  <c r="K36" i="30"/>
  <c r="G36" i="30" s="1"/>
  <c r="K36" i="24"/>
  <c r="G36" i="24" s="1"/>
  <c r="D35" i="29"/>
  <c r="J36" i="31"/>
  <c r="F36" i="31" s="1"/>
  <c r="K36" i="31"/>
  <c r="G36" i="31" s="1"/>
  <c r="E35" i="32"/>
  <c r="I36" i="32" s="1"/>
  <c r="D36" i="32" s="1"/>
  <c r="J35" i="23"/>
  <c r="F35" i="23" s="1"/>
  <c r="K35" i="23"/>
  <c r="G35" i="23" s="1"/>
  <c r="D36" i="31"/>
  <c r="E36" i="22"/>
  <c r="K37" i="22" s="1"/>
  <c r="G37" i="22" s="1"/>
  <c r="E35" i="26"/>
  <c r="K36" i="28"/>
  <c r="G36" i="28" s="1"/>
  <c r="I36" i="28"/>
  <c r="D36" i="28" s="1"/>
  <c r="J36" i="28"/>
  <c r="F36" i="28" s="1"/>
  <c r="E35" i="20"/>
  <c r="J36" i="20" s="1"/>
  <c r="F36" i="20" s="1"/>
  <c r="D35" i="20"/>
  <c r="K36" i="21"/>
  <c r="G36" i="21" s="1"/>
  <c r="J36" i="21"/>
  <c r="F36" i="21" s="1"/>
  <c r="I36" i="21"/>
  <c r="D36" i="21" s="1"/>
  <c r="E35" i="1"/>
  <c r="K36" i="1" s="1"/>
  <c r="G36" i="1" s="1"/>
  <c r="K36" i="27" l="1"/>
  <c r="G36" i="27" s="1"/>
  <c r="I36" i="27"/>
  <c r="J36" i="27"/>
  <c r="F36" i="27" s="1"/>
  <c r="I36" i="29"/>
  <c r="D36" i="29" s="1"/>
  <c r="J36" i="29"/>
  <c r="F36" i="29" s="1"/>
  <c r="D36" i="25"/>
  <c r="E36" i="25"/>
  <c r="E36" i="30"/>
  <c r="J37" i="30" s="1"/>
  <c r="F37" i="30" s="1"/>
  <c r="E36" i="24"/>
  <c r="K37" i="24" s="1"/>
  <c r="G37" i="24" s="1"/>
  <c r="E36" i="31"/>
  <c r="I37" i="31" s="1"/>
  <c r="K36" i="32"/>
  <c r="G36" i="32" s="1"/>
  <c r="J36" i="32"/>
  <c r="F36" i="32" s="1"/>
  <c r="E35" i="23"/>
  <c r="J36" i="23" s="1"/>
  <c r="F36" i="23" s="1"/>
  <c r="I37" i="22"/>
  <c r="D37" i="22" s="1"/>
  <c r="J37" i="22"/>
  <c r="F37" i="22" s="1"/>
  <c r="K36" i="26"/>
  <c r="G36" i="26" s="1"/>
  <c r="I36" i="26"/>
  <c r="D36" i="26" s="1"/>
  <c r="J36" i="26"/>
  <c r="F36" i="26" s="1"/>
  <c r="E36" i="28"/>
  <c r="K36" i="20"/>
  <c r="G36" i="20" s="1"/>
  <c r="I36" i="20"/>
  <c r="D36" i="20" s="1"/>
  <c r="E36" i="21"/>
  <c r="I36" i="1"/>
  <c r="D36" i="1" s="1"/>
  <c r="J36" i="1"/>
  <c r="F36" i="1" s="1"/>
  <c r="E36" i="29" l="1"/>
  <c r="I37" i="29" s="1"/>
  <c r="D36" i="27"/>
  <c r="E36" i="27"/>
  <c r="K37" i="30"/>
  <c r="G37" i="30" s="1"/>
  <c r="I37" i="30"/>
  <c r="D37" i="30" s="1"/>
  <c r="I37" i="25"/>
  <c r="K37" i="25"/>
  <c r="G37" i="25" s="1"/>
  <c r="J37" i="25"/>
  <c r="F37" i="25" s="1"/>
  <c r="K37" i="31"/>
  <c r="G37" i="31" s="1"/>
  <c r="I37" i="24"/>
  <c r="D37" i="24" s="1"/>
  <c r="J37" i="24"/>
  <c r="F37" i="24" s="1"/>
  <c r="J37" i="31"/>
  <c r="F37" i="31" s="1"/>
  <c r="E36" i="32"/>
  <c r="I37" i="32" s="1"/>
  <c r="D37" i="32" s="1"/>
  <c r="I36" i="23"/>
  <c r="D36" i="23" s="1"/>
  <c r="K36" i="23"/>
  <c r="G36" i="23" s="1"/>
  <c r="D37" i="31"/>
  <c r="E37" i="22"/>
  <c r="K38" i="22" s="1"/>
  <c r="G38" i="22" s="1"/>
  <c r="K37" i="29"/>
  <c r="G37" i="29" s="1"/>
  <c r="E36" i="26"/>
  <c r="I37" i="28"/>
  <c r="D37" i="28" s="1"/>
  <c r="J37" i="28"/>
  <c r="F37" i="28" s="1"/>
  <c r="K37" i="28"/>
  <c r="G37" i="28" s="1"/>
  <c r="E36" i="20"/>
  <c r="J37" i="20" s="1"/>
  <c r="F37" i="20" s="1"/>
  <c r="J37" i="21"/>
  <c r="F37" i="21" s="1"/>
  <c r="K37" i="21"/>
  <c r="G37" i="21" s="1"/>
  <c r="I37" i="21"/>
  <c r="D37" i="21" s="1"/>
  <c r="E36" i="1"/>
  <c r="K37" i="1" s="1"/>
  <c r="G37" i="1" s="1"/>
  <c r="J37" i="29" l="1"/>
  <c r="F37" i="29" s="1"/>
  <c r="I37" i="27"/>
  <c r="J37" i="27"/>
  <c r="F37" i="27" s="1"/>
  <c r="K37" i="27"/>
  <c r="G37" i="27" s="1"/>
  <c r="E37" i="30"/>
  <c r="J38" i="30" s="1"/>
  <c r="F38" i="30" s="1"/>
  <c r="D37" i="25"/>
  <c r="E37" i="25"/>
  <c r="E37" i="31"/>
  <c r="J38" i="31" s="1"/>
  <c r="F38" i="31" s="1"/>
  <c r="E37" i="24"/>
  <c r="K38" i="24" s="1"/>
  <c r="G38" i="24" s="1"/>
  <c r="K37" i="32"/>
  <c r="G37" i="32" s="1"/>
  <c r="J37" i="32"/>
  <c r="F37" i="32" s="1"/>
  <c r="E36" i="23"/>
  <c r="K37" i="23" s="1"/>
  <c r="G37" i="23" s="1"/>
  <c r="I38" i="22"/>
  <c r="D38" i="22" s="1"/>
  <c r="J38" i="22"/>
  <c r="F38" i="22" s="1"/>
  <c r="D37" i="29"/>
  <c r="E37" i="29"/>
  <c r="K37" i="26"/>
  <c r="G37" i="26" s="1"/>
  <c r="I37" i="26"/>
  <c r="D37" i="26" s="1"/>
  <c r="J37" i="26"/>
  <c r="F37" i="26" s="1"/>
  <c r="E37" i="28"/>
  <c r="I37" i="20"/>
  <c r="D37" i="20" s="1"/>
  <c r="K37" i="20"/>
  <c r="G37" i="20" s="1"/>
  <c r="E37" i="21"/>
  <c r="I37" i="1"/>
  <c r="D37" i="1" s="1"/>
  <c r="J37" i="1"/>
  <c r="F37" i="1" s="1"/>
  <c r="D37" i="27" l="1"/>
  <c r="E37" i="27"/>
  <c r="K38" i="30"/>
  <c r="G38" i="30" s="1"/>
  <c r="I38" i="30"/>
  <c r="D38" i="30" s="1"/>
  <c r="K38" i="31"/>
  <c r="G38" i="31" s="1"/>
  <c r="K38" i="25"/>
  <c r="G38" i="25" s="1"/>
  <c r="J38" i="25"/>
  <c r="F38" i="25" s="1"/>
  <c r="I38" i="25"/>
  <c r="I38" i="31"/>
  <c r="D38" i="31" s="1"/>
  <c r="J38" i="24"/>
  <c r="F38" i="24" s="1"/>
  <c r="I38" i="24"/>
  <c r="D38" i="24" s="1"/>
  <c r="E37" i="32"/>
  <c r="J38" i="32" s="1"/>
  <c r="F38" i="32" s="1"/>
  <c r="J37" i="23"/>
  <c r="F37" i="23" s="1"/>
  <c r="I37" i="23"/>
  <c r="D37" i="23" s="1"/>
  <c r="E38" i="22"/>
  <c r="J39" i="22" s="1"/>
  <c r="F39" i="22" s="1"/>
  <c r="K38" i="29"/>
  <c r="G38" i="29" s="1"/>
  <c r="I38" i="29"/>
  <c r="J38" i="29"/>
  <c r="F38" i="29" s="1"/>
  <c r="E37" i="26"/>
  <c r="J38" i="28"/>
  <c r="F38" i="28" s="1"/>
  <c r="K38" i="28"/>
  <c r="G38" i="28" s="1"/>
  <c r="I38" i="28"/>
  <c r="D38" i="28" s="1"/>
  <c r="E37" i="20"/>
  <c r="K38" i="20" s="1"/>
  <c r="G38" i="20" s="1"/>
  <c r="I38" i="21"/>
  <c r="D38" i="21" s="1"/>
  <c r="K38" i="21"/>
  <c r="G38" i="21" s="1"/>
  <c r="J38" i="21"/>
  <c r="F38" i="21" s="1"/>
  <c r="E37" i="1"/>
  <c r="J38" i="1" s="1"/>
  <c r="F38" i="1" s="1"/>
  <c r="E38" i="30" l="1"/>
  <c r="I39" i="30" s="1"/>
  <c r="I38" i="27"/>
  <c r="J38" i="27"/>
  <c r="F38" i="27" s="1"/>
  <c r="K38" i="27"/>
  <c r="G38" i="27" s="1"/>
  <c r="D38" i="25"/>
  <c r="E38" i="25"/>
  <c r="E38" i="31"/>
  <c r="K39" i="31" s="1"/>
  <c r="G39" i="31" s="1"/>
  <c r="E38" i="24"/>
  <c r="I39" i="24" s="1"/>
  <c r="D39" i="24" s="1"/>
  <c r="K38" i="32"/>
  <c r="G38" i="32" s="1"/>
  <c r="I38" i="32"/>
  <c r="J39" i="30"/>
  <c r="F39" i="30" s="1"/>
  <c r="K39" i="30"/>
  <c r="G39" i="30" s="1"/>
  <c r="E37" i="23"/>
  <c r="J38" i="23" s="1"/>
  <c r="F38" i="23" s="1"/>
  <c r="I39" i="22"/>
  <c r="D39" i="22" s="1"/>
  <c r="K39" i="22"/>
  <c r="G39" i="22" s="1"/>
  <c r="D38" i="29"/>
  <c r="E38" i="29"/>
  <c r="I38" i="26"/>
  <c r="D38" i="26" s="1"/>
  <c r="K38" i="26"/>
  <c r="G38" i="26" s="1"/>
  <c r="J38" i="26"/>
  <c r="F38" i="26" s="1"/>
  <c r="E38" i="28"/>
  <c r="D39" i="30"/>
  <c r="I38" i="20"/>
  <c r="D38" i="20" s="1"/>
  <c r="J38" i="20"/>
  <c r="F38" i="20" s="1"/>
  <c r="E38" i="21"/>
  <c r="K38" i="1"/>
  <c r="G38" i="1" s="1"/>
  <c r="I38" i="1"/>
  <c r="D38" i="1" s="1"/>
  <c r="D38" i="27" l="1"/>
  <c r="E38" i="27"/>
  <c r="I39" i="31"/>
  <c r="D39" i="31" s="1"/>
  <c r="J39" i="31"/>
  <c r="F39" i="31" s="1"/>
  <c r="J39" i="25"/>
  <c r="F39" i="25" s="1"/>
  <c r="K39" i="25"/>
  <c r="G39" i="25" s="1"/>
  <c r="I39" i="25"/>
  <c r="J39" i="24"/>
  <c r="K39" i="24"/>
  <c r="G39" i="24" s="1"/>
  <c r="E39" i="30"/>
  <c r="J40" i="30" s="1"/>
  <c r="F40" i="30" s="1"/>
  <c r="D38" i="32"/>
  <c r="E38" i="32"/>
  <c r="I38" i="23"/>
  <c r="K38" i="23"/>
  <c r="G38" i="23" s="1"/>
  <c r="E39" i="22"/>
  <c r="I40" i="22" s="1"/>
  <c r="D40" i="22" s="1"/>
  <c r="J39" i="29"/>
  <c r="F39" i="29" s="1"/>
  <c r="K39" i="29"/>
  <c r="G39" i="29" s="1"/>
  <c r="I39" i="29"/>
  <c r="D39" i="29" s="1"/>
  <c r="E38" i="26"/>
  <c r="I39" i="26" s="1"/>
  <c r="D39" i="26" s="1"/>
  <c r="J39" i="28"/>
  <c r="F39" i="28" s="1"/>
  <c r="K39" i="28"/>
  <c r="G39" i="28" s="1"/>
  <c r="I39" i="28"/>
  <c r="D39" i="28" s="1"/>
  <c r="E38" i="20"/>
  <c r="K39" i="20" s="1"/>
  <c r="G39" i="20" s="1"/>
  <c r="K39" i="21"/>
  <c r="G39" i="21" s="1"/>
  <c r="I39" i="21"/>
  <c r="J39" i="21"/>
  <c r="F39" i="21" s="1"/>
  <c r="E38" i="1"/>
  <c r="J39" i="1" s="1"/>
  <c r="F39" i="1" s="1"/>
  <c r="E39" i="31" l="1"/>
  <c r="K39" i="27"/>
  <c r="G39" i="27" s="1"/>
  <c r="I39" i="27"/>
  <c r="J39" i="27"/>
  <c r="F39" i="27" s="1"/>
  <c r="K40" i="30"/>
  <c r="G40" i="30" s="1"/>
  <c r="D39" i="25"/>
  <c r="E39" i="25"/>
  <c r="I40" i="30"/>
  <c r="D40" i="30" s="1"/>
  <c r="J40" i="22"/>
  <c r="F40" i="22" s="1"/>
  <c r="F39" i="24"/>
  <c r="E39" i="24"/>
  <c r="J39" i="32"/>
  <c r="F39" i="32" s="1"/>
  <c r="K39" i="32"/>
  <c r="G39" i="32" s="1"/>
  <c r="I39" i="32"/>
  <c r="D38" i="23"/>
  <c r="E38" i="23"/>
  <c r="K40" i="22"/>
  <c r="G40" i="22" s="1"/>
  <c r="K40" i="31"/>
  <c r="G40" i="31" s="1"/>
  <c r="J40" i="31"/>
  <c r="F40" i="31" s="1"/>
  <c r="I40" i="31"/>
  <c r="D40" i="31" s="1"/>
  <c r="E39" i="29"/>
  <c r="J39" i="26"/>
  <c r="F39" i="26" s="1"/>
  <c r="K39" i="26"/>
  <c r="G39" i="26" s="1"/>
  <c r="E39" i="28"/>
  <c r="I39" i="20"/>
  <c r="D39" i="20" s="1"/>
  <c r="J39" i="20"/>
  <c r="F39" i="20" s="1"/>
  <c r="E39" i="21"/>
  <c r="D39" i="21"/>
  <c r="K39" i="1"/>
  <c r="G39" i="1" s="1"/>
  <c r="I39" i="1"/>
  <c r="D39" i="1" s="1"/>
  <c r="E39" i="27" l="1"/>
  <c r="D39" i="27"/>
  <c r="K40" i="25"/>
  <c r="G40" i="25" s="1"/>
  <c r="J40" i="25"/>
  <c r="F40" i="25" s="1"/>
  <c r="I40" i="25"/>
  <c r="E40" i="30"/>
  <c r="J41" i="30" s="1"/>
  <c r="F41" i="30" s="1"/>
  <c r="I40" i="24"/>
  <c r="J40" i="24"/>
  <c r="F40" i="24" s="1"/>
  <c r="K40" i="24"/>
  <c r="G40" i="24" s="1"/>
  <c r="E40" i="22"/>
  <c r="J41" i="22" s="1"/>
  <c r="F41" i="22" s="1"/>
  <c r="D39" i="32"/>
  <c r="E39" i="32"/>
  <c r="K39" i="23"/>
  <c r="G39" i="23" s="1"/>
  <c r="I39" i="23"/>
  <c r="D39" i="23" s="1"/>
  <c r="J39" i="23"/>
  <c r="F39" i="23" s="1"/>
  <c r="E40" i="31"/>
  <c r="J40" i="29"/>
  <c r="F40" i="29" s="1"/>
  <c r="I40" i="29"/>
  <c r="D40" i="29" s="1"/>
  <c r="K40" i="29"/>
  <c r="G40" i="29" s="1"/>
  <c r="E39" i="26"/>
  <c r="J40" i="26" s="1"/>
  <c r="F40" i="26" s="1"/>
  <c r="J40" i="28"/>
  <c r="F40" i="28" s="1"/>
  <c r="K40" i="28"/>
  <c r="G40" i="28" s="1"/>
  <c r="I40" i="28"/>
  <c r="D40" i="28" s="1"/>
  <c r="E39" i="20"/>
  <c r="K40" i="20" s="1"/>
  <c r="G40" i="20" s="1"/>
  <c r="I40" i="21"/>
  <c r="D40" i="21" s="1"/>
  <c r="J40" i="21"/>
  <c r="F40" i="21" s="1"/>
  <c r="K40" i="21"/>
  <c r="G40" i="21" s="1"/>
  <c r="E39" i="1"/>
  <c r="J40" i="1" s="1"/>
  <c r="F40" i="1" s="1"/>
  <c r="J40" i="27" l="1"/>
  <c r="F40" i="27" s="1"/>
  <c r="K40" i="27"/>
  <c r="G40" i="27" s="1"/>
  <c r="I40" i="27"/>
  <c r="I41" i="30"/>
  <c r="D41" i="30" s="1"/>
  <c r="D40" i="25"/>
  <c r="E40" i="25"/>
  <c r="K41" i="30"/>
  <c r="G41" i="30" s="1"/>
  <c r="I41" i="22"/>
  <c r="D41" i="22" s="1"/>
  <c r="K41" i="22"/>
  <c r="G41" i="22" s="1"/>
  <c r="D40" i="24"/>
  <c r="E40" i="24"/>
  <c r="I40" i="32"/>
  <c r="D40" i="32" s="1"/>
  <c r="K40" i="32"/>
  <c r="G40" i="32" s="1"/>
  <c r="J40" i="32"/>
  <c r="F40" i="32" s="1"/>
  <c r="E39" i="23"/>
  <c r="J41" i="31"/>
  <c r="F41" i="31" s="1"/>
  <c r="K41" i="31"/>
  <c r="G41" i="31" s="1"/>
  <c r="I41" i="31"/>
  <c r="D41" i="31" s="1"/>
  <c r="I40" i="26"/>
  <c r="D40" i="26" s="1"/>
  <c r="E40" i="29"/>
  <c r="K40" i="26"/>
  <c r="G40" i="26" s="1"/>
  <c r="E40" i="28"/>
  <c r="J40" i="20"/>
  <c r="F40" i="20" s="1"/>
  <c r="I40" i="20"/>
  <c r="D40" i="20" s="1"/>
  <c r="E40" i="21"/>
  <c r="K40" i="1"/>
  <c r="G40" i="1" s="1"/>
  <c r="I40" i="1"/>
  <c r="D40" i="1" s="1"/>
  <c r="D40" i="27" l="1"/>
  <c r="E40" i="27"/>
  <c r="I41" i="25"/>
  <c r="J41" i="25"/>
  <c r="F41" i="25" s="1"/>
  <c r="K41" i="25"/>
  <c r="G41" i="25" s="1"/>
  <c r="E41" i="30"/>
  <c r="J42" i="30" s="1"/>
  <c r="F42" i="30" s="1"/>
  <c r="E41" i="22"/>
  <c r="K42" i="22" s="1"/>
  <c r="G42" i="22" s="1"/>
  <c r="I41" i="24"/>
  <c r="K41" i="24"/>
  <c r="G41" i="24" s="1"/>
  <c r="J41" i="24"/>
  <c r="F41" i="24" s="1"/>
  <c r="E40" i="32"/>
  <c r="J40" i="23"/>
  <c r="F40" i="23" s="1"/>
  <c r="I40" i="23"/>
  <c r="K40" i="23"/>
  <c r="G40" i="23" s="1"/>
  <c r="E41" i="31"/>
  <c r="J42" i="31" s="1"/>
  <c r="F42" i="31" s="1"/>
  <c r="E40" i="26"/>
  <c r="K41" i="26" s="1"/>
  <c r="G41" i="26" s="1"/>
  <c r="J41" i="29"/>
  <c r="F41" i="29" s="1"/>
  <c r="K41" i="29"/>
  <c r="G41" i="29" s="1"/>
  <c r="I41" i="29"/>
  <c r="D41" i="29" s="1"/>
  <c r="K41" i="28"/>
  <c r="G41" i="28" s="1"/>
  <c r="J41" i="28"/>
  <c r="F41" i="28" s="1"/>
  <c r="I41" i="28"/>
  <c r="D41" i="28" s="1"/>
  <c r="E40" i="20"/>
  <c r="J41" i="20" s="1"/>
  <c r="F41" i="20" s="1"/>
  <c r="J41" i="21"/>
  <c r="F41" i="21" s="1"/>
  <c r="K41" i="21"/>
  <c r="G41" i="21" s="1"/>
  <c r="I41" i="21"/>
  <c r="D41" i="21" s="1"/>
  <c r="E40" i="1"/>
  <c r="J41" i="1" s="1"/>
  <c r="F41" i="1" s="1"/>
  <c r="K41" i="27" l="1"/>
  <c r="G41" i="27" s="1"/>
  <c r="J41" i="27"/>
  <c r="F41" i="27" s="1"/>
  <c r="I41" i="27"/>
  <c r="I42" i="22"/>
  <c r="D42" i="22" s="1"/>
  <c r="J42" i="22"/>
  <c r="F42" i="22" s="1"/>
  <c r="K42" i="30"/>
  <c r="G42" i="30" s="1"/>
  <c r="I42" i="30"/>
  <c r="D42" i="30" s="1"/>
  <c r="D41" i="25"/>
  <c r="E41" i="25"/>
  <c r="D41" i="24"/>
  <c r="E41" i="24"/>
  <c r="K41" i="32"/>
  <c r="G41" i="32" s="1"/>
  <c r="J41" i="32"/>
  <c r="F41" i="32" s="1"/>
  <c r="I41" i="32"/>
  <c r="D41" i="32" s="1"/>
  <c r="D40" i="23"/>
  <c r="E40" i="23"/>
  <c r="J41" i="26"/>
  <c r="F41" i="26" s="1"/>
  <c r="I42" i="31"/>
  <c r="D42" i="31" s="1"/>
  <c r="K42" i="31"/>
  <c r="G42" i="31" s="1"/>
  <c r="I41" i="26"/>
  <c r="D41" i="26" s="1"/>
  <c r="E41" i="29"/>
  <c r="E41" i="28"/>
  <c r="I41" i="20"/>
  <c r="D41" i="20" s="1"/>
  <c r="K41" i="20"/>
  <c r="G41" i="20" s="1"/>
  <c r="E41" i="21"/>
  <c r="K41" i="1"/>
  <c r="G41" i="1" s="1"/>
  <c r="I41" i="1"/>
  <c r="D41" i="1" s="1"/>
  <c r="E42" i="22" l="1"/>
  <c r="D41" i="27"/>
  <c r="E41" i="27"/>
  <c r="E42" i="30"/>
  <c r="J43" i="30" s="1"/>
  <c r="F43" i="30" s="1"/>
  <c r="K42" i="25"/>
  <c r="G42" i="25" s="1"/>
  <c r="J42" i="25"/>
  <c r="F42" i="25" s="1"/>
  <c r="I42" i="25"/>
  <c r="D42" i="25" s="1"/>
  <c r="I42" i="24"/>
  <c r="K42" i="24"/>
  <c r="G42" i="24" s="1"/>
  <c r="J42" i="24"/>
  <c r="F42" i="24" s="1"/>
  <c r="E41" i="32"/>
  <c r="I41" i="23"/>
  <c r="J41" i="23"/>
  <c r="F41" i="23" s="1"/>
  <c r="K41" i="23"/>
  <c r="G41" i="23" s="1"/>
  <c r="E41" i="26"/>
  <c r="J42" i="26" s="1"/>
  <c r="F42" i="26" s="1"/>
  <c r="E42" i="31"/>
  <c r="J43" i="31" s="1"/>
  <c r="F43" i="31" s="1"/>
  <c r="I42" i="29"/>
  <c r="D42" i="29" s="1"/>
  <c r="K42" i="29"/>
  <c r="G42" i="29" s="1"/>
  <c r="J42" i="29"/>
  <c r="F42" i="29" s="1"/>
  <c r="K43" i="30"/>
  <c r="G43" i="30" s="1"/>
  <c r="J42" i="28"/>
  <c r="F42" i="28" s="1"/>
  <c r="K42" i="28"/>
  <c r="G42" i="28" s="1"/>
  <c r="I42" i="28"/>
  <c r="D42" i="28" s="1"/>
  <c r="E41" i="20"/>
  <c r="I42" i="20" s="1"/>
  <c r="D42" i="20" s="1"/>
  <c r="J43" i="22"/>
  <c r="F43" i="22" s="1"/>
  <c r="I43" i="22"/>
  <c r="D43" i="22" s="1"/>
  <c r="K43" i="22"/>
  <c r="G43" i="22" s="1"/>
  <c r="I42" i="21"/>
  <c r="D42" i="21" s="1"/>
  <c r="J42" i="21"/>
  <c r="F42" i="21" s="1"/>
  <c r="K42" i="21"/>
  <c r="G42" i="21" s="1"/>
  <c r="E41" i="1"/>
  <c r="J42" i="1" s="1"/>
  <c r="F42" i="1" s="1"/>
  <c r="K42" i="27" l="1"/>
  <c r="G42" i="27" s="1"/>
  <c r="J42" i="27"/>
  <c r="F42" i="27" s="1"/>
  <c r="I42" i="27"/>
  <c r="I43" i="30"/>
  <c r="D43" i="30" s="1"/>
  <c r="E42" i="25"/>
  <c r="D42" i="24"/>
  <c r="E42" i="24"/>
  <c r="J42" i="32"/>
  <c r="F42" i="32" s="1"/>
  <c r="I42" i="32"/>
  <c r="D42" i="32" s="1"/>
  <c r="K42" i="32"/>
  <c r="G42" i="32" s="1"/>
  <c r="D41" i="23"/>
  <c r="E41" i="23"/>
  <c r="K43" i="31"/>
  <c r="G43" i="31" s="1"/>
  <c r="I43" i="31"/>
  <c r="I42" i="26"/>
  <c r="D42" i="26" s="1"/>
  <c r="K42" i="26"/>
  <c r="G42" i="26" s="1"/>
  <c r="E42" i="29"/>
  <c r="E42" i="28"/>
  <c r="K42" i="20"/>
  <c r="G42" i="20" s="1"/>
  <c r="J42" i="20"/>
  <c r="F42" i="20" s="1"/>
  <c r="E43" i="22"/>
  <c r="I44" i="22" s="1"/>
  <c r="E42" i="21"/>
  <c r="K42" i="1"/>
  <c r="G42" i="1" s="1"/>
  <c r="I42" i="1"/>
  <c r="D42" i="1" s="1"/>
  <c r="E43" i="30" l="1"/>
  <c r="D42" i="27"/>
  <c r="E42" i="27"/>
  <c r="K43" i="25"/>
  <c r="G43" i="25" s="1"/>
  <c r="J43" i="25"/>
  <c r="F43" i="25" s="1"/>
  <c r="I43" i="25"/>
  <c r="J43" i="24"/>
  <c r="F43" i="24" s="1"/>
  <c r="K43" i="24"/>
  <c r="G43" i="24" s="1"/>
  <c r="I43" i="24"/>
  <c r="E42" i="32"/>
  <c r="J42" i="23"/>
  <c r="F42" i="23" s="1"/>
  <c r="K42" i="23"/>
  <c r="G42" i="23" s="1"/>
  <c r="I42" i="23"/>
  <c r="E43" i="31"/>
  <c r="J44" i="31" s="1"/>
  <c r="F44" i="31" s="1"/>
  <c r="D43" i="31"/>
  <c r="E42" i="26"/>
  <c r="I43" i="26" s="1"/>
  <c r="D43" i="26" s="1"/>
  <c r="I43" i="29"/>
  <c r="D43" i="29" s="1"/>
  <c r="K43" i="29"/>
  <c r="G43" i="29" s="1"/>
  <c r="J43" i="29"/>
  <c r="F43" i="29" s="1"/>
  <c r="J44" i="22"/>
  <c r="F44" i="22" s="1"/>
  <c r="J44" i="30"/>
  <c r="F44" i="30" s="1"/>
  <c r="I44" i="30"/>
  <c r="K44" i="30"/>
  <c r="G44" i="30" s="1"/>
  <c r="K43" i="28"/>
  <c r="G43" i="28" s="1"/>
  <c r="I43" i="28"/>
  <c r="D43" i="28" s="1"/>
  <c r="J43" i="28"/>
  <c r="F43" i="28" s="1"/>
  <c r="E42" i="20"/>
  <c r="K43" i="20" s="1"/>
  <c r="G43" i="20" s="1"/>
  <c r="K44" i="22"/>
  <c r="G44" i="22" s="1"/>
  <c r="D44" i="22"/>
  <c r="I43" i="21"/>
  <c r="D43" i="21" s="1"/>
  <c r="K43" i="21"/>
  <c r="G43" i="21" s="1"/>
  <c r="J43" i="21"/>
  <c r="F43" i="21" s="1"/>
  <c r="E42" i="1"/>
  <c r="J43" i="1" s="1"/>
  <c r="F43" i="1" s="1"/>
  <c r="J43" i="27" l="1"/>
  <c r="F43" i="27" s="1"/>
  <c r="K43" i="27"/>
  <c r="G43" i="27" s="1"/>
  <c r="I43" i="27"/>
  <c r="D43" i="27" s="1"/>
  <c r="D43" i="25"/>
  <c r="E43" i="25"/>
  <c r="D43" i="24"/>
  <c r="E43" i="24"/>
  <c r="J43" i="32"/>
  <c r="F43" i="32" s="1"/>
  <c r="I43" i="32"/>
  <c r="D43" i="32" s="1"/>
  <c r="K43" i="32"/>
  <c r="G43" i="32" s="1"/>
  <c r="D42" i="23"/>
  <c r="E42" i="23"/>
  <c r="I44" i="31"/>
  <c r="D44" i="31" s="1"/>
  <c r="K44" i="31"/>
  <c r="G44" i="31" s="1"/>
  <c r="K43" i="26"/>
  <c r="G43" i="26" s="1"/>
  <c r="J43" i="26"/>
  <c r="F43" i="26" s="1"/>
  <c r="E43" i="29"/>
  <c r="E44" i="30"/>
  <c r="D44" i="30"/>
  <c r="J43" i="20"/>
  <c r="F43" i="20" s="1"/>
  <c r="E43" i="28"/>
  <c r="I44" i="28" s="1"/>
  <c r="D44" i="28" s="1"/>
  <c r="E44" i="22"/>
  <c r="J45" i="22" s="1"/>
  <c r="F45" i="22" s="1"/>
  <c r="I43" i="20"/>
  <c r="D43" i="20" s="1"/>
  <c r="E43" i="21"/>
  <c r="K43" i="1"/>
  <c r="G43" i="1" s="1"/>
  <c r="I43" i="1"/>
  <c r="D43" i="1" s="1"/>
  <c r="E43" i="27" l="1"/>
  <c r="I44" i="27" s="1"/>
  <c r="I44" i="25"/>
  <c r="K44" i="25"/>
  <c r="G44" i="25" s="1"/>
  <c r="J44" i="25"/>
  <c r="F44" i="25" s="1"/>
  <c r="I44" i="24"/>
  <c r="K44" i="24"/>
  <c r="G44" i="24" s="1"/>
  <c r="J44" i="24"/>
  <c r="F44" i="24" s="1"/>
  <c r="E43" i="32"/>
  <c r="K43" i="23"/>
  <c r="G43" i="23" s="1"/>
  <c r="J43" i="23"/>
  <c r="F43" i="23" s="1"/>
  <c r="I43" i="23"/>
  <c r="E44" i="31"/>
  <c r="I45" i="31" s="1"/>
  <c r="D45" i="31" s="1"/>
  <c r="E43" i="26"/>
  <c r="J44" i="26" s="1"/>
  <c r="F44" i="26" s="1"/>
  <c r="J44" i="29"/>
  <c r="F44" i="29" s="1"/>
  <c r="K44" i="29"/>
  <c r="G44" i="29" s="1"/>
  <c r="I44" i="29"/>
  <c r="D44" i="29" s="1"/>
  <c r="J45" i="30"/>
  <c r="F45" i="30" s="1"/>
  <c r="K45" i="30"/>
  <c r="G45" i="30" s="1"/>
  <c r="I45" i="30"/>
  <c r="J44" i="28"/>
  <c r="F44" i="28" s="1"/>
  <c r="K44" i="28"/>
  <c r="G44" i="28" s="1"/>
  <c r="E43" i="20"/>
  <c r="J44" i="20" s="1"/>
  <c r="F44" i="20" s="1"/>
  <c r="I45" i="22"/>
  <c r="D45" i="22" s="1"/>
  <c r="K45" i="22"/>
  <c r="G45" i="22" s="1"/>
  <c r="K44" i="21"/>
  <c r="G44" i="21" s="1"/>
  <c r="J44" i="21"/>
  <c r="F44" i="21" s="1"/>
  <c r="I44" i="21"/>
  <c r="D44" i="21" s="1"/>
  <c r="E43" i="1"/>
  <c r="J44" i="1" s="1"/>
  <c r="F44" i="1" s="1"/>
  <c r="J44" i="27" l="1"/>
  <c r="F44" i="27" s="1"/>
  <c r="K44" i="27"/>
  <c r="G44" i="27" s="1"/>
  <c r="D44" i="27"/>
  <c r="D44" i="25"/>
  <c r="E44" i="25"/>
  <c r="E44" i="24"/>
  <c r="D44" i="24"/>
  <c r="I44" i="32"/>
  <c r="D44" i="32" s="1"/>
  <c r="K44" i="32"/>
  <c r="G44" i="32" s="1"/>
  <c r="J44" i="32"/>
  <c r="F44" i="32" s="1"/>
  <c r="J45" i="31"/>
  <c r="F45" i="31" s="1"/>
  <c r="D43" i="23"/>
  <c r="E43" i="23"/>
  <c r="K45" i="31"/>
  <c r="G45" i="31" s="1"/>
  <c r="I44" i="26"/>
  <c r="D44" i="26" s="1"/>
  <c r="K44" i="26"/>
  <c r="G44" i="26" s="1"/>
  <c r="E44" i="29"/>
  <c r="K44" i="20"/>
  <c r="G44" i="20" s="1"/>
  <c r="E45" i="30"/>
  <c r="J46" i="30" s="1"/>
  <c r="F46" i="30" s="1"/>
  <c r="D45" i="30"/>
  <c r="E44" i="28"/>
  <c r="K45" i="28" s="1"/>
  <c r="G45" i="28" s="1"/>
  <c r="I44" i="20"/>
  <c r="D44" i="20" s="1"/>
  <c r="E45" i="22"/>
  <c r="E44" i="21"/>
  <c r="K44" i="1"/>
  <c r="G44" i="1" s="1"/>
  <c r="I44" i="1"/>
  <c r="D44" i="1" s="1"/>
  <c r="E44" i="27" l="1"/>
  <c r="J45" i="27" s="1"/>
  <c r="F45" i="27" s="1"/>
  <c r="K45" i="25"/>
  <c r="G45" i="25" s="1"/>
  <c r="J45" i="25"/>
  <c r="F45" i="25" s="1"/>
  <c r="I45" i="25"/>
  <c r="D45" i="25" s="1"/>
  <c r="I45" i="24"/>
  <c r="K45" i="24"/>
  <c r="G45" i="24" s="1"/>
  <c r="J45" i="24"/>
  <c r="F45" i="24" s="1"/>
  <c r="E44" i="32"/>
  <c r="K44" i="23"/>
  <c r="G44" i="23" s="1"/>
  <c r="J44" i="23"/>
  <c r="F44" i="23" s="1"/>
  <c r="I44" i="23"/>
  <c r="E45" i="31"/>
  <c r="I46" i="31" s="1"/>
  <c r="D46" i="31" s="1"/>
  <c r="E44" i="26"/>
  <c r="K45" i="26" s="1"/>
  <c r="G45" i="26" s="1"/>
  <c r="K46" i="30"/>
  <c r="G46" i="30" s="1"/>
  <c r="J45" i="28"/>
  <c r="F45" i="28" s="1"/>
  <c r="I45" i="29"/>
  <c r="D45" i="29" s="1"/>
  <c r="J45" i="29"/>
  <c r="F45" i="29" s="1"/>
  <c r="K45" i="29"/>
  <c r="G45" i="29" s="1"/>
  <c r="I46" i="30"/>
  <c r="I45" i="28"/>
  <c r="D45" i="28" s="1"/>
  <c r="E44" i="20"/>
  <c r="K45" i="20" s="1"/>
  <c r="G45" i="20" s="1"/>
  <c r="J46" i="22"/>
  <c r="F46" i="22" s="1"/>
  <c r="I46" i="22"/>
  <c r="K46" i="22"/>
  <c r="G46" i="22" s="1"/>
  <c r="I45" i="21"/>
  <c r="D45" i="21" s="1"/>
  <c r="J45" i="21"/>
  <c r="F45" i="21" s="1"/>
  <c r="K45" i="21"/>
  <c r="G45" i="21" s="1"/>
  <c r="E44" i="1"/>
  <c r="J45" i="1" s="1"/>
  <c r="F45" i="1" s="1"/>
  <c r="K45" i="27" l="1"/>
  <c r="G45" i="27" s="1"/>
  <c r="I45" i="27"/>
  <c r="D45" i="27"/>
  <c r="E45" i="27"/>
  <c r="E45" i="25"/>
  <c r="E45" i="24"/>
  <c r="K46" i="24" s="1"/>
  <c r="G46" i="24" s="1"/>
  <c r="D45" i="24"/>
  <c r="K46" i="31"/>
  <c r="G46" i="31" s="1"/>
  <c r="I45" i="32"/>
  <c r="D45" i="32" s="1"/>
  <c r="J45" i="32"/>
  <c r="F45" i="32" s="1"/>
  <c r="K45" i="32"/>
  <c r="G45" i="32" s="1"/>
  <c r="J46" i="31"/>
  <c r="F46" i="31" s="1"/>
  <c r="D44" i="23"/>
  <c r="E44" i="23"/>
  <c r="J45" i="26"/>
  <c r="F45" i="26" s="1"/>
  <c r="I45" i="26"/>
  <c r="D45" i="26" s="1"/>
  <c r="E46" i="30"/>
  <c r="J47" i="30" s="1"/>
  <c r="F47" i="30" s="1"/>
  <c r="J45" i="20"/>
  <c r="F45" i="20" s="1"/>
  <c r="I45" i="20"/>
  <c r="D45" i="20" s="1"/>
  <c r="E45" i="29"/>
  <c r="E45" i="28"/>
  <c r="D46" i="30"/>
  <c r="D46" i="22"/>
  <c r="E46" i="22"/>
  <c r="E45" i="21"/>
  <c r="J46" i="21" s="1"/>
  <c r="F46" i="21" s="1"/>
  <c r="K45" i="1"/>
  <c r="G45" i="1" s="1"/>
  <c r="I45" i="1"/>
  <c r="D45" i="1" s="1"/>
  <c r="K46" i="27" l="1"/>
  <c r="G46" i="27" s="1"/>
  <c r="J46" i="27"/>
  <c r="F46" i="27" s="1"/>
  <c r="I46" i="27"/>
  <c r="K46" i="25"/>
  <c r="G46" i="25" s="1"/>
  <c r="I46" i="25"/>
  <c r="D46" i="25" s="1"/>
  <c r="J46" i="25"/>
  <c r="F46" i="25" s="1"/>
  <c r="I46" i="24"/>
  <c r="D46" i="24" s="1"/>
  <c r="J46" i="24"/>
  <c r="F46" i="24" s="1"/>
  <c r="I47" i="30"/>
  <c r="D47" i="30" s="1"/>
  <c r="E46" i="31"/>
  <c r="I47" i="31" s="1"/>
  <c r="D47" i="31" s="1"/>
  <c r="E45" i="32"/>
  <c r="K47" i="30"/>
  <c r="G47" i="30" s="1"/>
  <c r="I45" i="23"/>
  <c r="J45" i="23"/>
  <c r="F45" i="23" s="1"/>
  <c r="K45" i="23"/>
  <c r="G45" i="23" s="1"/>
  <c r="E45" i="26"/>
  <c r="I46" i="26" s="1"/>
  <c r="D46" i="26" s="1"/>
  <c r="E45" i="20"/>
  <c r="J46" i="20" s="1"/>
  <c r="F46" i="20" s="1"/>
  <c r="I46" i="29"/>
  <c r="D46" i="29" s="1"/>
  <c r="K46" i="29"/>
  <c r="G46" i="29" s="1"/>
  <c r="J46" i="29"/>
  <c r="F46" i="29" s="1"/>
  <c r="K46" i="28"/>
  <c r="G46" i="28" s="1"/>
  <c r="J46" i="28"/>
  <c r="F46" i="28" s="1"/>
  <c r="I46" i="28"/>
  <c r="J47" i="22"/>
  <c r="F47" i="22" s="1"/>
  <c r="I47" i="22"/>
  <c r="D47" i="22" s="1"/>
  <c r="K47" i="22"/>
  <c r="G47" i="22" s="1"/>
  <c r="I46" i="21"/>
  <c r="D46" i="21" s="1"/>
  <c r="K46" i="21"/>
  <c r="G46" i="21" s="1"/>
  <c r="E45" i="1"/>
  <c r="J46" i="1" s="1"/>
  <c r="F46" i="1" s="1"/>
  <c r="D46" i="27" l="1"/>
  <c r="E46" i="27"/>
  <c r="E46" i="25"/>
  <c r="E46" i="24"/>
  <c r="J47" i="24" s="1"/>
  <c r="F47" i="24" s="1"/>
  <c r="J47" i="31"/>
  <c r="F47" i="31" s="1"/>
  <c r="K47" i="31"/>
  <c r="G47" i="31" s="1"/>
  <c r="E47" i="30"/>
  <c r="K48" i="30" s="1"/>
  <c r="G48" i="30" s="1"/>
  <c r="J46" i="32"/>
  <c r="F46" i="32" s="1"/>
  <c r="I46" i="32"/>
  <c r="D46" i="32" s="1"/>
  <c r="K46" i="32"/>
  <c r="G46" i="32" s="1"/>
  <c r="D45" i="23"/>
  <c r="E45" i="23"/>
  <c r="I46" i="20"/>
  <c r="D46" i="20" s="1"/>
  <c r="J46" i="26"/>
  <c r="K46" i="26"/>
  <c r="G46" i="26" s="1"/>
  <c r="K46" i="20"/>
  <c r="G46" i="20" s="1"/>
  <c r="E46" i="29"/>
  <c r="D46" i="28"/>
  <c r="E46" i="28"/>
  <c r="E47" i="22"/>
  <c r="E46" i="21"/>
  <c r="K47" i="21" s="1"/>
  <c r="G47" i="21" s="1"/>
  <c r="K46" i="1"/>
  <c r="G46" i="1" s="1"/>
  <c r="I46" i="1"/>
  <c r="D46" i="1" s="1"/>
  <c r="K47" i="27" l="1"/>
  <c r="G47" i="27" s="1"/>
  <c r="J47" i="27"/>
  <c r="F47" i="27" s="1"/>
  <c r="I47" i="27"/>
  <c r="D47" i="27" s="1"/>
  <c r="I47" i="25"/>
  <c r="D47" i="25" s="1"/>
  <c r="J47" i="25"/>
  <c r="F47" i="25" s="1"/>
  <c r="K47" i="25"/>
  <c r="G47" i="25" s="1"/>
  <c r="J48" i="30"/>
  <c r="F48" i="30" s="1"/>
  <c r="I48" i="30"/>
  <c r="D48" i="30" s="1"/>
  <c r="E47" i="31"/>
  <c r="I48" i="31" s="1"/>
  <c r="D48" i="31" s="1"/>
  <c r="K47" i="24"/>
  <c r="G47" i="24" s="1"/>
  <c r="I47" i="24"/>
  <c r="E46" i="32"/>
  <c r="I46" i="23"/>
  <c r="K46" i="23"/>
  <c r="G46" i="23" s="1"/>
  <c r="J46" i="23"/>
  <c r="F46" i="23" s="1"/>
  <c r="E46" i="20"/>
  <c r="J47" i="20" s="1"/>
  <c r="F47" i="20" s="1"/>
  <c r="F46" i="26"/>
  <c r="E46" i="26"/>
  <c r="J47" i="29"/>
  <c r="F47" i="29" s="1"/>
  <c r="K47" i="29"/>
  <c r="G47" i="29" s="1"/>
  <c r="I47" i="29"/>
  <c r="D47" i="29" s="1"/>
  <c r="I47" i="28"/>
  <c r="K47" i="28"/>
  <c r="G47" i="28" s="1"/>
  <c r="J47" i="28"/>
  <c r="F47" i="28" s="1"/>
  <c r="I48" i="22"/>
  <c r="D48" i="22" s="1"/>
  <c r="K48" i="22"/>
  <c r="G48" i="22" s="1"/>
  <c r="J48" i="22"/>
  <c r="F48" i="22" s="1"/>
  <c r="J47" i="21"/>
  <c r="F47" i="21" s="1"/>
  <c r="I47" i="21"/>
  <c r="D47" i="21" s="1"/>
  <c r="E46" i="1"/>
  <c r="J47" i="1" s="1"/>
  <c r="F47" i="1" s="1"/>
  <c r="E47" i="27" l="1"/>
  <c r="E48" i="30"/>
  <c r="I49" i="30" s="1"/>
  <c r="D49" i="30" s="1"/>
  <c r="E47" i="25"/>
  <c r="K48" i="31"/>
  <c r="G48" i="31" s="1"/>
  <c r="J48" i="31"/>
  <c r="F48" i="31" s="1"/>
  <c r="I47" i="20"/>
  <c r="D47" i="20" s="1"/>
  <c r="E47" i="24"/>
  <c r="D47" i="24"/>
  <c r="K47" i="32"/>
  <c r="G47" i="32" s="1"/>
  <c r="I47" i="32"/>
  <c r="D47" i="32" s="1"/>
  <c r="J47" i="32"/>
  <c r="F47" i="32" s="1"/>
  <c r="D46" i="23"/>
  <c r="E46" i="23"/>
  <c r="K47" i="20"/>
  <c r="G47" i="20" s="1"/>
  <c r="K47" i="26"/>
  <c r="G47" i="26" s="1"/>
  <c r="I47" i="26"/>
  <c r="J47" i="26"/>
  <c r="F47" i="26" s="1"/>
  <c r="J49" i="30"/>
  <c r="F49" i="30" s="1"/>
  <c r="K49" i="30"/>
  <c r="G49" i="30" s="1"/>
  <c r="E47" i="29"/>
  <c r="D47" i="28"/>
  <c r="E47" i="28"/>
  <c r="E48" i="22"/>
  <c r="E47" i="21"/>
  <c r="K48" i="21" s="1"/>
  <c r="G48" i="21" s="1"/>
  <c r="I47" i="1"/>
  <c r="D47" i="1" s="1"/>
  <c r="K47" i="1"/>
  <c r="G47" i="1" s="1"/>
  <c r="I48" i="27" l="1"/>
  <c r="K48" i="27"/>
  <c r="G48" i="27" s="1"/>
  <c r="J48" i="27"/>
  <c r="F48" i="27" s="1"/>
  <c r="J48" i="25"/>
  <c r="F48" i="25" s="1"/>
  <c r="K48" i="25"/>
  <c r="G48" i="25" s="1"/>
  <c r="I48" i="25"/>
  <c r="D48" i="25" s="1"/>
  <c r="E48" i="31"/>
  <c r="K49" i="31" s="1"/>
  <c r="G49" i="31" s="1"/>
  <c r="J48" i="24"/>
  <c r="F48" i="24" s="1"/>
  <c r="I48" i="24"/>
  <c r="K48" i="24"/>
  <c r="G48" i="24" s="1"/>
  <c r="E47" i="32"/>
  <c r="E47" i="20"/>
  <c r="I48" i="20" s="1"/>
  <c r="D48" i="20" s="1"/>
  <c r="K47" i="23"/>
  <c r="G47" i="23" s="1"/>
  <c r="I47" i="23"/>
  <c r="J47" i="23"/>
  <c r="F47" i="23" s="1"/>
  <c r="D47" i="26"/>
  <c r="E47" i="26"/>
  <c r="E49" i="30"/>
  <c r="I50" i="30" s="1"/>
  <c r="J48" i="29"/>
  <c r="F48" i="29" s="1"/>
  <c r="I48" i="29"/>
  <c r="D48" i="29" s="1"/>
  <c r="K48" i="29"/>
  <c r="G48" i="29" s="1"/>
  <c r="K48" i="28"/>
  <c r="G48" i="28" s="1"/>
  <c r="I48" i="28"/>
  <c r="J48" i="28"/>
  <c r="F48" i="28" s="1"/>
  <c r="J49" i="22"/>
  <c r="F49" i="22" s="1"/>
  <c r="I49" i="22"/>
  <c r="K49" i="22"/>
  <c r="G49" i="22" s="1"/>
  <c r="I48" i="21"/>
  <c r="D48" i="21" s="1"/>
  <c r="J48" i="21"/>
  <c r="F48" i="21" s="1"/>
  <c r="E47" i="1"/>
  <c r="J48" i="1" s="1"/>
  <c r="F48" i="1" s="1"/>
  <c r="D48" i="27" l="1"/>
  <c r="E48" i="27"/>
  <c r="I49" i="31"/>
  <c r="D49" i="31" s="1"/>
  <c r="J49" i="31"/>
  <c r="F49" i="31" s="1"/>
  <c r="E48" i="25"/>
  <c r="J48" i="20"/>
  <c r="F48" i="20" s="1"/>
  <c r="D48" i="24"/>
  <c r="E48" i="24"/>
  <c r="K48" i="20"/>
  <c r="G48" i="20" s="1"/>
  <c r="I48" i="32"/>
  <c r="D48" i="32" s="1"/>
  <c r="J48" i="32"/>
  <c r="F48" i="32" s="1"/>
  <c r="K48" i="32"/>
  <c r="G48" i="32" s="1"/>
  <c r="E47" i="23"/>
  <c r="D47" i="23"/>
  <c r="I48" i="26"/>
  <c r="D48" i="26" s="1"/>
  <c r="K48" i="26"/>
  <c r="G48" i="26" s="1"/>
  <c r="J48" i="26"/>
  <c r="F48" i="26" s="1"/>
  <c r="K50" i="30"/>
  <c r="G50" i="30" s="1"/>
  <c r="J50" i="30"/>
  <c r="F50" i="30" s="1"/>
  <c r="E48" i="29"/>
  <c r="K49" i="29" s="1"/>
  <c r="G49" i="29" s="1"/>
  <c r="D48" i="28"/>
  <c r="E48" i="28"/>
  <c r="D50" i="30"/>
  <c r="D49" i="22"/>
  <c r="E49" i="22"/>
  <c r="E48" i="21"/>
  <c r="J49" i="21" s="1"/>
  <c r="F49" i="21" s="1"/>
  <c r="K48" i="1"/>
  <c r="G48" i="1" s="1"/>
  <c r="I48" i="1"/>
  <c r="D48" i="1" s="1"/>
  <c r="J49" i="27" l="1"/>
  <c r="F49" i="27" s="1"/>
  <c r="K49" i="27"/>
  <c r="G49" i="27" s="1"/>
  <c r="I49" i="27"/>
  <c r="E49" i="31"/>
  <c r="K50" i="31" s="1"/>
  <c r="G50" i="31" s="1"/>
  <c r="J49" i="25"/>
  <c r="F49" i="25" s="1"/>
  <c r="K49" i="25"/>
  <c r="G49" i="25" s="1"/>
  <c r="I49" i="25"/>
  <c r="D49" i="25" s="1"/>
  <c r="J49" i="24"/>
  <c r="F49" i="24" s="1"/>
  <c r="I49" i="24"/>
  <c r="K49" i="24"/>
  <c r="G49" i="24" s="1"/>
  <c r="E48" i="20"/>
  <c r="K49" i="20" s="1"/>
  <c r="G49" i="20" s="1"/>
  <c r="E48" i="32"/>
  <c r="I48" i="23"/>
  <c r="K48" i="23"/>
  <c r="G48" i="23" s="1"/>
  <c r="J48" i="23"/>
  <c r="F48" i="23" s="1"/>
  <c r="E48" i="26"/>
  <c r="J49" i="26" s="1"/>
  <c r="F49" i="26" s="1"/>
  <c r="E50" i="30"/>
  <c r="J51" i="30" s="1"/>
  <c r="F51" i="30" s="1"/>
  <c r="I49" i="29"/>
  <c r="D49" i="29" s="1"/>
  <c r="J49" i="29"/>
  <c r="F49" i="29" s="1"/>
  <c r="J49" i="28"/>
  <c r="F49" i="28" s="1"/>
  <c r="K49" i="28"/>
  <c r="G49" i="28" s="1"/>
  <c r="I49" i="28"/>
  <c r="I50" i="22"/>
  <c r="K50" i="22"/>
  <c r="G50" i="22" s="1"/>
  <c r="J50" i="22"/>
  <c r="F50" i="22" s="1"/>
  <c r="I49" i="21"/>
  <c r="D49" i="21" s="1"/>
  <c r="K49" i="21"/>
  <c r="G49" i="21" s="1"/>
  <c r="E48" i="1"/>
  <c r="J49" i="1" s="1"/>
  <c r="F49" i="1" s="1"/>
  <c r="J50" i="31" l="1"/>
  <c r="F50" i="31" s="1"/>
  <c r="I50" i="31"/>
  <c r="D50" i="31" s="1"/>
  <c r="D49" i="27"/>
  <c r="E49" i="27"/>
  <c r="I49" i="20"/>
  <c r="D49" i="20" s="1"/>
  <c r="E49" i="25"/>
  <c r="J49" i="20"/>
  <c r="F49" i="20" s="1"/>
  <c r="D49" i="24"/>
  <c r="E49" i="24"/>
  <c r="I49" i="32"/>
  <c r="D49" i="32" s="1"/>
  <c r="K49" i="32"/>
  <c r="G49" i="32" s="1"/>
  <c r="J49" i="32"/>
  <c r="F49" i="32" s="1"/>
  <c r="D48" i="23"/>
  <c r="E48" i="23"/>
  <c r="I49" i="26"/>
  <c r="D49" i="26" s="1"/>
  <c r="K49" i="26"/>
  <c r="G49" i="26" s="1"/>
  <c r="I51" i="30"/>
  <c r="D51" i="30" s="1"/>
  <c r="K51" i="30"/>
  <c r="G51" i="30" s="1"/>
  <c r="E49" i="29"/>
  <c r="I50" i="29" s="1"/>
  <c r="D50" i="29" s="1"/>
  <c r="D49" i="28"/>
  <c r="E49" i="28"/>
  <c r="D50" i="22"/>
  <c r="E50" i="22"/>
  <c r="E49" i="21"/>
  <c r="J50" i="21" s="1"/>
  <c r="F50" i="21" s="1"/>
  <c r="K49" i="1"/>
  <c r="G49" i="1" s="1"/>
  <c r="I49" i="1"/>
  <c r="D49" i="1" s="1"/>
  <c r="E50" i="31" l="1"/>
  <c r="I50" i="27"/>
  <c r="J50" i="27"/>
  <c r="F50" i="27" s="1"/>
  <c r="K50" i="27"/>
  <c r="G50" i="27" s="1"/>
  <c r="E49" i="20"/>
  <c r="K50" i="20" s="1"/>
  <c r="G50" i="20" s="1"/>
  <c r="J50" i="25"/>
  <c r="F50" i="25" s="1"/>
  <c r="I50" i="25"/>
  <c r="D50" i="25" s="1"/>
  <c r="K50" i="25"/>
  <c r="G50" i="25" s="1"/>
  <c r="K50" i="24"/>
  <c r="G50" i="24" s="1"/>
  <c r="J50" i="24"/>
  <c r="F50" i="24" s="1"/>
  <c r="I50" i="24"/>
  <c r="E49" i="32"/>
  <c r="I49" i="23"/>
  <c r="D49" i="23" s="1"/>
  <c r="K49" i="23"/>
  <c r="G49" i="23" s="1"/>
  <c r="J49" i="23"/>
  <c r="F49" i="23" s="1"/>
  <c r="E49" i="26"/>
  <c r="K50" i="26" s="1"/>
  <c r="G50" i="26" s="1"/>
  <c r="E51" i="30"/>
  <c r="J52" i="30" s="1"/>
  <c r="F52" i="30" s="1"/>
  <c r="K50" i="29"/>
  <c r="G50" i="29" s="1"/>
  <c r="I51" i="31"/>
  <c r="D51" i="31" s="1"/>
  <c r="K51" i="31"/>
  <c r="G51" i="31" s="1"/>
  <c r="J51" i="31"/>
  <c r="F51" i="31" s="1"/>
  <c r="J50" i="29"/>
  <c r="F50" i="29" s="1"/>
  <c r="K50" i="28"/>
  <c r="G50" i="28" s="1"/>
  <c r="I50" i="28"/>
  <c r="D50" i="28" s="1"/>
  <c r="J50" i="28"/>
  <c r="F50" i="28" s="1"/>
  <c r="I51" i="22"/>
  <c r="J51" i="22"/>
  <c r="F51" i="22" s="1"/>
  <c r="K51" i="22"/>
  <c r="G51" i="22" s="1"/>
  <c r="I50" i="21"/>
  <c r="D50" i="21" s="1"/>
  <c r="K50" i="21"/>
  <c r="G50" i="21" s="1"/>
  <c r="E49" i="1"/>
  <c r="J50" i="1" s="1"/>
  <c r="F50" i="1" s="1"/>
  <c r="I50" i="20" l="1"/>
  <c r="D50" i="20" s="1"/>
  <c r="J50" i="20"/>
  <c r="F50" i="20" s="1"/>
  <c r="D50" i="27"/>
  <c r="E50" i="27"/>
  <c r="E50" i="25"/>
  <c r="D50" i="24"/>
  <c r="E50" i="24"/>
  <c r="J50" i="32"/>
  <c r="F50" i="32" s="1"/>
  <c r="I50" i="32"/>
  <c r="D50" i="32" s="1"/>
  <c r="K50" i="32"/>
  <c r="G50" i="32" s="1"/>
  <c r="E49" i="23"/>
  <c r="I52" i="30"/>
  <c r="D52" i="30" s="1"/>
  <c r="K52" i="30"/>
  <c r="G52" i="30" s="1"/>
  <c r="I50" i="26"/>
  <c r="D50" i="26" s="1"/>
  <c r="J50" i="26"/>
  <c r="F50" i="26" s="1"/>
  <c r="E50" i="29"/>
  <c r="J51" i="29" s="1"/>
  <c r="F51" i="29" s="1"/>
  <c r="E51" i="31"/>
  <c r="E50" i="28"/>
  <c r="K51" i="28" s="1"/>
  <c r="G51" i="28" s="1"/>
  <c r="D51" i="22"/>
  <c r="E51" i="22"/>
  <c r="E50" i="21"/>
  <c r="K51" i="21" s="1"/>
  <c r="G51" i="21" s="1"/>
  <c r="K50" i="1"/>
  <c r="G50" i="1" s="1"/>
  <c r="I50" i="1"/>
  <c r="D50" i="1" s="1"/>
  <c r="E50" i="20" l="1"/>
  <c r="K51" i="20" s="1"/>
  <c r="G51" i="20" s="1"/>
  <c r="K51" i="27"/>
  <c r="G51" i="27" s="1"/>
  <c r="J51" i="27"/>
  <c r="F51" i="27" s="1"/>
  <c r="I51" i="27"/>
  <c r="D51" i="27" s="1"/>
  <c r="I51" i="25"/>
  <c r="D51" i="25" s="1"/>
  <c r="J51" i="25"/>
  <c r="F51" i="25" s="1"/>
  <c r="K51" i="25"/>
  <c r="G51" i="25" s="1"/>
  <c r="J51" i="24"/>
  <c r="F51" i="24" s="1"/>
  <c r="I51" i="24"/>
  <c r="K51" i="24"/>
  <c r="G51" i="24" s="1"/>
  <c r="E50" i="32"/>
  <c r="J50" i="23"/>
  <c r="F50" i="23" s="1"/>
  <c r="K50" i="23"/>
  <c r="G50" i="23" s="1"/>
  <c r="I50" i="23"/>
  <c r="D50" i="23" s="1"/>
  <c r="E52" i="30"/>
  <c r="K53" i="30" s="1"/>
  <c r="G53" i="30" s="1"/>
  <c r="E50" i="26"/>
  <c r="K51" i="26" s="1"/>
  <c r="G51" i="26" s="1"/>
  <c r="J51" i="20"/>
  <c r="F51" i="20" s="1"/>
  <c r="I51" i="20"/>
  <c r="D51" i="20" s="1"/>
  <c r="I51" i="29"/>
  <c r="D51" i="29" s="1"/>
  <c r="K51" i="29"/>
  <c r="G51" i="29" s="1"/>
  <c r="J52" i="31"/>
  <c r="F52" i="31" s="1"/>
  <c r="K52" i="31"/>
  <c r="G52" i="31" s="1"/>
  <c r="I52" i="31"/>
  <c r="D52" i="31" s="1"/>
  <c r="J51" i="28"/>
  <c r="F51" i="28" s="1"/>
  <c r="I51" i="28"/>
  <c r="D51" i="28" s="1"/>
  <c r="J52" i="22"/>
  <c r="F52" i="22" s="1"/>
  <c r="I52" i="22"/>
  <c r="K52" i="22"/>
  <c r="G52" i="22" s="1"/>
  <c r="J51" i="21"/>
  <c r="F51" i="21" s="1"/>
  <c r="I51" i="21"/>
  <c r="D51" i="21" s="1"/>
  <c r="E50" i="1"/>
  <c r="J51" i="1" s="1"/>
  <c r="F51" i="1" s="1"/>
  <c r="E51" i="27" l="1"/>
  <c r="I52" i="27" s="1"/>
  <c r="D52" i="27" s="1"/>
  <c r="E51" i="25"/>
  <c r="J53" i="30"/>
  <c r="F53" i="30" s="1"/>
  <c r="D51" i="24"/>
  <c r="E51" i="24"/>
  <c r="I51" i="32"/>
  <c r="D51" i="32" s="1"/>
  <c r="K51" i="32"/>
  <c r="G51" i="32" s="1"/>
  <c r="J51" i="32"/>
  <c r="F51" i="32" s="1"/>
  <c r="I53" i="30"/>
  <c r="J51" i="26"/>
  <c r="F51" i="26" s="1"/>
  <c r="I51" i="26"/>
  <c r="E50" i="23"/>
  <c r="E51" i="20"/>
  <c r="I52" i="20" s="1"/>
  <c r="D52" i="20" s="1"/>
  <c r="E51" i="29"/>
  <c r="K52" i="29" s="1"/>
  <c r="G52" i="29" s="1"/>
  <c r="E52" i="31"/>
  <c r="E51" i="28"/>
  <c r="K52" i="28" s="1"/>
  <c r="G52" i="28" s="1"/>
  <c r="D52" i="22"/>
  <c r="E52" i="22"/>
  <c r="E51" i="21"/>
  <c r="I52" i="21" s="1"/>
  <c r="D52" i="21" s="1"/>
  <c r="I51" i="1"/>
  <c r="D51" i="1" s="1"/>
  <c r="K51" i="1"/>
  <c r="G51" i="1" s="1"/>
  <c r="K52" i="27" l="1"/>
  <c r="G52" i="27" s="1"/>
  <c r="J52" i="27"/>
  <c r="F52" i="27" s="1"/>
  <c r="E53" i="30"/>
  <c r="J54" i="30" s="1"/>
  <c r="F54" i="30" s="1"/>
  <c r="K52" i="25"/>
  <c r="G52" i="25" s="1"/>
  <c r="I52" i="25"/>
  <c r="D52" i="25" s="1"/>
  <c r="J52" i="25"/>
  <c r="F52" i="25" s="1"/>
  <c r="D53" i="30"/>
  <c r="J52" i="24"/>
  <c r="F52" i="24" s="1"/>
  <c r="K52" i="24"/>
  <c r="G52" i="24" s="1"/>
  <c r="I52" i="24"/>
  <c r="E51" i="26"/>
  <c r="K52" i="26" s="1"/>
  <c r="G52" i="26" s="1"/>
  <c r="E51" i="32"/>
  <c r="D51" i="26"/>
  <c r="I51" i="23"/>
  <c r="D51" i="23" s="1"/>
  <c r="K51" i="23"/>
  <c r="G51" i="23" s="1"/>
  <c r="J51" i="23"/>
  <c r="F51" i="23" s="1"/>
  <c r="J52" i="20"/>
  <c r="F52" i="20" s="1"/>
  <c r="K52" i="20"/>
  <c r="G52" i="20" s="1"/>
  <c r="I52" i="29"/>
  <c r="D52" i="29" s="1"/>
  <c r="K54" i="30"/>
  <c r="G54" i="30" s="1"/>
  <c r="J52" i="29"/>
  <c r="F52" i="29" s="1"/>
  <c r="J53" i="31"/>
  <c r="F53" i="31" s="1"/>
  <c r="I53" i="31"/>
  <c r="D53" i="31" s="1"/>
  <c r="K53" i="31"/>
  <c r="G53" i="31" s="1"/>
  <c r="I52" i="28"/>
  <c r="D52" i="28" s="1"/>
  <c r="J52" i="28"/>
  <c r="F52" i="28" s="1"/>
  <c r="I53" i="22"/>
  <c r="K53" i="22"/>
  <c r="G53" i="22" s="1"/>
  <c r="J53" i="22"/>
  <c r="F53" i="22" s="1"/>
  <c r="J52" i="21"/>
  <c r="F52" i="21" s="1"/>
  <c r="K52" i="21"/>
  <c r="G52" i="21" s="1"/>
  <c r="E51" i="1"/>
  <c r="K52" i="1" s="1"/>
  <c r="G52" i="1" s="1"/>
  <c r="E52" i="27" l="1"/>
  <c r="I54" i="30"/>
  <c r="E54" i="30" s="1"/>
  <c r="J55" i="30" s="1"/>
  <c r="F55" i="30" s="1"/>
  <c r="E52" i="25"/>
  <c r="D52" i="24"/>
  <c r="E52" i="24"/>
  <c r="J52" i="26"/>
  <c r="F52" i="26" s="1"/>
  <c r="I52" i="26"/>
  <c r="D52" i="26" s="1"/>
  <c r="K52" i="32"/>
  <c r="G52" i="32" s="1"/>
  <c r="I52" i="32"/>
  <c r="D52" i="32" s="1"/>
  <c r="J52" i="32"/>
  <c r="F52" i="32" s="1"/>
  <c r="E51" i="23"/>
  <c r="E52" i="20"/>
  <c r="J53" i="20" s="1"/>
  <c r="F53" i="20" s="1"/>
  <c r="E52" i="29"/>
  <c r="J53" i="29" s="1"/>
  <c r="F53" i="29" s="1"/>
  <c r="E53" i="31"/>
  <c r="D54" i="30"/>
  <c r="E52" i="28"/>
  <c r="J53" i="28" s="1"/>
  <c r="F53" i="28" s="1"/>
  <c r="D53" i="22"/>
  <c r="E53" i="22"/>
  <c r="E52" i="21"/>
  <c r="K53" i="21" s="1"/>
  <c r="G53" i="21" s="1"/>
  <c r="I52" i="1"/>
  <c r="D52" i="1" s="1"/>
  <c r="J52" i="1"/>
  <c r="F52" i="1" s="1"/>
  <c r="K53" i="27" l="1"/>
  <c r="G53" i="27" s="1"/>
  <c r="I53" i="27"/>
  <c r="J53" i="27"/>
  <c r="F53" i="27" s="1"/>
  <c r="I53" i="25"/>
  <c r="D53" i="25" s="1"/>
  <c r="J53" i="25"/>
  <c r="F53" i="25" s="1"/>
  <c r="K53" i="25"/>
  <c r="G53" i="25" s="1"/>
  <c r="E52" i="26"/>
  <c r="J53" i="26" s="1"/>
  <c r="F53" i="26" s="1"/>
  <c r="I53" i="24"/>
  <c r="K53" i="24"/>
  <c r="G53" i="24" s="1"/>
  <c r="J53" i="24"/>
  <c r="F53" i="24" s="1"/>
  <c r="K53" i="20"/>
  <c r="G53" i="20" s="1"/>
  <c r="I53" i="20"/>
  <c r="D53" i="20" s="1"/>
  <c r="E52" i="32"/>
  <c r="K52" i="23"/>
  <c r="G52" i="23" s="1"/>
  <c r="J52" i="23"/>
  <c r="F52" i="23" s="1"/>
  <c r="I52" i="23"/>
  <c r="D52" i="23" s="1"/>
  <c r="K55" i="30"/>
  <c r="G55" i="30" s="1"/>
  <c r="I55" i="30"/>
  <c r="D55" i="30" s="1"/>
  <c r="K53" i="29"/>
  <c r="G53" i="29" s="1"/>
  <c r="I53" i="29"/>
  <c r="D53" i="29" s="1"/>
  <c r="J54" i="31"/>
  <c r="F54" i="31" s="1"/>
  <c r="K54" i="31"/>
  <c r="G54" i="31" s="1"/>
  <c r="I54" i="31"/>
  <c r="D54" i="31" s="1"/>
  <c r="I53" i="28"/>
  <c r="D53" i="28" s="1"/>
  <c r="K53" i="28"/>
  <c r="G53" i="28" s="1"/>
  <c r="J54" i="22"/>
  <c r="F54" i="22" s="1"/>
  <c r="I54" i="22"/>
  <c r="K54" i="22"/>
  <c r="G54" i="22" s="1"/>
  <c r="I53" i="21"/>
  <c r="D53" i="21" s="1"/>
  <c r="J53" i="21"/>
  <c r="F53" i="21" s="1"/>
  <c r="E52" i="1"/>
  <c r="J53" i="1" s="1"/>
  <c r="F53" i="1" s="1"/>
  <c r="D53" i="27" l="1"/>
  <c r="E53" i="27"/>
  <c r="K53" i="26"/>
  <c r="G53" i="26" s="1"/>
  <c r="E53" i="25"/>
  <c r="I53" i="26"/>
  <c r="D53" i="26" s="1"/>
  <c r="D53" i="24"/>
  <c r="E53" i="24"/>
  <c r="E53" i="20"/>
  <c r="I54" i="20" s="1"/>
  <c r="D54" i="20" s="1"/>
  <c r="K53" i="32"/>
  <c r="G53" i="32" s="1"/>
  <c r="J53" i="32"/>
  <c r="F53" i="32" s="1"/>
  <c r="I53" i="32"/>
  <c r="D53" i="32" s="1"/>
  <c r="E52" i="23"/>
  <c r="E55" i="30"/>
  <c r="K56" i="30" s="1"/>
  <c r="G56" i="30" s="1"/>
  <c r="E53" i="29"/>
  <c r="K54" i="29" s="1"/>
  <c r="G54" i="29" s="1"/>
  <c r="E54" i="31"/>
  <c r="E53" i="28"/>
  <c r="J54" i="28" s="1"/>
  <c r="F54" i="28" s="1"/>
  <c r="D54" i="22"/>
  <c r="E54" i="22"/>
  <c r="E53" i="21"/>
  <c r="J54" i="21" s="1"/>
  <c r="F54" i="21" s="1"/>
  <c r="I53" i="1"/>
  <c r="D53" i="1" s="1"/>
  <c r="K53" i="1"/>
  <c r="G53" i="1" s="1"/>
  <c r="J54" i="27" l="1"/>
  <c r="F54" i="27" s="1"/>
  <c r="I54" i="27"/>
  <c r="K54" i="27"/>
  <c r="G54" i="27" s="1"/>
  <c r="I54" i="25"/>
  <c r="D54" i="25" s="1"/>
  <c r="K54" i="25"/>
  <c r="G54" i="25" s="1"/>
  <c r="J54" i="25"/>
  <c r="F54" i="25" s="1"/>
  <c r="E53" i="26"/>
  <c r="J54" i="26" s="1"/>
  <c r="F54" i="26" s="1"/>
  <c r="I56" i="30"/>
  <c r="D56" i="30" s="1"/>
  <c r="I54" i="24"/>
  <c r="K54" i="24"/>
  <c r="G54" i="24" s="1"/>
  <c r="J54" i="24"/>
  <c r="F54" i="24" s="1"/>
  <c r="K54" i="20"/>
  <c r="G54" i="20" s="1"/>
  <c r="J54" i="20"/>
  <c r="F54" i="20" s="1"/>
  <c r="E53" i="32"/>
  <c r="J56" i="30"/>
  <c r="F56" i="30" s="1"/>
  <c r="K53" i="23"/>
  <c r="G53" i="23" s="1"/>
  <c r="I53" i="23"/>
  <c r="J53" i="23"/>
  <c r="F53" i="23" s="1"/>
  <c r="I54" i="29"/>
  <c r="D54" i="29" s="1"/>
  <c r="J54" i="29"/>
  <c r="F54" i="29" s="1"/>
  <c r="I54" i="28"/>
  <c r="K54" i="28"/>
  <c r="G54" i="28" s="1"/>
  <c r="J55" i="31"/>
  <c r="F55" i="31" s="1"/>
  <c r="I55" i="31"/>
  <c r="D55" i="31" s="1"/>
  <c r="K55" i="31"/>
  <c r="G55" i="31" s="1"/>
  <c r="I55" i="22"/>
  <c r="J55" i="22"/>
  <c r="F55" i="22" s="1"/>
  <c r="K55" i="22"/>
  <c r="G55" i="22" s="1"/>
  <c r="I54" i="21"/>
  <c r="D54" i="21" s="1"/>
  <c r="K54" i="21"/>
  <c r="G54" i="21" s="1"/>
  <c r="E53" i="1"/>
  <c r="J54" i="1" s="1"/>
  <c r="F54" i="1" s="1"/>
  <c r="D54" i="27" l="1"/>
  <c r="E54" i="27"/>
  <c r="K54" i="26"/>
  <c r="G54" i="26" s="1"/>
  <c r="I54" i="26"/>
  <c r="D54" i="26" s="1"/>
  <c r="E54" i="25"/>
  <c r="I55" i="25" s="1"/>
  <c r="D55" i="25" s="1"/>
  <c r="E56" i="30"/>
  <c r="K57" i="30" s="1"/>
  <c r="G57" i="30" s="1"/>
  <c r="E54" i="20"/>
  <c r="I55" i="20" s="1"/>
  <c r="D55" i="20" s="1"/>
  <c r="D54" i="24"/>
  <c r="E54" i="24"/>
  <c r="J54" i="32"/>
  <c r="F54" i="32" s="1"/>
  <c r="I54" i="32"/>
  <c r="D54" i="32" s="1"/>
  <c r="K54" i="32"/>
  <c r="G54" i="32" s="1"/>
  <c r="D53" i="23"/>
  <c r="E53" i="23"/>
  <c r="E54" i="29"/>
  <c r="I55" i="29" s="1"/>
  <c r="D55" i="29" s="1"/>
  <c r="E54" i="28"/>
  <c r="D54" i="28"/>
  <c r="E55" i="31"/>
  <c r="D55" i="22"/>
  <c r="E55" i="22"/>
  <c r="E54" i="21"/>
  <c r="J55" i="21" s="1"/>
  <c r="F55" i="21" s="1"/>
  <c r="I54" i="1"/>
  <c r="D54" i="1" s="1"/>
  <c r="K54" i="1"/>
  <c r="G54" i="1" s="1"/>
  <c r="K55" i="27" l="1"/>
  <c r="G55" i="27" s="1"/>
  <c r="I55" i="27"/>
  <c r="J55" i="27"/>
  <c r="F55" i="27" s="1"/>
  <c r="E54" i="26"/>
  <c r="I55" i="26" s="1"/>
  <c r="I57" i="30"/>
  <c r="K55" i="25"/>
  <c r="G55" i="25" s="1"/>
  <c r="J55" i="25"/>
  <c r="F55" i="25" s="1"/>
  <c r="K55" i="20"/>
  <c r="G55" i="20" s="1"/>
  <c r="J57" i="30"/>
  <c r="F57" i="30" s="1"/>
  <c r="J55" i="20"/>
  <c r="F55" i="20" s="1"/>
  <c r="I55" i="24"/>
  <c r="K55" i="24"/>
  <c r="G55" i="24" s="1"/>
  <c r="J55" i="24"/>
  <c r="F55" i="24" s="1"/>
  <c r="E54" i="32"/>
  <c r="K54" i="23"/>
  <c r="G54" i="23" s="1"/>
  <c r="I54" i="23"/>
  <c r="D54" i="23" s="1"/>
  <c r="J54" i="23"/>
  <c r="F54" i="23" s="1"/>
  <c r="I55" i="28"/>
  <c r="D55" i="28" s="1"/>
  <c r="K55" i="28"/>
  <c r="G55" i="28" s="1"/>
  <c r="K55" i="26"/>
  <c r="G55" i="26" s="1"/>
  <c r="J55" i="28"/>
  <c r="F55" i="28" s="1"/>
  <c r="J55" i="29"/>
  <c r="F55" i="29" s="1"/>
  <c r="K55" i="29"/>
  <c r="G55" i="29" s="1"/>
  <c r="J56" i="31"/>
  <c r="F56" i="31" s="1"/>
  <c r="I56" i="31"/>
  <c r="D56" i="31" s="1"/>
  <c r="K56" i="31"/>
  <c r="G56" i="31" s="1"/>
  <c r="D57" i="30"/>
  <c r="J56" i="22"/>
  <c r="F56" i="22" s="1"/>
  <c r="K56" i="22"/>
  <c r="G56" i="22" s="1"/>
  <c r="I56" i="22"/>
  <c r="K55" i="21"/>
  <c r="G55" i="21" s="1"/>
  <c r="I55" i="21"/>
  <c r="D55" i="21" s="1"/>
  <c r="E54" i="1"/>
  <c r="J55" i="1" s="1"/>
  <c r="F55" i="1" s="1"/>
  <c r="J55" i="26" l="1"/>
  <c r="F55" i="26" s="1"/>
  <c r="D55" i="27"/>
  <c r="E55" i="27"/>
  <c r="E55" i="20"/>
  <c r="J56" i="20" s="1"/>
  <c r="F56" i="20" s="1"/>
  <c r="E57" i="30"/>
  <c r="J58" i="30" s="1"/>
  <c r="F58" i="30" s="1"/>
  <c r="E55" i="25"/>
  <c r="I56" i="25" s="1"/>
  <c r="D56" i="25" s="1"/>
  <c r="D55" i="24"/>
  <c r="E55" i="24"/>
  <c r="K55" i="32"/>
  <c r="G55" i="32" s="1"/>
  <c r="J55" i="32"/>
  <c r="F55" i="32" s="1"/>
  <c r="I55" i="32"/>
  <c r="D55" i="32" s="1"/>
  <c r="E54" i="23"/>
  <c r="D55" i="26"/>
  <c r="E55" i="26"/>
  <c r="E55" i="28"/>
  <c r="J56" i="28" s="1"/>
  <c r="F56" i="28" s="1"/>
  <c r="E55" i="29"/>
  <c r="K56" i="29" s="1"/>
  <c r="G56" i="29" s="1"/>
  <c r="E56" i="31"/>
  <c r="I58" i="30"/>
  <c r="D58" i="30" s="1"/>
  <c r="D56" i="22"/>
  <c r="E56" i="22"/>
  <c r="E55" i="21"/>
  <c r="I56" i="21" s="1"/>
  <c r="D56" i="21" s="1"/>
  <c r="K55" i="1"/>
  <c r="G55" i="1" s="1"/>
  <c r="I55" i="1"/>
  <c r="D55" i="1" s="1"/>
  <c r="I56" i="20" l="1"/>
  <c r="D56" i="20" s="1"/>
  <c r="K56" i="27"/>
  <c r="G56" i="27" s="1"/>
  <c r="I56" i="27"/>
  <c r="J56" i="27"/>
  <c r="F56" i="27" s="1"/>
  <c r="K56" i="20"/>
  <c r="G56" i="20" s="1"/>
  <c r="K58" i="30"/>
  <c r="G58" i="30" s="1"/>
  <c r="J56" i="25"/>
  <c r="F56" i="25" s="1"/>
  <c r="K56" i="25"/>
  <c r="G56" i="25" s="1"/>
  <c r="K56" i="24"/>
  <c r="G56" i="24" s="1"/>
  <c r="I56" i="24"/>
  <c r="J56" i="24"/>
  <c r="F56" i="24" s="1"/>
  <c r="E55" i="32"/>
  <c r="K55" i="23"/>
  <c r="G55" i="23" s="1"/>
  <c r="J55" i="23"/>
  <c r="F55" i="23" s="1"/>
  <c r="I55" i="23"/>
  <c r="D55" i="23" s="1"/>
  <c r="K56" i="28"/>
  <c r="G56" i="28" s="1"/>
  <c r="I56" i="29"/>
  <c r="D56" i="29" s="1"/>
  <c r="I56" i="28"/>
  <c r="D56" i="28" s="1"/>
  <c r="I56" i="26"/>
  <c r="K56" i="26"/>
  <c r="G56" i="26" s="1"/>
  <c r="J56" i="26"/>
  <c r="F56" i="26" s="1"/>
  <c r="J56" i="29"/>
  <c r="K57" i="31"/>
  <c r="G57" i="31" s="1"/>
  <c r="J57" i="31"/>
  <c r="F57" i="31" s="1"/>
  <c r="I57" i="31"/>
  <c r="D57" i="31" s="1"/>
  <c r="E58" i="30"/>
  <c r="J57" i="22"/>
  <c r="F57" i="22" s="1"/>
  <c r="K57" i="22"/>
  <c r="G57" i="22" s="1"/>
  <c r="I57" i="22"/>
  <c r="E56" i="20"/>
  <c r="K57" i="20" s="1"/>
  <c r="G57" i="20" s="1"/>
  <c r="K56" i="21"/>
  <c r="G56" i="21" s="1"/>
  <c r="J56" i="21"/>
  <c r="F56" i="21" s="1"/>
  <c r="E55" i="1"/>
  <c r="J56" i="1" s="1"/>
  <c r="F56" i="1" s="1"/>
  <c r="D56" i="27" l="1"/>
  <c r="E56" i="27"/>
  <c r="E56" i="25"/>
  <c r="I57" i="25" s="1"/>
  <c r="D57" i="25" s="1"/>
  <c r="E56" i="28"/>
  <c r="I57" i="28" s="1"/>
  <c r="E56" i="24"/>
  <c r="D56" i="24"/>
  <c r="J56" i="32"/>
  <c r="F56" i="32" s="1"/>
  <c r="I56" i="32"/>
  <c r="D56" i="32" s="1"/>
  <c r="K56" i="32"/>
  <c r="G56" i="32" s="1"/>
  <c r="E55" i="23"/>
  <c r="D56" i="26"/>
  <c r="E56" i="26"/>
  <c r="F56" i="29"/>
  <c r="E56" i="29"/>
  <c r="E57" i="31"/>
  <c r="J58" i="31" s="1"/>
  <c r="F58" i="31" s="1"/>
  <c r="K59" i="30"/>
  <c r="G59" i="30" s="1"/>
  <c r="J59" i="30"/>
  <c r="F59" i="30" s="1"/>
  <c r="I59" i="30"/>
  <c r="D59" i="30" s="1"/>
  <c r="D57" i="22"/>
  <c r="E57" i="22"/>
  <c r="I57" i="20"/>
  <c r="D57" i="20" s="1"/>
  <c r="J57" i="20"/>
  <c r="F57" i="20" s="1"/>
  <c r="E56" i="21"/>
  <c r="I57" i="21" s="1"/>
  <c r="D57" i="21" s="1"/>
  <c r="I56" i="1"/>
  <c r="D56" i="1" s="1"/>
  <c r="K56" i="1"/>
  <c r="G56" i="1" s="1"/>
  <c r="I57" i="27" l="1"/>
  <c r="J57" i="27"/>
  <c r="F57" i="27" s="1"/>
  <c r="K57" i="27"/>
  <c r="G57" i="27" s="1"/>
  <c r="J57" i="25"/>
  <c r="F57" i="25" s="1"/>
  <c r="K57" i="25"/>
  <c r="G57" i="25" s="1"/>
  <c r="J57" i="28"/>
  <c r="F57" i="28" s="1"/>
  <c r="K57" i="28"/>
  <c r="G57" i="28" s="1"/>
  <c r="J57" i="24"/>
  <c r="F57" i="24" s="1"/>
  <c r="I57" i="24"/>
  <c r="K57" i="24"/>
  <c r="G57" i="24" s="1"/>
  <c r="E56" i="32"/>
  <c r="I56" i="23"/>
  <c r="D56" i="23" s="1"/>
  <c r="J56" i="23"/>
  <c r="F56" i="23" s="1"/>
  <c r="K56" i="23"/>
  <c r="G56" i="23" s="1"/>
  <c r="J57" i="26"/>
  <c r="F57" i="26" s="1"/>
  <c r="I57" i="26"/>
  <c r="K57" i="26"/>
  <c r="G57" i="26" s="1"/>
  <c r="J57" i="29"/>
  <c r="F57" i="29" s="1"/>
  <c r="I57" i="29"/>
  <c r="D57" i="29" s="1"/>
  <c r="K57" i="29"/>
  <c r="G57" i="29" s="1"/>
  <c r="I58" i="31"/>
  <c r="D58" i="31" s="1"/>
  <c r="K58" i="31"/>
  <c r="G58" i="31" s="1"/>
  <c r="D57" i="28"/>
  <c r="E59" i="30"/>
  <c r="K58" i="22"/>
  <c r="G58" i="22" s="1"/>
  <c r="I58" i="22"/>
  <c r="J58" i="22"/>
  <c r="F58" i="22" s="1"/>
  <c r="E57" i="20"/>
  <c r="I58" i="20" s="1"/>
  <c r="D58" i="20" s="1"/>
  <c r="K57" i="21"/>
  <c r="G57" i="21" s="1"/>
  <c r="J57" i="21"/>
  <c r="F57" i="21" s="1"/>
  <c r="E56" i="1"/>
  <c r="J57" i="1" s="1"/>
  <c r="F57" i="1" s="1"/>
  <c r="D57" i="27" l="1"/>
  <c r="E57" i="27"/>
  <c r="E57" i="25"/>
  <c r="K58" i="25" s="1"/>
  <c r="G58" i="25" s="1"/>
  <c r="E57" i="28"/>
  <c r="I58" i="28" s="1"/>
  <c r="D57" i="24"/>
  <c r="E57" i="24"/>
  <c r="I57" i="32"/>
  <c r="D57" i="32" s="1"/>
  <c r="K57" i="32"/>
  <c r="G57" i="32" s="1"/>
  <c r="J57" i="32"/>
  <c r="F57" i="32" s="1"/>
  <c r="E56" i="23"/>
  <c r="D57" i="26"/>
  <c r="E57" i="26"/>
  <c r="E57" i="29"/>
  <c r="J58" i="29" s="1"/>
  <c r="F58" i="29" s="1"/>
  <c r="E58" i="31"/>
  <c r="J59" i="31" s="1"/>
  <c r="F59" i="31" s="1"/>
  <c r="J60" i="30"/>
  <c r="F60" i="30" s="1"/>
  <c r="K60" i="30"/>
  <c r="G60" i="30" s="1"/>
  <c r="I60" i="30"/>
  <c r="D58" i="22"/>
  <c r="E58" i="22"/>
  <c r="K58" i="20"/>
  <c r="G58" i="20" s="1"/>
  <c r="J58" i="20"/>
  <c r="F58" i="20" s="1"/>
  <c r="E57" i="21"/>
  <c r="I58" i="21" s="1"/>
  <c r="D58" i="21" s="1"/>
  <c r="I57" i="1"/>
  <c r="D57" i="1" s="1"/>
  <c r="K57" i="1"/>
  <c r="G57" i="1" s="1"/>
  <c r="J58" i="27" l="1"/>
  <c r="F58" i="27" s="1"/>
  <c r="I58" i="27"/>
  <c r="K58" i="27"/>
  <c r="G58" i="27" s="1"/>
  <c r="J58" i="25"/>
  <c r="F58" i="25" s="1"/>
  <c r="I58" i="25"/>
  <c r="D58" i="25" s="1"/>
  <c r="J58" i="28"/>
  <c r="F58" i="28" s="1"/>
  <c r="K58" i="28"/>
  <c r="G58" i="28" s="1"/>
  <c r="K58" i="24"/>
  <c r="G58" i="24" s="1"/>
  <c r="J58" i="24"/>
  <c r="F58" i="24" s="1"/>
  <c r="I58" i="24"/>
  <c r="E57" i="32"/>
  <c r="I57" i="23"/>
  <c r="D57" i="23" s="1"/>
  <c r="J57" i="23"/>
  <c r="F57" i="23" s="1"/>
  <c r="K57" i="23"/>
  <c r="G57" i="23" s="1"/>
  <c r="I58" i="26"/>
  <c r="K58" i="26"/>
  <c r="G58" i="26" s="1"/>
  <c r="J58" i="26"/>
  <c r="F58" i="26" s="1"/>
  <c r="K58" i="29"/>
  <c r="G58" i="29" s="1"/>
  <c r="I58" i="29"/>
  <c r="I59" i="31"/>
  <c r="D59" i="31" s="1"/>
  <c r="K59" i="31"/>
  <c r="G59" i="31" s="1"/>
  <c r="D58" i="28"/>
  <c r="D60" i="30"/>
  <c r="E60" i="30"/>
  <c r="I59" i="22"/>
  <c r="K59" i="22"/>
  <c r="G59" i="22" s="1"/>
  <c r="J59" i="22"/>
  <c r="F59" i="22" s="1"/>
  <c r="E58" i="20"/>
  <c r="K59" i="20" s="1"/>
  <c r="G59" i="20" s="1"/>
  <c r="J58" i="21"/>
  <c r="F58" i="21" s="1"/>
  <c r="K58" i="21"/>
  <c r="G58" i="21" s="1"/>
  <c r="E57" i="1"/>
  <c r="J58" i="1" s="1"/>
  <c r="F58" i="1" s="1"/>
  <c r="D58" i="27" l="1"/>
  <c r="E58" i="27"/>
  <c r="E58" i="28"/>
  <c r="I59" i="28" s="1"/>
  <c r="E58" i="25"/>
  <c r="K59" i="25" s="1"/>
  <c r="G59" i="25" s="1"/>
  <c r="E58" i="24"/>
  <c r="K59" i="24" s="1"/>
  <c r="G59" i="24" s="1"/>
  <c r="D58" i="24"/>
  <c r="I58" i="32"/>
  <c r="D58" i="32" s="1"/>
  <c r="K58" i="32"/>
  <c r="G58" i="32" s="1"/>
  <c r="J58" i="32"/>
  <c r="F58" i="32" s="1"/>
  <c r="E57" i="23"/>
  <c r="D58" i="26"/>
  <c r="E58" i="26"/>
  <c r="D58" i="29"/>
  <c r="E58" i="29"/>
  <c r="E59" i="31"/>
  <c r="I60" i="31" s="1"/>
  <c r="D60" i="31" s="1"/>
  <c r="J59" i="28"/>
  <c r="F59" i="28" s="1"/>
  <c r="J61" i="30"/>
  <c r="F61" i="30" s="1"/>
  <c r="I61" i="30"/>
  <c r="K61" i="30"/>
  <c r="G61" i="30" s="1"/>
  <c r="D59" i="22"/>
  <c r="E59" i="22"/>
  <c r="I59" i="20"/>
  <c r="D59" i="20" s="1"/>
  <c r="J59" i="20"/>
  <c r="F59" i="20" s="1"/>
  <c r="E58" i="21"/>
  <c r="J59" i="21" s="1"/>
  <c r="F59" i="21" s="1"/>
  <c r="I58" i="1"/>
  <c r="D58" i="1" s="1"/>
  <c r="K58" i="1"/>
  <c r="G58" i="1" s="1"/>
  <c r="K59" i="28" l="1"/>
  <c r="G59" i="28" s="1"/>
  <c r="K59" i="27"/>
  <c r="G59" i="27" s="1"/>
  <c r="J59" i="27"/>
  <c r="F59" i="27" s="1"/>
  <c r="I59" i="27"/>
  <c r="J59" i="25"/>
  <c r="F59" i="25" s="1"/>
  <c r="I59" i="25"/>
  <c r="D59" i="25" s="1"/>
  <c r="J59" i="24"/>
  <c r="F59" i="24" s="1"/>
  <c r="I59" i="24"/>
  <c r="D59" i="24" s="1"/>
  <c r="E58" i="32"/>
  <c r="I58" i="23"/>
  <c r="D58" i="23" s="1"/>
  <c r="K58" i="23"/>
  <c r="G58" i="23" s="1"/>
  <c r="J58" i="23"/>
  <c r="F58" i="23" s="1"/>
  <c r="J59" i="26"/>
  <c r="F59" i="26" s="1"/>
  <c r="K59" i="26"/>
  <c r="G59" i="26" s="1"/>
  <c r="I59" i="26"/>
  <c r="J60" i="31"/>
  <c r="F60" i="31" s="1"/>
  <c r="K59" i="29"/>
  <c r="G59" i="29" s="1"/>
  <c r="J59" i="29"/>
  <c r="F59" i="29" s="1"/>
  <c r="I59" i="29"/>
  <c r="K60" i="31"/>
  <c r="G60" i="31" s="1"/>
  <c r="D59" i="28"/>
  <c r="E59" i="28"/>
  <c r="D61" i="30"/>
  <c r="E61" i="30"/>
  <c r="J60" i="22"/>
  <c r="F60" i="22" s="1"/>
  <c r="K60" i="22"/>
  <c r="G60" i="22" s="1"/>
  <c r="I60" i="22"/>
  <c r="E59" i="20"/>
  <c r="I60" i="20" s="1"/>
  <c r="D60" i="20" s="1"/>
  <c r="K59" i="21"/>
  <c r="G59" i="21" s="1"/>
  <c r="I59" i="21"/>
  <c r="D59" i="21" s="1"/>
  <c r="E58" i="1"/>
  <c r="K59" i="1" s="1"/>
  <c r="G59" i="1" s="1"/>
  <c r="D59" i="27" l="1"/>
  <c r="E59" i="27"/>
  <c r="E59" i="25"/>
  <c r="K60" i="25" s="1"/>
  <c r="G60" i="25" s="1"/>
  <c r="E59" i="24"/>
  <c r="I60" i="24" s="1"/>
  <c r="J59" i="32"/>
  <c r="F59" i="32" s="1"/>
  <c r="I59" i="32"/>
  <c r="D59" i="32" s="1"/>
  <c r="K59" i="32"/>
  <c r="G59" i="32" s="1"/>
  <c r="E58" i="23"/>
  <c r="D59" i="26"/>
  <c r="E59" i="26"/>
  <c r="D59" i="29"/>
  <c r="E59" i="29"/>
  <c r="E60" i="31"/>
  <c r="K61" i="31" s="1"/>
  <c r="G61" i="31" s="1"/>
  <c r="K60" i="28"/>
  <c r="G60" i="28" s="1"/>
  <c r="J60" i="28"/>
  <c r="F60" i="28" s="1"/>
  <c r="I60" i="28"/>
  <c r="J62" i="30"/>
  <c r="F62" i="30" s="1"/>
  <c r="K62" i="30"/>
  <c r="G62" i="30" s="1"/>
  <c r="I62" i="30"/>
  <c r="D60" i="22"/>
  <c r="E60" i="22"/>
  <c r="J60" i="20"/>
  <c r="F60" i="20" s="1"/>
  <c r="K60" i="20"/>
  <c r="G60" i="20" s="1"/>
  <c r="E59" i="21"/>
  <c r="I60" i="21" s="1"/>
  <c r="D60" i="21" s="1"/>
  <c r="I59" i="1"/>
  <c r="D59" i="1" s="1"/>
  <c r="J59" i="1"/>
  <c r="F59" i="1" s="1"/>
  <c r="I60" i="25" l="1"/>
  <c r="D60" i="25" s="1"/>
  <c r="I60" i="27"/>
  <c r="J60" i="27"/>
  <c r="F60" i="27" s="1"/>
  <c r="K60" i="27"/>
  <c r="G60" i="27" s="1"/>
  <c r="J60" i="25"/>
  <c r="F60" i="25" s="1"/>
  <c r="K60" i="24"/>
  <c r="G60" i="24" s="1"/>
  <c r="J60" i="24"/>
  <c r="F60" i="24" s="1"/>
  <c r="D60" i="24"/>
  <c r="E59" i="32"/>
  <c r="K59" i="23"/>
  <c r="G59" i="23" s="1"/>
  <c r="I59" i="23"/>
  <c r="D59" i="23" s="1"/>
  <c r="J59" i="23"/>
  <c r="F59" i="23" s="1"/>
  <c r="J61" i="31"/>
  <c r="F61" i="31" s="1"/>
  <c r="I60" i="26"/>
  <c r="K60" i="26"/>
  <c r="G60" i="26" s="1"/>
  <c r="J60" i="26"/>
  <c r="F60" i="26" s="1"/>
  <c r="I61" i="31"/>
  <c r="D61" i="31" s="1"/>
  <c r="K60" i="29"/>
  <c r="G60" i="29" s="1"/>
  <c r="I60" i="29"/>
  <c r="D60" i="29" s="1"/>
  <c r="J60" i="29"/>
  <c r="F60" i="29" s="1"/>
  <c r="D60" i="28"/>
  <c r="E60" i="28"/>
  <c r="D62" i="30"/>
  <c r="E62" i="30"/>
  <c r="I61" i="22"/>
  <c r="J61" i="22"/>
  <c r="F61" i="22" s="1"/>
  <c r="K61" i="22"/>
  <c r="G61" i="22" s="1"/>
  <c r="E60" i="20"/>
  <c r="J61" i="20" s="1"/>
  <c r="F61" i="20" s="1"/>
  <c r="J60" i="21"/>
  <c r="F60" i="21" s="1"/>
  <c r="K60" i="21"/>
  <c r="G60" i="21" s="1"/>
  <c r="E59" i="1"/>
  <c r="J60" i="1" s="1"/>
  <c r="F60" i="1" s="1"/>
  <c r="E60" i="25" l="1"/>
  <c r="J61" i="25" s="1"/>
  <c r="F61" i="25" s="1"/>
  <c r="D60" i="27"/>
  <c r="E60" i="27"/>
  <c r="I61" i="25"/>
  <c r="D61" i="25" s="1"/>
  <c r="K61" i="25"/>
  <c r="G61" i="25" s="1"/>
  <c r="E60" i="24"/>
  <c r="I61" i="24" s="1"/>
  <c r="K60" i="32"/>
  <c r="G60" i="32" s="1"/>
  <c r="I60" i="32"/>
  <c r="D60" i="32" s="1"/>
  <c r="J60" i="32"/>
  <c r="F60" i="32" s="1"/>
  <c r="E59" i="23"/>
  <c r="E61" i="31"/>
  <c r="J62" i="31" s="1"/>
  <c r="F62" i="31" s="1"/>
  <c r="E60" i="26"/>
  <c r="D60" i="26"/>
  <c r="E60" i="29"/>
  <c r="J61" i="28"/>
  <c r="F61" i="28" s="1"/>
  <c r="I61" i="28"/>
  <c r="K61" i="28"/>
  <c r="G61" i="28" s="1"/>
  <c r="K63" i="30"/>
  <c r="G63" i="30" s="1"/>
  <c r="J63" i="30"/>
  <c r="F63" i="30" s="1"/>
  <c r="I63" i="30"/>
  <c r="D61" i="22"/>
  <c r="E61" i="22"/>
  <c r="K61" i="20"/>
  <c r="G61" i="20" s="1"/>
  <c r="I61" i="20"/>
  <c r="D61" i="20" s="1"/>
  <c r="E60" i="21"/>
  <c r="K61" i="21" s="1"/>
  <c r="G61" i="21" s="1"/>
  <c r="I60" i="1"/>
  <c r="D60" i="1" s="1"/>
  <c r="K60" i="1"/>
  <c r="G60" i="1" s="1"/>
  <c r="I61" i="27" l="1"/>
  <c r="K61" i="27"/>
  <c r="G61" i="27" s="1"/>
  <c r="J61" i="27"/>
  <c r="F61" i="27" s="1"/>
  <c r="J61" i="24"/>
  <c r="F61" i="24" s="1"/>
  <c r="E61" i="25"/>
  <c r="K62" i="25" s="1"/>
  <c r="G62" i="25" s="1"/>
  <c r="K61" i="24"/>
  <c r="G61" i="24" s="1"/>
  <c r="D61" i="24"/>
  <c r="K62" i="31"/>
  <c r="G62" i="31" s="1"/>
  <c r="I62" i="31"/>
  <c r="D62" i="31" s="1"/>
  <c r="E60" i="32"/>
  <c r="K60" i="23"/>
  <c r="G60" i="23" s="1"/>
  <c r="I60" i="23"/>
  <c r="D60" i="23" s="1"/>
  <c r="J60" i="23"/>
  <c r="F60" i="23" s="1"/>
  <c r="I61" i="26"/>
  <c r="D61" i="26" s="1"/>
  <c r="K61" i="26"/>
  <c r="G61" i="26" s="1"/>
  <c r="J61" i="26"/>
  <c r="F61" i="26" s="1"/>
  <c r="K61" i="29"/>
  <c r="G61" i="29" s="1"/>
  <c r="I61" i="29"/>
  <c r="D61" i="29" s="1"/>
  <c r="J61" i="29"/>
  <c r="F61" i="29" s="1"/>
  <c r="D61" i="28"/>
  <c r="E61" i="28"/>
  <c r="D63" i="30"/>
  <c r="E63" i="30"/>
  <c r="K62" i="22"/>
  <c r="G62" i="22" s="1"/>
  <c r="J62" i="22"/>
  <c r="F62" i="22" s="1"/>
  <c r="I62" i="22"/>
  <c r="D62" i="22" s="1"/>
  <c r="E61" i="20"/>
  <c r="J62" i="20" s="1"/>
  <c r="F62" i="20" s="1"/>
  <c r="J61" i="21"/>
  <c r="F61" i="21" s="1"/>
  <c r="I61" i="21"/>
  <c r="D61" i="21" s="1"/>
  <c r="E60" i="1"/>
  <c r="J61" i="1" s="1"/>
  <c r="F61" i="1" s="1"/>
  <c r="D61" i="27" l="1"/>
  <c r="E61" i="27"/>
  <c r="I62" i="25"/>
  <c r="D62" i="25" s="1"/>
  <c r="E61" i="24"/>
  <c r="I62" i="24" s="1"/>
  <c r="J62" i="25"/>
  <c r="F62" i="25" s="1"/>
  <c r="E62" i="31"/>
  <c r="I63" i="31" s="1"/>
  <c r="D63" i="31" s="1"/>
  <c r="J61" i="32"/>
  <c r="F61" i="32" s="1"/>
  <c r="K61" i="32"/>
  <c r="G61" i="32" s="1"/>
  <c r="I61" i="32"/>
  <c r="D61" i="32" s="1"/>
  <c r="E60" i="23"/>
  <c r="E61" i="26"/>
  <c r="E61" i="29"/>
  <c r="I62" i="28"/>
  <c r="J62" i="28"/>
  <c r="F62" i="28" s="1"/>
  <c r="K62" i="28"/>
  <c r="G62" i="28" s="1"/>
  <c r="I64" i="30"/>
  <c r="K64" i="30"/>
  <c r="G64" i="30" s="1"/>
  <c r="J64" i="30"/>
  <c r="F64" i="30" s="1"/>
  <c r="E62" i="22"/>
  <c r="K62" i="20"/>
  <c r="G62" i="20" s="1"/>
  <c r="I62" i="20"/>
  <c r="E61" i="21"/>
  <c r="K62" i="21" s="1"/>
  <c r="G62" i="21" s="1"/>
  <c r="I61" i="1"/>
  <c r="D61" i="1" s="1"/>
  <c r="K61" i="1"/>
  <c r="G61" i="1" s="1"/>
  <c r="I62" i="27" l="1"/>
  <c r="K62" i="27"/>
  <c r="G62" i="27" s="1"/>
  <c r="J62" i="27"/>
  <c r="F62" i="27" s="1"/>
  <c r="J62" i="24"/>
  <c r="F62" i="24" s="1"/>
  <c r="K62" i="24"/>
  <c r="G62" i="24" s="1"/>
  <c r="E62" i="25"/>
  <c r="J63" i="25" s="1"/>
  <c r="F63" i="25" s="1"/>
  <c r="J63" i="31"/>
  <c r="F63" i="31" s="1"/>
  <c r="K63" i="31"/>
  <c r="G63" i="31" s="1"/>
  <c r="D62" i="24"/>
  <c r="E61" i="32"/>
  <c r="J61" i="23"/>
  <c r="F61" i="23" s="1"/>
  <c r="I61" i="23"/>
  <c r="D61" i="23" s="1"/>
  <c r="K61" i="23"/>
  <c r="G61" i="23" s="1"/>
  <c r="I62" i="26"/>
  <c r="D62" i="26" s="1"/>
  <c r="J62" i="26"/>
  <c r="F62" i="26" s="1"/>
  <c r="K62" i="26"/>
  <c r="G62" i="26" s="1"/>
  <c r="K62" i="29"/>
  <c r="G62" i="29" s="1"/>
  <c r="J62" i="29"/>
  <c r="F62" i="29" s="1"/>
  <c r="I62" i="29"/>
  <c r="D62" i="29" s="1"/>
  <c r="D62" i="28"/>
  <c r="E62" i="28"/>
  <c r="D64" i="30"/>
  <c r="E64" i="30"/>
  <c r="K63" i="22"/>
  <c r="G63" i="22" s="1"/>
  <c r="J63" i="22"/>
  <c r="F63" i="22" s="1"/>
  <c r="I63" i="22"/>
  <c r="D62" i="20"/>
  <c r="E62" i="20"/>
  <c r="J62" i="21"/>
  <c r="F62" i="21" s="1"/>
  <c r="I62" i="21"/>
  <c r="D62" i="21" s="1"/>
  <c r="E61" i="1"/>
  <c r="J62" i="1" s="1"/>
  <c r="F62" i="1" s="1"/>
  <c r="D62" i="27" l="1"/>
  <c r="E62" i="27"/>
  <c r="E62" i="24"/>
  <c r="I63" i="24" s="1"/>
  <c r="K63" i="25"/>
  <c r="G63" i="25" s="1"/>
  <c r="I63" i="25"/>
  <c r="E63" i="31"/>
  <c r="I64" i="31" s="1"/>
  <c r="D64" i="31" s="1"/>
  <c r="K63" i="24"/>
  <c r="G63" i="24" s="1"/>
  <c r="J62" i="32"/>
  <c r="F62" i="32" s="1"/>
  <c r="K62" i="32"/>
  <c r="G62" i="32" s="1"/>
  <c r="I62" i="32"/>
  <c r="D62" i="32" s="1"/>
  <c r="E61" i="23"/>
  <c r="K62" i="23" s="1"/>
  <c r="G62" i="23" s="1"/>
  <c r="E62" i="26"/>
  <c r="E62" i="29"/>
  <c r="J63" i="28"/>
  <c r="F63" i="28" s="1"/>
  <c r="I63" i="28"/>
  <c r="K63" i="28"/>
  <c r="G63" i="28" s="1"/>
  <c r="J65" i="30"/>
  <c r="F65" i="30" s="1"/>
  <c r="K65" i="30"/>
  <c r="G65" i="30" s="1"/>
  <c r="I65" i="30"/>
  <c r="D65" i="30" s="1"/>
  <c r="D63" i="22"/>
  <c r="E63" i="22"/>
  <c r="I63" i="20"/>
  <c r="K63" i="20"/>
  <c r="G63" i="20" s="1"/>
  <c r="J63" i="20"/>
  <c r="F63" i="20" s="1"/>
  <c r="E62" i="21"/>
  <c r="J63" i="21" s="1"/>
  <c r="F63" i="21" s="1"/>
  <c r="K62" i="1"/>
  <c r="G62" i="1" s="1"/>
  <c r="I62" i="1"/>
  <c r="D62" i="1" s="1"/>
  <c r="J63" i="24" l="1"/>
  <c r="F63" i="24" s="1"/>
  <c r="I63" i="27"/>
  <c r="J63" i="27"/>
  <c r="F63" i="27" s="1"/>
  <c r="K63" i="27"/>
  <c r="G63" i="27" s="1"/>
  <c r="E63" i="25"/>
  <c r="K64" i="25" s="1"/>
  <c r="G64" i="25" s="1"/>
  <c r="D63" i="25"/>
  <c r="J64" i="31"/>
  <c r="F64" i="31" s="1"/>
  <c r="K64" i="31"/>
  <c r="G64" i="31" s="1"/>
  <c r="J64" i="25"/>
  <c r="F64" i="25" s="1"/>
  <c r="D63" i="24"/>
  <c r="E63" i="24"/>
  <c r="E62" i="32"/>
  <c r="J62" i="23"/>
  <c r="F62" i="23" s="1"/>
  <c r="I62" i="23"/>
  <c r="D62" i="23" s="1"/>
  <c r="K63" i="26"/>
  <c r="G63" i="26" s="1"/>
  <c r="I63" i="26"/>
  <c r="D63" i="26" s="1"/>
  <c r="J63" i="26"/>
  <c r="F63" i="26" s="1"/>
  <c r="K63" i="29"/>
  <c r="G63" i="29" s="1"/>
  <c r="J63" i="29"/>
  <c r="F63" i="29" s="1"/>
  <c r="I63" i="29"/>
  <c r="D63" i="29" s="1"/>
  <c r="E65" i="30"/>
  <c r="J66" i="30" s="1"/>
  <c r="F66" i="30" s="1"/>
  <c r="D63" i="28"/>
  <c r="E63" i="28"/>
  <c r="J64" i="22"/>
  <c r="F64" i="22" s="1"/>
  <c r="K64" i="22"/>
  <c r="G64" i="22" s="1"/>
  <c r="I64" i="22"/>
  <c r="D64" i="22" s="1"/>
  <c r="D63" i="20"/>
  <c r="E63" i="20"/>
  <c r="I63" i="21"/>
  <c r="D63" i="21" s="1"/>
  <c r="K63" i="21"/>
  <c r="G63" i="21" s="1"/>
  <c r="E62" i="1"/>
  <c r="J63" i="1" s="1"/>
  <c r="F63" i="1" s="1"/>
  <c r="I64" i="25" l="1"/>
  <c r="E64" i="25" s="1"/>
  <c r="D63" i="27"/>
  <c r="E63" i="27"/>
  <c r="E64" i="31"/>
  <c r="K65" i="31" s="1"/>
  <c r="G65" i="31" s="1"/>
  <c r="D64" i="25"/>
  <c r="I64" i="24"/>
  <c r="K64" i="24"/>
  <c r="G64" i="24" s="1"/>
  <c r="J64" i="24"/>
  <c r="F64" i="24" s="1"/>
  <c r="I63" i="32"/>
  <c r="D63" i="32" s="1"/>
  <c r="K63" i="32"/>
  <c r="G63" i="32" s="1"/>
  <c r="J63" i="32"/>
  <c r="F63" i="32" s="1"/>
  <c r="E62" i="23"/>
  <c r="K63" i="23" s="1"/>
  <c r="G63" i="23" s="1"/>
  <c r="E63" i="26"/>
  <c r="E63" i="29"/>
  <c r="I66" i="30"/>
  <c r="D66" i="30" s="1"/>
  <c r="K66" i="30"/>
  <c r="G66" i="30" s="1"/>
  <c r="I64" i="28"/>
  <c r="J64" i="28"/>
  <c r="F64" i="28" s="1"/>
  <c r="K64" i="28"/>
  <c r="G64" i="28" s="1"/>
  <c r="E64" i="22"/>
  <c r="J64" i="20"/>
  <c r="F64" i="20" s="1"/>
  <c r="I64" i="20"/>
  <c r="D64" i="20" s="1"/>
  <c r="K64" i="20"/>
  <c r="G64" i="20" s="1"/>
  <c r="E63" i="21"/>
  <c r="J64" i="21" s="1"/>
  <c r="F64" i="21" s="1"/>
  <c r="I63" i="1"/>
  <c r="D63" i="1" s="1"/>
  <c r="K63" i="1"/>
  <c r="G63" i="1" s="1"/>
  <c r="J65" i="31" l="1"/>
  <c r="F65" i="31" s="1"/>
  <c r="I64" i="27"/>
  <c r="J64" i="27"/>
  <c r="F64" i="27" s="1"/>
  <c r="K64" i="27"/>
  <c r="G64" i="27" s="1"/>
  <c r="I65" i="31"/>
  <c r="D65" i="31" s="1"/>
  <c r="I65" i="25"/>
  <c r="J65" i="25"/>
  <c r="F65" i="25" s="1"/>
  <c r="K65" i="25"/>
  <c r="G65" i="25" s="1"/>
  <c r="D64" i="24"/>
  <c r="E64" i="24"/>
  <c r="E63" i="32"/>
  <c r="I64" i="32" s="1"/>
  <c r="D64" i="32" s="1"/>
  <c r="I63" i="23"/>
  <c r="D63" i="23" s="1"/>
  <c r="J63" i="23"/>
  <c r="F63" i="23" s="1"/>
  <c r="K64" i="26"/>
  <c r="G64" i="26" s="1"/>
  <c r="J64" i="26"/>
  <c r="F64" i="26" s="1"/>
  <c r="I64" i="26"/>
  <c r="D64" i="26" s="1"/>
  <c r="K64" i="29"/>
  <c r="G64" i="29" s="1"/>
  <c r="J64" i="29"/>
  <c r="F64" i="29" s="1"/>
  <c r="I64" i="29"/>
  <c r="D64" i="29" s="1"/>
  <c r="E66" i="30"/>
  <c r="K67" i="30" s="1"/>
  <c r="G67" i="30" s="1"/>
  <c r="D64" i="28"/>
  <c r="E64" i="28"/>
  <c r="I65" i="22"/>
  <c r="J65" i="22"/>
  <c r="F65" i="22" s="1"/>
  <c r="K65" i="22"/>
  <c r="G65" i="22" s="1"/>
  <c r="E64" i="20"/>
  <c r="I64" i="21"/>
  <c r="D64" i="21" s="1"/>
  <c r="K64" i="21"/>
  <c r="G64" i="21" s="1"/>
  <c r="E63" i="1"/>
  <c r="J64" i="1" s="1"/>
  <c r="F64" i="1" s="1"/>
  <c r="E65" i="31" l="1"/>
  <c r="D64" i="27"/>
  <c r="E64" i="27"/>
  <c r="D65" i="25"/>
  <c r="E65" i="25"/>
  <c r="J65" i="24"/>
  <c r="F65" i="24" s="1"/>
  <c r="I65" i="24"/>
  <c r="K65" i="24"/>
  <c r="G65" i="24" s="1"/>
  <c r="E63" i="23"/>
  <c r="K64" i="23" s="1"/>
  <c r="G64" i="23" s="1"/>
  <c r="K64" i="32"/>
  <c r="G64" i="32" s="1"/>
  <c r="J64" i="32"/>
  <c r="F64" i="32" s="1"/>
  <c r="E64" i="26"/>
  <c r="E64" i="29"/>
  <c r="J67" i="30"/>
  <c r="F67" i="30" s="1"/>
  <c r="I67" i="30"/>
  <c r="D67" i="30" s="1"/>
  <c r="I66" i="31"/>
  <c r="D66" i="31" s="1"/>
  <c r="J66" i="31"/>
  <c r="F66" i="31" s="1"/>
  <c r="K66" i="31"/>
  <c r="G66" i="31" s="1"/>
  <c r="K65" i="28"/>
  <c r="G65" i="28" s="1"/>
  <c r="J65" i="28"/>
  <c r="F65" i="28" s="1"/>
  <c r="I65" i="28"/>
  <c r="D65" i="22"/>
  <c r="E65" i="22"/>
  <c r="K65" i="20"/>
  <c r="G65" i="20" s="1"/>
  <c r="J65" i="20"/>
  <c r="F65" i="20" s="1"/>
  <c r="I65" i="20"/>
  <c r="E64" i="21"/>
  <c r="I65" i="21" s="1"/>
  <c r="D65" i="21" s="1"/>
  <c r="I64" i="1"/>
  <c r="D64" i="1" s="1"/>
  <c r="K64" i="1"/>
  <c r="G64" i="1" s="1"/>
  <c r="K65" i="27" l="1"/>
  <c r="G65" i="27" s="1"/>
  <c r="I65" i="27"/>
  <c r="J65" i="27"/>
  <c r="F65" i="27" s="1"/>
  <c r="K66" i="25"/>
  <c r="G66" i="25" s="1"/>
  <c r="I66" i="25"/>
  <c r="J66" i="25"/>
  <c r="F66" i="25" s="1"/>
  <c r="J64" i="23"/>
  <c r="F64" i="23" s="1"/>
  <c r="D65" i="24"/>
  <c r="E65" i="24"/>
  <c r="I64" i="23"/>
  <c r="D64" i="23" s="1"/>
  <c r="E64" i="32"/>
  <c r="I65" i="32" s="1"/>
  <c r="J65" i="26"/>
  <c r="F65" i="26" s="1"/>
  <c r="I65" i="26"/>
  <c r="D65" i="26" s="1"/>
  <c r="K65" i="26"/>
  <c r="G65" i="26" s="1"/>
  <c r="K65" i="29"/>
  <c r="G65" i="29" s="1"/>
  <c r="I65" i="29"/>
  <c r="D65" i="29" s="1"/>
  <c r="J65" i="29"/>
  <c r="F65" i="29" s="1"/>
  <c r="E67" i="30"/>
  <c r="I68" i="30" s="1"/>
  <c r="E66" i="31"/>
  <c r="D65" i="28"/>
  <c r="E65" i="28"/>
  <c r="I66" i="22"/>
  <c r="D66" i="22" s="1"/>
  <c r="J66" i="22"/>
  <c r="F66" i="22" s="1"/>
  <c r="K66" i="22"/>
  <c r="G66" i="22" s="1"/>
  <c r="D65" i="20"/>
  <c r="E65" i="20"/>
  <c r="K65" i="21"/>
  <c r="G65" i="21" s="1"/>
  <c r="J65" i="21"/>
  <c r="F65" i="21" s="1"/>
  <c r="E64" i="1"/>
  <c r="J65" i="1" s="1"/>
  <c r="F65" i="1" s="1"/>
  <c r="D65" i="27" l="1"/>
  <c r="E65" i="27"/>
  <c r="D66" i="25"/>
  <c r="E66" i="25"/>
  <c r="J66" i="24"/>
  <c r="F66" i="24" s="1"/>
  <c r="K66" i="24"/>
  <c r="G66" i="24" s="1"/>
  <c r="I66" i="24"/>
  <c r="E64" i="23"/>
  <c r="K65" i="23" s="1"/>
  <c r="G65" i="23" s="1"/>
  <c r="J65" i="32"/>
  <c r="F65" i="32" s="1"/>
  <c r="K65" i="32"/>
  <c r="G65" i="32" s="1"/>
  <c r="D65" i="32"/>
  <c r="E65" i="26"/>
  <c r="E65" i="29"/>
  <c r="K68" i="30"/>
  <c r="G68" i="30" s="1"/>
  <c r="J68" i="30"/>
  <c r="F68" i="30" s="1"/>
  <c r="I67" i="31"/>
  <c r="D67" i="31" s="1"/>
  <c r="K67" i="31"/>
  <c r="G67" i="31" s="1"/>
  <c r="J67" i="31"/>
  <c r="F67" i="31" s="1"/>
  <c r="J66" i="28"/>
  <c r="F66" i="28" s="1"/>
  <c r="I66" i="28"/>
  <c r="K66" i="28"/>
  <c r="G66" i="28" s="1"/>
  <c r="D68" i="30"/>
  <c r="E66" i="22"/>
  <c r="I66" i="20"/>
  <c r="K66" i="20"/>
  <c r="G66" i="20" s="1"/>
  <c r="J66" i="20"/>
  <c r="F66" i="20" s="1"/>
  <c r="E65" i="21"/>
  <c r="I66" i="21" s="1"/>
  <c r="D66" i="21" s="1"/>
  <c r="I65" i="1"/>
  <c r="D65" i="1" s="1"/>
  <c r="K65" i="1"/>
  <c r="G65" i="1" s="1"/>
  <c r="K66" i="27" l="1"/>
  <c r="G66" i="27" s="1"/>
  <c r="I66" i="27"/>
  <c r="J66" i="27"/>
  <c r="F66" i="27" s="1"/>
  <c r="J67" i="25"/>
  <c r="F67" i="25" s="1"/>
  <c r="I67" i="25"/>
  <c r="K67" i="25"/>
  <c r="G67" i="25" s="1"/>
  <c r="I65" i="23"/>
  <c r="D65" i="23" s="1"/>
  <c r="J65" i="23"/>
  <c r="F65" i="23" s="1"/>
  <c r="D66" i="24"/>
  <c r="E66" i="24"/>
  <c r="E65" i="32"/>
  <c r="J66" i="32" s="1"/>
  <c r="F66" i="32" s="1"/>
  <c r="K66" i="26"/>
  <c r="G66" i="26" s="1"/>
  <c r="J66" i="26"/>
  <c r="F66" i="26" s="1"/>
  <c r="I66" i="26"/>
  <c r="D66" i="26" s="1"/>
  <c r="E68" i="30"/>
  <c r="J69" i="30" s="1"/>
  <c r="F69" i="30" s="1"/>
  <c r="I66" i="29"/>
  <c r="D66" i="29" s="1"/>
  <c r="K66" i="29"/>
  <c r="G66" i="29" s="1"/>
  <c r="J66" i="29"/>
  <c r="F66" i="29" s="1"/>
  <c r="E67" i="31"/>
  <c r="D66" i="28"/>
  <c r="E66" i="28"/>
  <c r="J67" i="22"/>
  <c r="F67" i="22" s="1"/>
  <c r="I67" i="22"/>
  <c r="K67" i="22"/>
  <c r="G67" i="22" s="1"/>
  <c r="D66" i="20"/>
  <c r="E66" i="20"/>
  <c r="K66" i="21"/>
  <c r="G66" i="21" s="1"/>
  <c r="J66" i="21"/>
  <c r="F66" i="21" s="1"/>
  <c r="E65" i="1"/>
  <c r="J66" i="1" s="1"/>
  <c r="F66" i="1" s="1"/>
  <c r="D66" i="27" l="1"/>
  <c r="E66" i="27"/>
  <c r="E67" i="25"/>
  <c r="D67" i="25"/>
  <c r="E65" i="23"/>
  <c r="J66" i="23" s="1"/>
  <c r="F66" i="23" s="1"/>
  <c r="K67" i="24"/>
  <c r="G67" i="24" s="1"/>
  <c r="J67" i="24"/>
  <c r="F67" i="24" s="1"/>
  <c r="I67" i="24"/>
  <c r="D67" i="24" s="1"/>
  <c r="K66" i="32"/>
  <c r="G66" i="32" s="1"/>
  <c r="I66" i="32"/>
  <c r="D66" i="32" s="1"/>
  <c r="I69" i="30"/>
  <c r="D69" i="30" s="1"/>
  <c r="K69" i="30"/>
  <c r="G69" i="30" s="1"/>
  <c r="E66" i="26"/>
  <c r="K67" i="26" s="1"/>
  <c r="G67" i="26" s="1"/>
  <c r="E66" i="29"/>
  <c r="J68" i="31"/>
  <c r="F68" i="31" s="1"/>
  <c r="K68" i="31"/>
  <c r="G68" i="31" s="1"/>
  <c r="I68" i="31"/>
  <c r="D68" i="31" s="1"/>
  <c r="K67" i="28"/>
  <c r="G67" i="28" s="1"/>
  <c r="J67" i="28"/>
  <c r="F67" i="28" s="1"/>
  <c r="I67" i="28"/>
  <c r="D67" i="22"/>
  <c r="E67" i="22"/>
  <c r="J67" i="20"/>
  <c r="F67" i="20" s="1"/>
  <c r="I67" i="20"/>
  <c r="K67" i="20"/>
  <c r="G67" i="20" s="1"/>
  <c r="E66" i="21"/>
  <c r="J67" i="21" s="1"/>
  <c r="F67" i="21" s="1"/>
  <c r="K66" i="1"/>
  <c r="G66" i="1" s="1"/>
  <c r="I66" i="1"/>
  <c r="D66" i="1" s="1"/>
  <c r="K67" i="27" l="1"/>
  <c r="G67" i="27" s="1"/>
  <c r="I67" i="27"/>
  <c r="J67" i="27"/>
  <c r="F67" i="27" s="1"/>
  <c r="K68" i="25"/>
  <c r="G68" i="25" s="1"/>
  <c r="I68" i="25"/>
  <c r="D68" i="25" s="1"/>
  <c r="J68" i="25"/>
  <c r="F68" i="25" s="1"/>
  <c r="I66" i="23"/>
  <c r="D66" i="23" s="1"/>
  <c r="K66" i="23"/>
  <c r="G66" i="23" s="1"/>
  <c r="E67" i="24"/>
  <c r="E66" i="32"/>
  <c r="K67" i="32" s="1"/>
  <c r="G67" i="32" s="1"/>
  <c r="E69" i="30"/>
  <c r="I70" i="30" s="1"/>
  <c r="I67" i="26"/>
  <c r="D67" i="26" s="1"/>
  <c r="J67" i="26"/>
  <c r="F67" i="26" s="1"/>
  <c r="I67" i="29"/>
  <c r="D67" i="29" s="1"/>
  <c r="K67" i="29"/>
  <c r="G67" i="29" s="1"/>
  <c r="J67" i="29"/>
  <c r="F67" i="29" s="1"/>
  <c r="E68" i="31"/>
  <c r="D67" i="28"/>
  <c r="E67" i="28"/>
  <c r="I68" i="22"/>
  <c r="D68" i="22" s="1"/>
  <c r="J68" i="22"/>
  <c r="F68" i="22" s="1"/>
  <c r="K68" i="22"/>
  <c r="G68" i="22" s="1"/>
  <c r="D67" i="20"/>
  <c r="E67" i="20"/>
  <c r="I67" i="21"/>
  <c r="D67" i="21" s="1"/>
  <c r="K67" i="21"/>
  <c r="G67" i="21" s="1"/>
  <c r="E66" i="1"/>
  <c r="J67" i="1" s="1"/>
  <c r="F67" i="1" s="1"/>
  <c r="D67" i="27" l="1"/>
  <c r="E67" i="27"/>
  <c r="E68" i="25"/>
  <c r="J67" i="32"/>
  <c r="F67" i="32" s="1"/>
  <c r="E66" i="23"/>
  <c r="J67" i="23" s="1"/>
  <c r="F67" i="23" s="1"/>
  <c r="K70" i="30"/>
  <c r="G70" i="30" s="1"/>
  <c r="I67" i="32"/>
  <c r="D67" i="32" s="1"/>
  <c r="J68" i="24"/>
  <c r="F68" i="24" s="1"/>
  <c r="K68" i="24"/>
  <c r="G68" i="24" s="1"/>
  <c r="I68" i="24"/>
  <c r="D68" i="24" s="1"/>
  <c r="J70" i="30"/>
  <c r="F70" i="30" s="1"/>
  <c r="E67" i="26"/>
  <c r="I68" i="26" s="1"/>
  <c r="D68" i="26" s="1"/>
  <c r="E67" i="29"/>
  <c r="K69" i="31"/>
  <c r="G69" i="31" s="1"/>
  <c r="I69" i="31"/>
  <c r="D69" i="31" s="1"/>
  <c r="J69" i="31"/>
  <c r="F69" i="31" s="1"/>
  <c r="D70" i="30"/>
  <c r="J68" i="28"/>
  <c r="F68" i="28" s="1"/>
  <c r="K68" i="28"/>
  <c r="G68" i="28" s="1"/>
  <c r="I68" i="28"/>
  <c r="E68" i="22"/>
  <c r="I69" i="22" s="1"/>
  <c r="D69" i="22" s="1"/>
  <c r="I68" i="20"/>
  <c r="J68" i="20"/>
  <c r="F68" i="20" s="1"/>
  <c r="K68" i="20"/>
  <c r="G68" i="20" s="1"/>
  <c r="E67" i="21"/>
  <c r="J68" i="21" s="1"/>
  <c r="F68" i="21" s="1"/>
  <c r="K67" i="1"/>
  <c r="G67" i="1" s="1"/>
  <c r="I67" i="1"/>
  <c r="D67" i="1" s="1"/>
  <c r="J68" i="27" l="1"/>
  <c r="F68" i="27" s="1"/>
  <c r="I68" i="27"/>
  <c r="K68" i="27"/>
  <c r="G68" i="27" s="1"/>
  <c r="J69" i="25"/>
  <c r="F69" i="25" s="1"/>
  <c r="K69" i="25"/>
  <c r="G69" i="25" s="1"/>
  <c r="I69" i="25"/>
  <c r="D69" i="25" s="1"/>
  <c r="K67" i="23"/>
  <c r="G67" i="23" s="1"/>
  <c r="I67" i="23"/>
  <c r="D67" i="23" s="1"/>
  <c r="E67" i="32"/>
  <c r="K68" i="32" s="1"/>
  <c r="G68" i="32" s="1"/>
  <c r="E68" i="24"/>
  <c r="E70" i="30"/>
  <c r="J71" i="30" s="1"/>
  <c r="F71" i="30" s="1"/>
  <c r="K68" i="26"/>
  <c r="G68" i="26" s="1"/>
  <c r="J68" i="26"/>
  <c r="F68" i="26" s="1"/>
  <c r="K68" i="29"/>
  <c r="G68" i="29" s="1"/>
  <c r="I68" i="29"/>
  <c r="D68" i="29" s="1"/>
  <c r="J68" i="29"/>
  <c r="F68" i="29" s="1"/>
  <c r="E69" i="31"/>
  <c r="D68" i="28"/>
  <c r="E68" i="28"/>
  <c r="J69" i="22"/>
  <c r="K69" i="22"/>
  <c r="G69" i="22" s="1"/>
  <c r="D68" i="20"/>
  <c r="E68" i="20"/>
  <c r="K68" i="21"/>
  <c r="G68" i="21" s="1"/>
  <c r="I68" i="21"/>
  <c r="D68" i="21" s="1"/>
  <c r="E67" i="1"/>
  <c r="J68" i="1" s="1"/>
  <c r="F68" i="1" s="1"/>
  <c r="D68" i="27" l="1"/>
  <c r="E68" i="27"/>
  <c r="E69" i="25"/>
  <c r="E67" i="23"/>
  <c r="J68" i="23" s="1"/>
  <c r="F68" i="23" s="1"/>
  <c r="J68" i="32"/>
  <c r="F68" i="32" s="1"/>
  <c r="K71" i="30"/>
  <c r="G71" i="30" s="1"/>
  <c r="I68" i="32"/>
  <c r="I71" i="30"/>
  <c r="D71" i="30" s="1"/>
  <c r="I69" i="24"/>
  <c r="D69" i="24" s="1"/>
  <c r="K69" i="24"/>
  <c r="G69" i="24" s="1"/>
  <c r="J69" i="24"/>
  <c r="F69" i="24" s="1"/>
  <c r="E68" i="26"/>
  <c r="I69" i="26" s="1"/>
  <c r="D69" i="26" s="1"/>
  <c r="E68" i="29"/>
  <c r="J70" i="31"/>
  <c r="F70" i="31" s="1"/>
  <c r="K70" i="31"/>
  <c r="G70" i="31" s="1"/>
  <c r="I70" i="31"/>
  <c r="D70" i="31" s="1"/>
  <c r="J69" i="28"/>
  <c r="F69" i="28" s="1"/>
  <c r="K69" i="28"/>
  <c r="G69" i="28" s="1"/>
  <c r="I69" i="28"/>
  <c r="F69" i="22"/>
  <c r="E69" i="22"/>
  <c r="K69" i="20"/>
  <c r="G69" i="20" s="1"/>
  <c r="J69" i="20"/>
  <c r="F69" i="20" s="1"/>
  <c r="I69" i="20"/>
  <c r="D69" i="20" s="1"/>
  <c r="E68" i="21"/>
  <c r="K69" i="21" s="1"/>
  <c r="G69" i="21" s="1"/>
  <c r="K68" i="1"/>
  <c r="G68" i="1" s="1"/>
  <c r="I68" i="1"/>
  <c r="D68" i="1" s="1"/>
  <c r="I68" i="23" l="1"/>
  <c r="D68" i="23" s="1"/>
  <c r="K69" i="27"/>
  <c r="G69" i="27" s="1"/>
  <c r="J69" i="27"/>
  <c r="F69" i="27" s="1"/>
  <c r="I69" i="27"/>
  <c r="K68" i="23"/>
  <c r="G68" i="23" s="1"/>
  <c r="K70" i="25"/>
  <c r="G70" i="25" s="1"/>
  <c r="I70" i="25"/>
  <c r="D70" i="25" s="1"/>
  <c r="J70" i="25"/>
  <c r="F70" i="25" s="1"/>
  <c r="E71" i="30"/>
  <c r="E68" i="32"/>
  <c r="D68" i="32"/>
  <c r="E69" i="24"/>
  <c r="E68" i="23"/>
  <c r="I69" i="23" s="1"/>
  <c r="D69" i="23" s="1"/>
  <c r="K69" i="26"/>
  <c r="G69" i="26" s="1"/>
  <c r="J69" i="26"/>
  <c r="F69" i="26" s="1"/>
  <c r="I69" i="29"/>
  <c r="D69" i="29" s="1"/>
  <c r="K69" i="29"/>
  <c r="G69" i="29" s="1"/>
  <c r="J69" i="29"/>
  <c r="F69" i="29" s="1"/>
  <c r="E70" i="31"/>
  <c r="K72" i="30"/>
  <c r="G72" i="30" s="1"/>
  <c r="J72" i="30"/>
  <c r="F72" i="30" s="1"/>
  <c r="D69" i="28"/>
  <c r="E69" i="28"/>
  <c r="I72" i="30"/>
  <c r="I70" i="22"/>
  <c r="D70" i="22" s="1"/>
  <c r="J70" i="22"/>
  <c r="F70" i="22" s="1"/>
  <c r="K70" i="22"/>
  <c r="G70" i="22" s="1"/>
  <c r="E69" i="20"/>
  <c r="J69" i="21"/>
  <c r="F69" i="21" s="1"/>
  <c r="I69" i="21"/>
  <c r="D69" i="21" s="1"/>
  <c r="E68" i="1"/>
  <c r="K69" i="1" s="1"/>
  <c r="G69" i="1" s="1"/>
  <c r="D69" i="27" l="1"/>
  <c r="E69" i="27"/>
  <c r="E70" i="25"/>
  <c r="I69" i="32"/>
  <c r="D69" i="32" s="1"/>
  <c r="K69" i="32"/>
  <c r="G69" i="32" s="1"/>
  <c r="J69" i="32"/>
  <c r="F69" i="32" s="1"/>
  <c r="J70" i="24"/>
  <c r="F70" i="24" s="1"/>
  <c r="I70" i="24"/>
  <c r="D70" i="24" s="1"/>
  <c r="K70" i="24"/>
  <c r="G70" i="24" s="1"/>
  <c r="E69" i="26"/>
  <c r="K70" i="26" s="1"/>
  <c r="G70" i="26" s="1"/>
  <c r="J69" i="23"/>
  <c r="F69" i="23" s="1"/>
  <c r="K69" i="23"/>
  <c r="G69" i="23" s="1"/>
  <c r="E69" i="29"/>
  <c r="K71" i="31"/>
  <c r="G71" i="31" s="1"/>
  <c r="I71" i="31"/>
  <c r="D71" i="31" s="1"/>
  <c r="J71" i="31"/>
  <c r="F71" i="31" s="1"/>
  <c r="E72" i="30"/>
  <c r="J73" i="30" s="1"/>
  <c r="F73" i="30" s="1"/>
  <c r="D72" i="30"/>
  <c r="K70" i="28"/>
  <c r="G70" i="28" s="1"/>
  <c r="I70" i="28"/>
  <c r="J70" i="28"/>
  <c r="F70" i="28" s="1"/>
  <c r="E70" i="22"/>
  <c r="K70" i="20"/>
  <c r="G70" i="20" s="1"/>
  <c r="J70" i="20"/>
  <c r="F70" i="20" s="1"/>
  <c r="I70" i="20"/>
  <c r="D70" i="20" s="1"/>
  <c r="E69" i="21"/>
  <c r="K70" i="21" s="1"/>
  <c r="G70" i="21" s="1"/>
  <c r="I69" i="1"/>
  <c r="D69" i="1" s="1"/>
  <c r="J69" i="1"/>
  <c r="F69" i="1" s="1"/>
  <c r="I70" i="27" l="1"/>
  <c r="D70" i="27" s="1"/>
  <c r="K70" i="27"/>
  <c r="G70" i="27" s="1"/>
  <c r="J70" i="27"/>
  <c r="F70" i="27" s="1"/>
  <c r="I71" i="25"/>
  <c r="D71" i="25" s="1"/>
  <c r="K71" i="25"/>
  <c r="G71" i="25" s="1"/>
  <c r="J71" i="25"/>
  <c r="F71" i="25" s="1"/>
  <c r="E69" i="32"/>
  <c r="J70" i="32" s="1"/>
  <c r="F70" i="32" s="1"/>
  <c r="E70" i="24"/>
  <c r="E69" i="23"/>
  <c r="K70" i="23" s="1"/>
  <c r="G70" i="23" s="1"/>
  <c r="J70" i="26"/>
  <c r="F70" i="26" s="1"/>
  <c r="I70" i="26"/>
  <c r="K70" i="29"/>
  <c r="G70" i="29" s="1"/>
  <c r="J70" i="29"/>
  <c r="F70" i="29" s="1"/>
  <c r="I70" i="29"/>
  <c r="D70" i="29" s="1"/>
  <c r="E71" i="31"/>
  <c r="K73" i="30"/>
  <c r="G73" i="30" s="1"/>
  <c r="I73" i="30"/>
  <c r="D73" i="30" s="1"/>
  <c r="D70" i="28"/>
  <c r="E70" i="28"/>
  <c r="K71" i="22"/>
  <c r="G71" i="22" s="1"/>
  <c r="J71" i="22"/>
  <c r="F71" i="22" s="1"/>
  <c r="I71" i="22"/>
  <c r="D71" i="22" s="1"/>
  <c r="E70" i="20"/>
  <c r="I70" i="21"/>
  <c r="J70" i="21"/>
  <c r="F70" i="21" s="1"/>
  <c r="E69" i="1"/>
  <c r="K70" i="1" s="1"/>
  <c r="G70" i="1" s="1"/>
  <c r="E70" i="27" l="1"/>
  <c r="I70" i="32"/>
  <c r="D70" i="32" s="1"/>
  <c r="K70" i="32"/>
  <c r="G70" i="32" s="1"/>
  <c r="E71" i="25"/>
  <c r="J71" i="24"/>
  <c r="F71" i="24" s="1"/>
  <c r="K71" i="24"/>
  <c r="G71" i="24" s="1"/>
  <c r="I71" i="24"/>
  <c r="D71" i="24" s="1"/>
  <c r="J70" i="23"/>
  <c r="F70" i="23" s="1"/>
  <c r="I70" i="23"/>
  <c r="D70" i="23" s="1"/>
  <c r="D70" i="26"/>
  <c r="E70" i="26"/>
  <c r="E70" i="29"/>
  <c r="I72" i="31"/>
  <c r="D72" i="31" s="1"/>
  <c r="J72" i="31"/>
  <c r="F72" i="31" s="1"/>
  <c r="K72" i="31"/>
  <c r="G72" i="31" s="1"/>
  <c r="E73" i="30"/>
  <c r="J74" i="30" s="1"/>
  <c r="F74" i="30" s="1"/>
  <c r="K71" i="28"/>
  <c r="G71" i="28" s="1"/>
  <c r="J71" i="28"/>
  <c r="F71" i="28" s="1"/>
  <c r="I71" i="28"/>
  <c r="E71" i="22"/>
  <c r="J72" i="22" s="1"/>
  <c r="F72" i="22" s="1"/>
  <c r="K71" i="20"/>
  <c r="G71" i="20" s="1"/>
  <c r="J71" i="20"/>
  <c r="F71" i="20" s="1"/>
  <c r="I71" i="20"/>
  <c r="D71" i="20" s="1"/>
  <c r="E70" i="21"/>
  <c r="J71" i="21" s="1"/>
  <c r="F71" i="21" s="1"/>
  <c r="D70" i="21"/>
  <c r="I70" i="1"/>
  <c r="D70" i="1" s="1"/>
  <c r="J70" i="1"/>
  <c r="F70" i="1" s="1"/>
  <c r="K71" i="27" l="1"/>
  <c r="G71" i="27" s="1"/>
  <c r="I71" i="27"/>
  <c r="J71" i="27"/>
  <c r="F71" i="27" s="1"/>
  <c r="E70" i="32"/>
  <c r="I71" i="32" s="1"/>
  <c r="J72" i="25"/>
  <c r="F72" i="25" s="1"/>
  <c r="K72" i="25"/>
  <c r="G72" i="25" s="1"/>
  <c r="I72" i="25"/>
  <c r="D72" i="25" s="1"/>
  <c r="E71" i="24"/>
  <c r="E70" i="23"/>
  <c r="I71" i="26"/>
  <c r="D71" i="26" s="1"/>
  <c r="K71" i="26"/>
  <c r="G71" i="26" s="1"/>
  <c r="J71" i="26"/>
  <c r="F71" i="26" s="1"/>
  <c r="K71" i="29"/>
  <c r="G71" i="29" s="1"/>
  <c r="J71" i="29"/>
  <c r="F71" i="29" s="1"/>
  <c r="I71" i="29"/>
  <c r="D71" i="29" s="1"/>
  <c r="I74" i="30"/>
  <c r="D74" i="30" s="1"/>
  <c r="K74" i="30"/>
  <c r="G74" i="30" s="1"/>
  <c r="E72" i="31"/>
  <c r="K73" i="31" s="1"/>
  <c r="G73" i="31" s="1"/>
  <c r="D71" i="28"/>
  <c r="E71" i="28"/>
  <c r="I72" i="22"/>
  <c r="D72" i="22" s="1"/>
  <c r="K72" i="22"/>
  <c r="G72" i="22" s="1"/>
  <c r="E71" i="20"/>
  <c r="K71" i="21"/>
  <c r="G71" i="21" s="1"/>
  <c r="I71" i="21"/>
  <c r="D71" i="21" s="1"/>
  <c r="E70" i="1"/>
  <c r="K71" i="1" s="1"/>
  <c r="G71" i="1" s="1"/>
  <c r="K71" i="32" l="1"/>
  <c r="G71" i="32" s="1"/>
  <c r="D71" i="27"/>
  <c r="E71" i="27"/>
  <c r="J71" i="32"/>
  <c r="F71" i="32" s="1"/>
  <c r="E72" i="25"/>
  <c r="K72" i="24"/>
  <c r="G72" i="24" s="1"/>
  <c r="J72" i="24"/>
  <c r="F72" i="24" s="1"/>
  <c r="I72" i="24"/>
  <c r="D72" i="24" s="1"/>
  <c r="D71" i="32"/>
  <c r="K71" i="23"/>
  <c r="G71" i="23" s="1"/>
  <c r="J71" i="23"/>
  <c r="F71" i="23" s="1"/>
  <c r="I71" i="23"/>
  <c r="E71" i="26"/>
  <c r="E71" i="29"/>
  <c r="E74" i="30"/>
  <c r="J75" i="30" s="1"/>
  <c r="F75" i="30" s="1"/>
  <c r="I73" i="31"/>
  <c r="D73" i="31" s="1"/>
  <c r="J73" i="31"/>
  <c r="F73" i="31" s="1"/>
  <c r="J72" i="28"/>
  <c r="F72" i="28" s="1"/>
  <c r="K72" i="28"/>
  <c r="G72" i="28" s="1"/>
  <c r="I72" i="28"/>
  <c r="E72" i="22"/>
  <c r="K73" i="22" s="1"/>
  <c r="G73" i="22" s="1"/>
  <c r="I72" i="20"/>
  <c r="D72" i="20" s="1"/>
  <c r="J72" i="20"/>
  <c r="F72" i="20" s="1"/>
  <c r="K72" i="20"/>
  <c r="G72" i="20" s="1"/>
  <c r="E71" i="21"/>
  <c r="K72" i="21" s="1"/>
  <c r="G72" i="21" s="1"/>
  <c r="I71" i="1"/>
  <c r="D71" i="1" s="1"/>
  <c r="J71" i="1"/>
  <c r="F71" i="1" s="1"/>
  <c r="E71" i="32" l="1"/>
  <c r="J72" i="27"/>
  <c r="F72" i="27" s="1"/>
  <c r="I72" i="27"/>
  <c r="K72" i="27"/>
  <c r="G72" i="27" s="1"/>
  <c r="I73" i="25"/>
  <c r="D73" i="25" s="1"/>
  <c r="K73" i="25"/>
  <c r="G73" i="25" s="1"/>
  <c r="J73" i="25"/>
  <c r="F73" i="25" s="1"/>
  <c r="E72" i="24"/>
  <c r="K72" i="32"/>
  <c r="G72" i="32" s="1"/>
  <c r="I72" i="32"/>
  <c r="J72" i="32"/>
  <c r="F72" i="32" s="1"/>
  <c r="D71" i="23"/>
  <c r="E71" i="23"/>
  <c r="J72" i="26"/>
  <c r="F72" i="26" s="1"/>
  <c r="K72" i="26"/>
  <c r="G72" i="26" s="1"/>
  <c r="I72" i="26"/>
  <c r="K72" i="29"/>
  <c r="G72" i="29" s="1"/>
  <c r="I72" i="29"/>
  <c r="D72" i="29" s="1"/>
  <c r="J72" i="29"/>
  <c r="F72" i="29" s="1"/>
  <c r="I75" i="30"/>
  <c r="K75" i="30"/>
  <c r="G75" i="30" s="1"/>
  <c r="E73" i="31"/>
  <c r="I74" i="31" s="1"/>
  <c r="D74" i="31" s="1"/>
  <c r="D72" i="28"/>
  <c r="E72" i="28"/>
  <c r="I73" i="22"/>
  <c r="D73" i="22" s="1"/>
  <c r="J73" i="22"/>
  <c r="F73" i="22" s="1"/>
  <c r="E72" i="20"/>
  <c r="I72" i="21"/>
  <c r="D72" i="21" s="1"/>
  <c r="J72" i="21"/>
  <c r="F72" i="21" s="1"/>
  <c r="E71" i="1"/>
  <c r="K72" i="1" s="1"/>
  <c r="G72" i="1" s="1"/>
  <c r="D72" i="27" l="1"/>
  <c r="E72" i="27"/>
  <c r="E73" i="25"/>
  <c r="J73" i="24"/>
  <c r="F73" i="24" s="1"/>
  <c r="I73" i="24"/>
  <c r="D73" i="24" s="1"/>
  <c r="K73" i="24"/>
  <c r="G73" i="24" s="1"/>
  <c r="D72" i="32"/>
  <c r="E72" i="32"/>
  <c r="I72" i="23"/>
  <c r="J72" i="23"/>
  <c r="F72" i="23" s="1"/>
  <c r="K72" i="23"/>
  <c r="G72" i="23" s="1"/>
  <c r="D72" i="26"/>
  <c r="E72" i="26"/>
  <c r="K74" i="31"/>
  <c r="G74" i="31" s="1"/>
  <c r="E72" i="29"/>
  <c r="E75" i="30"/>
  <c r="K76" i="30" s="1"/>
  <c r="G76" i="30" s="1"/>
  <c r="D75" i="30"/>
  <c r="J74" i="31"/>
  <c r="F74" i="31" s="1"/>
  <c r="J73" i="28"/>
  <c r="F73" i="28" s="1"/>
  <c r="K73" i="28"/>
  <c r="G73" i="28" s="1"/>
  <c r="I73" i="28"/>
  <c r="E73" i="22"/>
  <c r="I73" i="20"/>
  <c r="D73" i="20" s="1"/>
  <c r="J73" i="20"/>
  <c r="F73" i="20" s="1"/>
  <c r="K73" i="20"/>
  <c r="G73" i="20" s="1"/>
  <c r="E72" i="21"/>
  <c r="K73" i="21" s="1"/>
  <c r="G73" i="21" s="1"/>
  <c r="I72" i="1"/>
  <c r="D72" i="1" s="1"/>
  <c r="J72" i="1"/>
  <c r="F72" i="1" s="1"/>
  <c r="J73" i="27" l="1"/>
  <c r="F73" i="27" s="1"/>
  <c r="K73" i="27"/>
  <c r="G73" i="27" s="1"/>
  <c r="I73" i="27"/>
  <c r="I74" i="25"/>
  <c r="D74" i="25" s="1"/>
  <c r="J74" i="25"/>
  <c r="F74" i="25" s="1"/>
  <c r="K74" i="25"/>
  <c r="G74" i="25" s="1"/>
  <c r="E73" i="24"/>
  <c r="D72" i="23"/>
  <c r="E72" i="23"/>
  <c r="I73" i="32"/>
  <c r="J73" i="32"/>
  <c r="F73" i="32" s="1"/>
  <c r="K73" i="32"/>
  <c r="G73" i="32" s="1"/>
  <c r="K73" i="26"/>
  <c r="G73" i="26" s="1"/>
  <c r="I73" i="26"/>
  <c r="J73" i="26"/>
  <c r="F73" i="26" s="1"/>
  <c r="I76" i="30"/>
  <c r="D76" i="30" s="1"/>
  <c r="J76" i="30"/>
  <c r="F76" i="30" s="1"/>
  <c r="I73" i="29"/>
  <c r="D73" i="29" s="1"/>
  <c r="J73" i="29"/>
  <c r="F73" i="29" s="1"/>
  <c r="K73" i="29"/>
  <c r="G73" i="29" s="1"/>
  <c r="E74" i="31"/>
  <c r="I75" i="31" s="1"/>
  <c r="D75" i="31" s="1"/>
  <c r="E73" i="28"/>
  <c r="D73" i="28"/>
  <c r="I74" i="22"/>
  <c r="D74" i="22" s="1"/>
  <c r="J74" i="22"/>
  <c r="F74" i="22" s="1"/>
  <c r="K74" i="22"/>
  <c r="G74" i="22" s="1"/>
  <c r="E73" i="20"/>
  <c r="I73" i="21"/>
  <c r="D73" i="21" s="1"/>
  <c r="J73" i="21"/>
  <c r="F73" i="21" s="1"/>
  <c r="E72" i="1"/>
  <c r="K73" i="1" s="1"/>
  <c r="G73" i="1" s="1"/>
  <c r="D73" i="27" l="1"/>
  <c r="E73" i="27"/>
  <c r="E74" i="25"/>
  <c r="I74" i="24"/>
  <c r="D74" i="24" s="1"/>
  <c r="K74" i="24"/>
  <c r="G74" i="24" s="1"/>
  <c r="J74" i="24"/>
  <c r="F74" i="24" s="1"/>
  <c r="E73" i="26"/>
  <c r="K74" i="26" s="1"/>
  <c r="G74" i="26" s="1"/>
  <c r="D73" i="32"/>
  <c r="E73" i="32"/>
  <c r="K73" i="23"/>
  <c r="G73" i="23" s="1"/>
  <c r="I73" i="23"/>
  <c r="J73" i="23"/>
  <c r="F73" i="23" s="1"/>
  <c r="D73" i="26"/>
  <c r="K75" i="31"/>
  <c r="G75" i="31" s="1"/>
  <c r="E76" i="30"/>
  <c r="I77" i="30" s="1"/>
  <c r="D77" i="30" s="1"/>
  <c r="E73" i="29"/>
  <c r="I74" i="29" s="1"/>
  <c r="D74" i="29" s="1"/>
  <c r="J75" i="31"/>
  <c r="F75" i="31" s="1"/>
  <c r="K74" i="28"/>
  <c r="G74" i="28" s="1"/>
  <c r="J74" i="28"/>
  <c r="F74" i="28" s="1"/>
  <c r="I74" i="28"/>
  <c r="E74" i="22"/>
  <c r="J74" i="20"/>
  <c r="F74" i="20" s="1"/>
  <c r="I74" i="20"/>
  <c r="D74" i="20" s="1"/>
  <c r="K74" i="20"/>
  <c r="G74" i="20" s="1"/>
  <c r="E73" i="21"/>
  <c r="K74" i="21" s="1"/>
  <c r="G74" i="21" s="1"/>
  <c r="I73" i="1"/>
  <c r="D73" i="1" s="1"/>
  <c r="J73" i="1"/>
  <c r="F73" i="1" s="1"/>
  <c r="K74" i="27" l="1"/>
  <c r="G74" i="27" s="1"/>
  <c r="J74" i="27"/>
  <c r="F74" i="27" s="1"/>
  <c r="I74" i="27"/>
  <c r="I75" i="25"/>
  <c r="D75" i="25" s="1"/>
  <c r="J75" i="25"/>
  <c r="F75" i="25" s="1"/>
  <c r="K75" i="25"/>
  <c r="G75" i="25" s="1"/>
  <c r="K77" i="30"/>
  <c r="G77" i="30" s="1"/>
  <c r="E74" i="24"/>
  <c r="J77" i="30"/>
  <c r="F77" i="30" s="1"/>
  <c r="I74" i="26"/>
  <c r="D74" i="26" s="1"/>
  <c r="J74" i="26"/>
  <c r="F74" i="26" s="1"/>
  <c r="D73" i="23"/>
  <c r="E73" i="23"/>
  <c r="J74" i="32"/>
  <c r="F74" i="32" s="1"/>
  <c r="I74" i="32"/>
  <c r="K74" i="32"/>
  <c r="G74" i="32" s="1"/>
  <c r="K74" i="29"/>
  <c r="G74" i="29" s="1"/>
  <c r="J74" i="29"/>
  <c r="F74" i="29" s="1"/>
  <c r="E75" i="31"/>
  <c r="I76" i="31" s="1"/>
  <c r="D76" i="31" s="1"/>
  <c r="E74" i="28"/>
  <c r="D74" i="28"/>
  <c r="K75" i="22"/>
  <c r="G75" i="22" s="1"/>
  <c r="J75" i="22"/>
  <c r="F75" i="22" s="1"/>
  <c r="I75" i="22"/>
  <c r="D75" i="22" s="1"/>
  <c r="E74" i="20"/>
  <c r="I74" i="21"/>
  <c r="D74" i="21" s="1"/>
  <c r="J74" i="21"/>
  <c r="F74" i="21" s="1"/>
  <c r="E73" i="1"/>
  <c r="K74" i="1" s="1"/>
  <c r="G74" i="1" s="1"/>
  <c r="D74" i="27" l="1"/>
  <c r="E74" i="27"/>
  <c r="E75" i="25"/>
  <c r="E77" i="30"/>
  <c r="K78" i="30" s="1"/>
  <c r="G78" i="30" s="1"/>
  <c r="K75" i="24"/>
  <c r="G75" i="24" s="1"/>
  <c r="I75" i="24"/>
  <c r="D75" i="24" s="1"/>
  <c r="J75" i="24"/>
  <c r="F75" i="24" s="1"/>
  <c r="E74" i="26"/>
  <c r="I75" i="26" s="1"/>
  <c r="D75" i="26" s="1"/>
  <c r="D74" i="32"/>
  <c r="E74" i="32"/>
  <c r="I74" i="23"/>
  <c r="J74" i="23"/>
  <c r="F74" i="23" s="1"/>
  <c r="K74" i="23"/>
  <c r="G74" i="23" s="1"/>
  <c r="E74" i="29"/>
  <c r="K75" i="29" s="1"/>
  <c r="G75" i="29" s="1"/>
  <c r="J76" i="31"/>
  <c r="F76" i="31" s="1"/>
  <c r="K76" i="31"/>
  <c r="G76" i="31" s="1"/>
  <c r="I75" i="28"/>
  <c r="D75" i="28" s="1"/>
  <c r="K75" i="28"/>
  <c r="G75" i="28" s="1"/>
  <c r="J75" i="28"/>
  <c r="F75" i="28" s="1"/>
  <c r="I78" i="30"/>
  <c r="D78" i="30" s="1"/>
  <c r="E75" i="22"/>
  <c r="K76" i="22" s="1"/>
  <c r="G76" i="22" s="1"/>
  <c r="J75" i="20"/>
  <c r="F75" i="20" s="1"/>
  <c r="K75" i="20"/>
  <c r="G75" i="20" s="1"/>
  <c r="I75" i="20"/>
  <c r="D75" i="20" s="1"/>
  <c r="E74" i="21"/>
  <c r="K75" i="21" s="1"/>
  <c r="G75" i="21" s="1"/>
  <c r="I74" i="1"/>
  <c r="D74" i="1" s="1"/>
  <c r="J74" i="1"/>
  <c r="F74" i="1" s="1"/>
  <c r="J78" i="30" l="1"/>
  <c r="F78" i="30" s="1"/>
  <c r="I75" i="27"/>
  <c r="K75" i="27"/>
  <c r="G75" i="27" s="1"/>
  <c r="J75" i="27"/>
  <c r="F75" i="27" s="1"/>
  <c r="J76" i="25"/>
  <c r="F76" i="25" s="1"/>
  <c r="K76" i="25"/>
  <c r="G76" i="25" s="1"/>
  <c r="I76" i="25"/>
  <c r="D76" i="25" s="1"/>
  <c r="E75" i="24"/>
  <c r="K75" i="26"/>
  <c r="G75" i="26" s="1"/>
  <c r="J75" i="26"/>
  <c r="F75" i="26" s="1"/>
  <c r="D74" i="23"/>
  <c r="E74" i="23"/>
  <c r="I75" i="32"/>
  <c r="K75" i="32"/>
  <c r="G75" i="32" s="1"/>
  <c r="J75" i="32"/>
  <c r="F75" i="32" s="1"/>
  <c r="I75" i="29"/>
  <c r="D75" i="29" s="1"/>
  <c r="J75" i="29"/>
  <c r="F75" i="29" s="1"/>
  <c r="E76" i="31"/>
  <c r="J77" i="31" s="1"/>
  <c r="F77" i="31" s="1"/>
  <c r="I76" i="22"/>
  <c r="D76" i="22" s="1"/>
  <c r="J76" i="22"/>
  <c r="F76" i="22" s="1"/>
  <c r="E78" i="30"/>
  <c r="E75" i="28"/>
  <c r="E75" i="20"/>
  <c r="J75" i="21"/>
  <c r="F75" i="21" s="1"/>
  <c r="I75" i="21"/>
  <c r="D75" i="21" s="1"/>
  <c r="E74" i="1"/>
  <c r="K75" i="1" s="1"/>
  <c r="G75" i="1" s="1"/>
  <c r="D75" i="27" l="1"/>
  <c r="E75" i="27"/>
  <c r="E76" i="25"/>
  <c r="K76" i="24"/>
  <c r="G76" i="24" s="1"/>
  <c r="I76" i="24"/>
  <c r="D76" i="24" s="1"/>
  <c r="J76" i="24"/>
  <c r="F76" i="24" s="1"/>
  <c r="E75" i="26"/>
  <c r="K76" i="26" s="1"/>
  <c r="G76" i="26" s="1"/>
  <c r="D75" i="32"/>
  <c r="E75" i="32"/>
  <c r="I75" i="23"/>
  <c r="J75" i="23"/>
  <c r="F75" i="23" s="1"/>
  <c r="K75" i="23"/>
  <c r="G75" i="23" s="1"/>
  <c r="E75" i="29"/>
  <c r="J76" i="29" s="1"/>
  <c r="F76" i="29" s="1"/>
  <c r="K77" i="31"/>
  <c r="G77" i="31" s="1"/>
  <c r="I77" i="31"/>
  <c r="E76" i="22"/>
  <c r="K77" i="22" s="1"/>
  <c r="G77" i="22" s="1"/>
  <c r="J76" i="28"/>
  <c r="F76" i="28" s="1"/>
  <c r="I76" i="28"/>
  <c r="D76" i="28" s="1"/>
  <c r="K76" i="28"/>
  <c r="G76" i="28" s="1"/>
  <c r="J79" i="30"/>
  <c r="F79" i="30" s="1"/>
  <c r="K79" i="30"/>
  <c r="G79" i="30" s="1"/>
  <c r="I79" i="30"/>
  <c r="D79" i="30" s="1"/>
  <c r="I76" i="20"/>
  <c r="D76" i="20" s="1"/>
  <c r="J76" i="20"/>
  <c r="F76" i="20" s="1"/>
  <c r="K76" i="20"/>
  <c r="G76" i="20" s="1"/>
  <c r="E75" i="21"/>
  <c r="J76" i="21" s="1"/>
  <c r="F76" i="21" s="1"/>
  <c r="I75" i="1"/>
  <c r="D75" i="1" s="1"/>
  <c r="J75" i="1"/>
  <c r="F75" i="1" s="1"/>
  <c r="I76" i="27" l="1"/>
  <c r="K76" i="27"/>
  <c r="G76" i="27" s="1"/>
  <c r="J76" i="27"/>
  <c r="F76" i="27" s="1"/>
  <c r="K77" i="25"/>
  <c r="G77" i="25" s="1"/>
  <c r="I77" i="25"/>
  <c r="D77" i="25" s="1"/>
  <c r="J77" i="25"/>
  <c r="F77" i="25" s="1"/>
  <c r="E76" i="24"/>
  <c r="J76" i="26"/>
  <c r="F76" i="26" s="1"/>
  <c r="I76" i="26"/>
  <c r="D76" i="26" s="1"/>
  <c r="D75" i="23"/>
  <c r="E75" i="23"/>
  <c r="J76" i="32"/>
  <c r="F76" i="32" s="1"/>
  <c r="I76" i="32"/>
  <c r="K76" i="32"/>
  <c r="G76" i="32" s="1"/>
  <c r="K76" i="29"/>
  <c r="G76" i="29" s="1"/>
  <c r="I76" i="29"/>
  <c r="D76" i="29" s="1"/>
  <c r="D77" i="31"/>
  <c r="E77" i="31"/>
  <c r="J77" i="22"/>
  <c r="F77" i="22" s="1"/>
  <c r="I77" i="22"/>
  <c r="D77" i="22" s="1"/>
  <c r="E76" i="28"/>
  <c r="E79" i="30"/>
  <c r="K76" i="21"/>
  <c r="G76" i="21" s="1"/>
  <c r="I76" i="21"/>
  <c r="D76" i="21" s="1"/>
  <c r="E76" i="20"/>
  <c r="E75" i="1"/>
  <c r="K76" i="1" s="1"/>
  <c r="G76" i="1" s="1"/>
  <c r="D76" i="27" l="1"/>
  <c r="E76" i="27"/>
  <c r="E77" i="25"/>
  <c r="K77" i="24"/>
  <c r="G77" i="24" s="1"/>
  <c r="J77" i="24"/>
  <c r="F77" i="24" s="1"/>
  <c r="I77" i="24"/>
  <c r="D77" i="24" s="1"/>
  <c r="E76" i="26"/>
  <c r="K76" i="23"/>
  <c r="G76" i="23" s="1"/>
  <c r="I76" i="23"/>
  <c r="J76" i="23"/>
  <c r="F76" i="23" s="1"/>
  <c r="D76" i="32"/>
  <c r="E76" i="32"/>
  <c r="E76" i="29"/>
  <c r="J78" i="31"/>
  <c r="F78" i="31" s="1"/>
  <c r="I78" i="31"/>
  <c r="K78" i="31"/>
  <c r="G78" i="31" s="1"/>
  <c r="E77" i="22"/>
  <c r="K78" i="22" s="1"/>
  <c r="G78" i="22" s="1"/>
  <c r="I80" i="30"/>
  <c r="D80" i="30" s="1"/>
  <c r="K80" i="30"/>
  <c r="G80" i="30" s="1"/>
  <c r="J80" i="30"/>
  <c r="F80" i="30" s="1"/>
  <c r="K77" i="28"/>
  <c r="G77" i="28" s="1"/>
  <c r="J77" i="28"/>
  <c r="F77" i="28" s="1"/>
  <c r="I77" i="28"/>
  <c r="E76" i="21"/>
  <c r="I77" i="21" s="1"/>
  <c r="D77" i="21" s="1"/>
  <c r="K77" i="20"/>
  <c r="G77" i="20" s="1"/>
  <c r="I77" i="20"/>
  <c r="D77" i="20" s="1"/>
  <c r="J77" i="20"/>
  <c r="F77" i="20" s="1"/>
  <c r="I76" i="1"/>
  <c r="D76" i="1" s="1"/>
  <c r="J76" i="1"/>
  <c r="F76" i="1" s="1"/>
  <c r="K77" i="27" l="1"/>
  <c r="G77" i="27" s="1"/>
  <c r="J77" i="27"/>
  <c r="F77" i="27" s="1"/>
  <c r="I77" i="27"/>
  <c r="K78" i="25"/>
  <c r="G78" i="25" s="1"/>
  <c r="J78" i="25"/>
  <c r="F78" i="25" s="1"/>
  <c r="I78" i="25"/>
  <c r="D78" i="25" s="1"/>
  <c r="E77" i="24"/>
  <c r="J77" i="26"/>
  <c r="F77" i="26" s="1"/>
  <c r="K77" i="26"/>
  <c r="G77" i="26" s="1"/>
  <c r="I77" i="26"/>
  <c r="D77" i="26" s="1"/>
  <c r="D76" i="23"/>
  <c r="E76" i="23"/>
  <c r="I77" i="32"/>
  <c r="J77" i="32"/>
  <c r="F77" i="32" s="1"/>
  <c r="K77" i="32"/>
  <c r="G77" i="32" s="1"/>
  <c r="K77" i="29"/>
  <c r="G77" i="29" s="1"/>
  <c r="I77" i="29"/>
  <c r="J77" i="29"/>
  <c r="F77" i="29" s="1"/>
  <c r="D78" i="31"/>
  <c r="E78" i="31"/>
  <c r="J78" i="22"/>
  <c r="F78" i="22" s="1"/>
  <c r="I78" i="22"/>
  <c r="E80" i="30"/>
  <c r="D77" i="28"/>
  <c r="E77" i="28"/>
  <c r="J77" i="21"/>
  <c r="F77" i="21" s="1"/>
  <c r="K77" i="21"/>
  <c r="G77" i="21" s="1"/>
  <c r="E77" i="20"/>
  <c r="E76" i="1"/>
  <c r="I77" i="1" s="1"/>
  <c r="D77" i="1" s="1"/>
  <c r="D77" i="27" l="1"/>
  <c r="E77" i="27"/>
  <c r="E78" i="25"/>
  <c r="K78" i="24"/>
  <c r="G78" i="24" s="1"/>
  <c r="I78" i="24"/>
  <c r="D78" i="24" s="1"/>
  <c r="J78" i="24"/>
  <c r="F78" i="24" s="1"/>
  <c r="E77" i="26"/>
  <c r="J78" i="26" s="1"/>
  <c r="F78" i="26" s="1"/>
  <c r="D77" i="32"/>
  <c r="E77" i="32"/>
  <c r="J77" i="23"/>
  <c r="F77" i="23" s="1"/>
  <c r="I77" i="23"/>
  <c r="K77" i="23"/>
  <c r="G77" i="23" s="1"/>
  <c r="D77" i="29"/>
  <c r="E77" i="29"/>
  <c r="E78" i="22"/>
  <c r="K79" i="22" s="1"/>
  <c r="G79" i="22" s="1"/>
  <c r="K79" i="31"/>
  <c r="G79" i="31" s="1"/>
  <c r="J79" i="31"/>
  <c r="F79" i="31" s="1"/>
  <c r="I79" i="31"/>
  <c r="D78" i="22"/>
  <c r="K78" i="28"/>
  <c r="G78" i="28" s="1"/>
  <c r="J78" i="28"/>
  <c r="F78" i="28" s="1"/>
  <c r="I78" i="28"/>
  <c r="D78" i="28" s="1"/>
  <c r="K81" i="30"/>
  <c r="G81" i="30" s="1"/>
  <c r="I81" i="30"/>
  <c r="D81" i="30" s="1"/>
  <c r="J81" i="30"/>
  <c r="F81" i="30" s="1"/>
  <c r="E77" i="21"/>
  <c r="J78" i="21" s="1"/>
  <c r="F78" i="21" s="1"/>
  <c r="J78" i="20"/>
  <c r="F78" i="20" s="1"/>
  <c r="I78" i="20"/>
  <c r="D78" i="20" s="1"/>
  <c r="K78" i="20"/>
  <c r="G78" i="20" s="1"/>
  <c r="J77" i="1"/>
  <c r="F77" i="1" s="1"/>
  <c r="K77" i="1"/>
  <c r="G77" i="1" s="1"/>
  <c r="K78" i="27" l="1"/>
  <c r="G78" i="27" s="1"/>
  <c r="I78" i="27"/>
  <c r="J78" i="27"/>
  <c r="F78" i="27" s="1"/>
  <c r="K79" i="25"/>
  <c r="G79" i="25" s="1"/>
  <c r="I79" i="25"/>
  <c r="D79" i="25" s="1"/>
  <c r="J79" i="25"/>
  <c r="F79" i="25" s="1"/>
  <c r="J79" i="22"/>
  <c r="F79" i="22" s="1"/>
  <c r="E78" i="24"/>
  <c r="K78" i="26"/>
  <c r="G78" i="26" s="1"/>
  <c r="I78" i="26"/>
  <c r="D77" i="23"/>
  <c r="E77" i="23"/>
  <c r="K78" i="32"/>
  <c r="G78" i="32" s="1"/>
  <c r="I78" i="32"/>
  <c r="J78" i="32"/>
  <c r="F78" i="32" s="1"/>
  <c r="K78" i="29"/>
  <c r="G78" i="29" s="1"/>
  <c r="J78" i="29"/>
  <c r="F78" i="29" s="1"/>
  <c r="I78" i="29"/>
  <c r="I79" i="22"/>
  <c r="E79" i="22" s="1"/>
  <c r="D79" i="31"/>
  <c r="E79" i="31"/>
  <c r="E81" i="30"/>
  <c r="E78" i="28"/>
  <c r="I78" i="21"/>
  <c r="D78" i="21" s="1"/>
  <c r="K78" i="21"/>
  <c r="G78" i="21" s="1"/>
  <c r="E78" i="20"/>
  <c r="E77" i="1"/>
  <c r="K78" i="1" s="1"/>
  <c r="G78" i="1" s="1"/>
  <c r="D78" i="27" l="1"/>
  <c r="E78" i="27"/>
  <c r="E79" i="25"/>
  <c r="K80" i="25" s="1"/>
  <c r="G80" i="25" s="1"/>
  <c r="I79" i="24"/>
  <c r="D79" i="24" s="1"/>
  <c r="K79" i="24"/>
  <c r="G79" i="24" s="1"/>
  <c r="J79" i="24"/>
  <c r="F79" i="24" s="1"/>
  <c r="D79" i="22"/>
  <c r="I80" i="22" s="1"/>
  <c r="D78" i="26"/>
  <c r="E78" i="26"/>
  <c r="D78" i="32"/>
  <c r="E78" i="32"/>
  <c r="K78" i="23"/>
  <c r="G78" i="23" s="1"/>
  <c r="J78" i="23"/>
  <c r="F78" i="23" s="1"/>
  <c r="I78" i="23"/>
  <c r="D78" i="29"/>
  <c r="E78" i="29"/>
  <c r="J80" i="31"/>
  <c r="F80" i="31" s="1"/>
  <c r="K80" i="31"/>
  <c r="G80" i="31" s="1"/>
  <c r="I80" i="31"/>
  <c r="J79" i="28"/>
  <c r="F79" i="28" s="1"/>
  <c r="K79" i="28"/>
  <c r="G79" i="28" s="1"/>
  <c r="I79" i="28"/>
  <c r="J82" i="30"/>
  <c r="F82" i="30" s="1"/>
  <c r="K82" i="30"/>
  <c r="G82" i="30" s="1"/>
  <c r="I82" i="30"/>
  <c r="D82" i="30" s="1"/>
  <c r="J80" i="22"/>
  <c r="F80" i="22" s="1"/>
  <c r="K80" i="22"/>
  <c r="G80" i="22" s="1"/>
  <c r="E78" i="21"/>
  <c r="I79" i="21" s="1"/>
  <c r="D79" i="21" s="1"/>
  <c r="K79" i="20"/>
  <c r="G79" i="20" s="1"/>
  <c r="I79" i="20"/>
  <c r="D79" i="20" s="1"/>
  <c r="J79" i="20"/>
  <c r="F79" i="20" s="1"/>
  <c r="I78" i="1"/>
  <c r="D78" i="1" s="1"/>
  <c r="J78" i="1"/>
  <c r="F78" i="1" s="1"/>
  <c r="J79" i="27" l="1"/>
  <c r="F79" i="27" s="1"/>
  <c r="I79" i="27"/>
  <c r="K79" i="27"/>
  <c r="G79" i="27" s="1"/>
  <c r="I80" i="25"/>
  <c r="D80" i="25" s="1"/>
  <c r="J80" i="25"/>
  <c r="F80" i="25" s="1"/>
  <c r="E79" i="24"/>
  <c r="K79" i="26"/>
  <c r="G79" i="26" s="1"/>
  <c r="I79" i="26"/>
  <c r="J79" i="26"/>
  <c r="F79" i="26" s="1"/>
  <c r="I79" i="32"/>
  <c r="D79" i="32" s="1"/>
  <c r="K79" i="32"/>
  <c r="G79" i="32" s="1"/>
  <c r="J79" i="32"/>
  <c r="F79" i="32" s="1"/>
  <c r="D78" i="23"/>
  <c r="E78" i="23"/>
  <c r="J79" i="29"/>
  <c r="F79" i="29" s="1"/>
  <c r="K79" i="29"/>
  <c r="G79" i="29" s="1"/>
  <c r="I79" i="29"/>
  <c r="D79" i="29" s="1"/>
  <c r="D80" i="31"/>
  <c r="E80" i="31"/>
  <c r="E82" i="30"/>
  <c r="D79" i="28"/>
  <c r="E79" i="28"/>
  <c r="J79" i="21"/>
  <c r="F79" i="21" s="1"/>
  <c r="E80" i="22"/>
  <c r="D80" i="22"/>
  <c r="K79" i="21"/>
  <c r="G79" i="21" s="1"/>
  <c r="E79" i="20"/>
  <c r="E78" i="1"/>
  <c r="K79" i="1" s="1"/>
  <c r="G79" i="1" s="1"/>
  <c r="D79" i="27" l="1"/>
  <c r="E79" i="27"/>
  <c r="E80" i="25"/>
  <c r="J81" i="25" s="1"/>
  <c r="F81" i="25" s="1"/>
  <c r="I80" i="24"/>
  <c r="D80" i="24" s="1"/>
  <c r="K80" i="24"/>
  <c r="G80" i="24" s="1"/>
  <c r="J80" i="24"/>
  <c r="F80" i="24" s="1"/>
  <c r="D79" i="26"/>
  <c r="E79" i="26"/>
  <c r="I79" i="23"/>
  <c r="K79" i="23"/>
  <c r="G79" i="23" s="1"/>
  <c r="J79" i="23"/>
  <c r="F79" i="23" s="1"/>
  <c r="E79" i="32"/>
  <c r="E79" i="29"/>
  <c r="J81" i="31"/>
  <c r="F81" i="31" s="1"/>
  <c r="I81" i="31"/>
  <c r="K81" i="31"/>
  <c r="G81" i="31" s="1"/>
  <c r="I80" i="28"/>
  <c r="D80" i="28" s="1"/>
  <c r="K80" i="28"/>
  <c r="G80" i="28" s="1"/>
  <c r="J80" i="28"/>
  <c r="F80" i="28" s="1"/>
  <c r="I83" i="30"/>
  <c r="D83" i="30" s="1"/>
  <c r="K83" i="30"/>
  <c r="G83" i="30" s="1"/>
  <c r="J83" i="30"/>
  <c r="F83" i="30" s="1"/>
  <c r="E79" i="21"/>
  <c r="I80" i="21" s="1"/>
  <c r="D80" i="21" s="1"/>
  <c r="J81" i="22"/>
  <c r="F81" i="22" s="1"/>
  <c r="I81" i="22"/>
  <c r="K81" i="22"/>
  <c r="G81" i="22" s="1"/>
  <c r="I80" i="20"/>
  <c r="D80" i="20" s="1"/>
  <c r="K80" i="20"/>
  <c r="G80" i="20" s="1"/>
  <c r="J80" i="20"/>
  <c r="F80" i="20" s="1"/>
  <c r="I79" i="1"/>
  <c r="D79" i="1" s="1"/>
  <c r="J79" i="1"/>
  <c r="F79" i="1" s="1"/>
  <c r="I80" i="27" l="1"/>
  <c r="K80" i="27"/>
  <c r="G80" i="27" s="1"/>
  <c r="J80" i="27"/>
  <c r="F80" i="27" s="1"/>
  <c r="I81" i="25"/>
  <c r="D81" i="25" s="1"/>
  <c r="K81" i="25"/>
  <c r="G81" i="25" s="1"/>
  <c r="E80" i="24"/>
  <c r="I80" i="26"/>
  <c r="J80" i="26"/>
  <c r="F80" i="26" s="1"/>
  <c r="K80" i="26"/>
  <c r="G80" i="26" s="1"/>
  <c r="J80" i="32"/>
  <c r="F80" i="32" s="1"/>
  <c r="K80" i="32"/>
  <c r="G80" i="32" s="1"/>
  <c r="I80" i="32"/>
  <c r="D80" i="32" s="1"/>
  <c r="D79" i="23"/>
  <c r="E79" i="23"/>
  <c r="J80" i="29"/>
  <c r="F80" i="29" s="1"/>
  <c r="I80" i="29"/>
  <c r="K80" i="29"/>
  <c r="G80" i="29" s="1"/>
  <c r="D81" i="31"/>
  <c r="E81" i="31"/>
  <c r="J80" i="21"/>
  <c r="F80" i="21" s="1"/>
  <c r="E80" i="28"/>
  <c r="K81" i="28" s="1"/>
  <c r="G81" i="28" s="1"/>
  <c r="E83" i="30"/>
  <c r="K80" i="21"/>
  <c r="G80" i="21" s="1"/>
  <c r="D81" i="22"/>
  <c r="E81" i="22"/>
  <c r="E80" i="20"/>
  <c r="E79" i="1"/>
  <c r="K80" i="1" s="1"/>
  <c r="G80" i="1" s="1"/>
  <c r="D80" i="27" l="1"/>
  <c r="E80" i="27"/>
  <c r="E81" i="25"/>
  <c r="I82" i="25" s="1"/>
  <c r="D82" i="25" s="1"/>
  <c r="K81" i="24"/>
  <c r="G81" i="24" s="1"/>
  <c r="J81" i="24"/>
  <c r="F81" i="24" s="1"/>
  <c r="I81" i="24"/>
  <c r="D81" i="24" s="1"/>
  <c r="E80" i="26"/>
  <c r="J81" i="26" s="1"/>
  <c r="F81" i="26" s="1"/>
  <c r="D80" i="26"/>
  <c r="E80" i="32"/>
  <c r="K80" i="23"/>
  <c r="G80" i="23" s="1"/>
  <c r="J80" i="23"/>
  <c r="F80" i="23" s="1"/>
  <c r="I80" i="23"/>
  <c r="D80" i="29"/>
  <c r="E80" i="29"/>
  <c r="I82" i="31"/>
  <c r="K82" i="31"/>
  <c r="G82" i="31" s="1"/>
  <c r="J82" i="31"/>
  <c r="F82" i="31" s="1"/>
  <c r="J81" i="28"/>
  <c r="F81" i="28" s="1"/>
  <c r="I81" i="28"/>
  <c r="D81" i="28" s="1"/>
  <c r="J84" i="30"/>
  <c r="F84" i="30" s="1"/>
  <c r="I84" i="30"/>
  <c r="D84" i="30" s="1"/>
  <c r="K84" i="30"/>
  <c r="G84" i="30" s="1"/>
  <c r="E80" i="21"/>
  <c r="J81" i="21" s="1"/>
  <c r="F81" i="21" s="1"/>
  <c r="K82" i="22"/>
  <c r="G82" i="22" s="1"/>
  <c r="J82" i="22"/>
  <c r="F82" i="22" s="1"/>
  <c r="I82" i="22"/>
  <c r="I81" i="20"/>
  <c r="D81" i="20" s="1"/>
  <c r="J81" i="20"/>
  <c r="F81" i="20" s="1"/>
  <c r="K81" i="20"/>
  <c r="G81" i="20" s="1"/>
  <c r="J80" i="1"/>
  <c r="F80" i="1" s="1"/>
  <c r="I80" i="1"/>
  <c r="D80" i="1" s="1"/>
  <c r="I81" i="27" l="1"/>
  <c r="K81" i="27"/>
  <c r="G81" i="27" s="1"/>
  <c r="J81" i="27"/>
  <c r="F81" i="27" s="1"/>
  <c r="K82" i="25"/>
  <c r="G82" i="25" s="1"/>
  <c r="J82" i="25"/>
  <c r="F82" i="25" s="1"/>
  <c r="E81" i="24"/>
  <c r="I81" i="26"/>
  <c r="D81" i="26" s="1"/>
  <c r="K81" i="26"/>
  <c r="G81" i="26" s="1"/>
  <c r="D80" i="23"/>
  <c r="E80" i="23"/>
  <c r="J81" i="32"/>
  <c r="F81" i="32" s="1"/>
  <c r="I81" i="32"/>
  <c r="D81" i="32" s="1"/>
  <c r="K81" i="32"/>
  <c r="G81" i="32" s="1"/>
  <c r="I81" i="29"/>
  <c r="K81" i="29"/>
  <c r="G81" i="29" s="1"/>
  <c r="J81" i="29"/>
  <c r="F81" i="29" s="1"/>
  <c r="D82" i="31"/>
  <c r="E82" i="31"/>
  <c r="K81" i="21"/>
  <c r="G81" i="21" s="1"/>
  <c r="I81" i="21"/>
  <c r="D81" i="21" s="1"/>
  <c r="E81" i="28"/>
  <c r="K82" i="28" s="1"/>
  <c r="G82" i="28" s="1"/>
  <c r="E84" i="30"/>
  <c r="D82" i="22"/>
  <c r="E82" i="22"/>
  <c r="E81" i="20"/>
  <c r="E80" i="1"/>
  <c r="K81" i="1" s="1"/>
  <c r="G81" i="1" s="1"/>
  <c r="D81" i="27" l="1"/>
  <c r="E81" i="27"/>
  <c r="E82" i="25"/>
  <c r="J83" i="25" s="1"/>
  <c r="F83" i="25" s="1"/>
  <c r="E81" i="26"/>
  <c r="J82" i="26" s="1"/>
  <c r="F82" i="26" s="1"/>
  <c r="I82" i="24"/>
  <c r="D82" i="24" s="1"/>
  <c r="J82" i="24"/>
  <c r="F82" i="24" s="1"/>
  <c r="K82" i="24"/>
  <c r="G82" i="24" s="1"/>
  <c r="E81" i="32"/>
  <c r="K81" i="23"/>
  <c r="G81" i="23" s="1"/>
  <c r="I81" i="23"/>
  <c r="J81" i="23"/>
  <c r="F81" i="23" s="1"/>
  <c r="D81" i="29"/>
  <c r="E81" i="29"/>
  <c r="J83" i="31"/>
  <c r="F83" i="31" s="1"/>
  <c r="K83" i="31"/>
  <c r="G83" i="31" s="1"/>
  <c r="I83" i="31"/>
  <c r="E81" i="21"/>
  <c r="K82" i="21" s="1"/>
  <c r="G82" i="21" s="1"/>
  <c r="I82" i="28"/>
  <c r="J82" i="28"/>
  <c r="F82" i="28" s="1"/>
  <c r="K85" i="30"/>
  <c r="G85" i="30" s="1"/>
  <c r="I85" i="30"/>
  <c r="D85" i="30" s="1"/>
  <c r="J85" i="30"/>
  <c r="F85" i="30" s="1"/>
  <c r="K83" i="22"/>
  <c r="G83" i="22" s="1"/>
  <c r="J83" i="22"/>
  <c r="F83" i="22" s="1"/>
  <c r="I83" i="22"/>
  <c r="D83" i="22" s="1"/>
  <c r="K82" i="20"/>
  <c r="G82" i="20" s="1"/>
  <c r="J82" i="20"/>
  <c r="F82" i="20" s="1"/>
  <c r="I82" i="20"/>
  <c r="D82" i="20" s="1"/>
  <c r="J82" i="21"/>
  <c r="F82" i="21" s="1"/>
  <c r="J81" i="1"/>
  <c r="F81" i="1" s="1"/>
  <c r="I81" i="1"/>
  <c r="D81" i="1" s="1"/>
  <c r="K82" i="27" l="1"/>
  <c r="G82" i="27" s="1"/>
  <c r="I82" i="27"/>
  <c r="J82" i="27"/>
  <c r="F82" i="27" s="1"/>
  <c r="K83" i="25"/>
  <c r="G83" i="25" s="1"/>
  <c r="I83" i="25"/>
  <c r="D83" i="25" s="1"/>
  <c r="K82" i="26"/>
  <c r="G82" i="26" s="1"/>
  <c r="I82" i="26"/>
  <c r="D82" i="26" s="1"/>
  <c r="E82" i="24"/>
  <c r="D81" i="23"/>
  <c r="E81" i="23"/>
  <c r="K82" i="32"/>
  <c r="G82" i="32" s="1"/>
  <c r="J82" i="32"/>
  <c r="F82" i="32" s="1"/>
  <c r="I82" i="32"/>
  <c r="D82" i="32" s="1"/>
  <c r="K82" i="29"/>
  <c r="G82" i="29" s="1"/>
  <c r="J82" i="29"/>
  <c r="F82" i="29" s="1"/>
  <c r="I82" i="29"/>
  <c r="D82" i="29" s="1"/>
  <c r="E83" i="31"/>
  <c r="J84" i="31" s="1"/>
  <c r="F84" i="31" s="1"/>
  <c r="D83" i="31"/>
  <c r="I82" i="21"/>
  <c r="D82" i="21" s="1"/>
  <c r="D82" i="28"/>
  <c r="E82" i="28"/>
  <c r="E85" i="30"/>
  <c r="I86" i="30" s="1"/>
  <c r="E83" i="22"/>
  <c r="E82" i="20"/>
  <c r="E81" i="1"/>
  <c r="K82" i="1" s="1"/>
  <c r="G82" i="1" s="1"/>
  <c r="D82" i="27" l="1"/>
  <c r="E82" i="27"/>
  <c r="E83" i="25"/>
  <c r="K84" i="25" s="1"/>
  <c r="G84" i="25" s="1"/>
  <c r="E82" i="26"/>
  <c r="K83" i="24"/>
  <c r="G83" i="24" s="1"/>
  <c r="I83" i="24"/>
  <c r="D83" i="24" s="1"/>
  <c r="J83" i="24"/>
  <c r="F83" i="24" s="1"/>
  <c r="E82" i="32"/>
  <c r="J82" i="23"/>
  <c r="F82" i="23" s="1"/>
  <c r="K82" i="23"/>
  <c r="G82" i="23" s="1"/>
  <c r="I82" i="23"/>
  <c r="E82" i="29"/>
  <c r="K84" i="31"/>
  <c r="G84" i="31" s="1"/>
  <c r="I84" i="31"/>
  <c r="D84" i="31" s="1"/>
  <c r="E82" i="21"/>
  <c r="K83" i="21" s="1"/>
  <c r="G83" i="21" s="1"/>
  <c r="K86" i="30"/>
  <c r="G86" i="30" s="1"/>
  <c r="J86" i="30"/>
  <c r="F86" i="30" s="1"/>
  <c r="I83" i="28"/>
  <c r="D83" i="28" s="1"/>
  <c r="J83" i="28"/>
  <c r="F83" i="28" s="1"/>
  <c r="K83" i="28"/>
  <c r="G83" i="28" s="1"/>
  <c r="D86" i="30"/>
  <c r="K84" i="22"/>
  <c r="G84" i="22" s="1"/>
  <c r="I84" i="22"/>
  <c r="D84" i="22" s="1"/>
  <c r="J84" i="22"/>
  <c r="F84" i="22" s="1"/>
  <c r="J83" i="20"/>
  <c r="F83" i="20" s="1"/>
  <c r="K83" i="20"/>
  <c r="G83" i="20" s="1"/>
  <c r="I83" i="20"/>
  <c r="D83" i="20" s="1"/>
  <c r="I82" i="1"/>
  <c r="D82" i="1" s="1"/>
  <c r="J82" i="1"/>
  <c r="F82" i="1" s="1"/>
  <c r="J84" i="25" l="1"/>
  <c r="F84" i="25" s="1"/>
  <c r="I83" i="27"/>
  <c r="J83" i="27"/>
  <c r="F83" i="27" s="1"/>
  <c r="K83" i="27"/>
  <c r="G83" i="27" s="1"/>
  <c r="I84" i="25"/>
  <c r="D84" i="25" s="1"/>
  <c r="K83" i="26"/>
  <c r="G83" i="26" s="1"/>
  <c r="I83" i="26"/>
  <c r="J83" i="26"/>
  <c r="F83" i="26" s="1"/>
  <c r="E83" i="24"/>
  <c r="D82" i="23"/>
  <c r="E82" i="23"/>
  <c r="K83" i="32"/>
  <c r="G83" i="32" s="1"/>
  <c r="I83" i="32"/>
  <c r="D83" i="32" s="1"/>
  <c r="J83" i="32"/>
  <c r="F83" i="32" s="1"/>
  <c r="I83" i="29"/>
  <c r="K83" i="29"/>
  <c r="G83" i="29" s="1"/>
  <c r="J83" i="29"/>
  <c r="F83" i="29" s="1"/>
  <c r="E84" i="31"/>
  <c r="J85" i="31" s="1"/>
  <c r="F85" i="31" s="1"/>
  <c r="I83" i="21"/>
  <c r="D83" i="21" s="1"/>
  <c r="J83" i="21"/>
  <c r="F83" i="21" s="1"/>
  <c r="E86" i="30"/>
  <c r="K87" i="30" s="1"/>
  <c r="G87" i="30" s="1"/>
  <c r="E83" i="28"/>
  <c r="E84" i="22"/>
  <c r="J85" i="22" s="1"/>
  <c r="F85" i="22" s="1"/>
  <c r="E83" i="20"/>
  <c r="E82" i="1"/>
  <c r="K83" i="1" s="1"/>
  <c r="G83" i="1" s="1"/>
  <c r="E84" i="25" l="1"/>
  <c r="K85" i="25" s="1"/>
  <c r="G85" i="25" s="1"/>
  <c r="D83" i="27"/>
  <c r="E83" i="27"/>
  <c r="J85" i="25"/>
  <c r="F85" i="25" s="1"/>
  <c r="I85" i="25"/>
  <c r="E83" i="26"/>
  <c r="D83" i="26"/>
  <c r="J84" i="24"/>
  <c r="F84" i="24" s="1"/>
  <c r="K84" i="24"/>
  <c r="G84" i="24" s="1"/>
  <c r="I84" i="24"/>
  <c r="D84" i="24" s="1"/>
  <c r="E83" i="32"/>
  <c r="K83" i="23"/>
  <c r="G83" i="23" s="1"/>
  <c r="J83" i="23"/>
  <c r="F83" i="23" s="1"/>
  <c r="I83" i="23"/>
  <c r="D83" i="29"/>
  <c r="E83" i="29"/>
  <c r="I85" i="31"/>
  <c r="D85" i="31" s="1"/>
  <c r="K85" i="31"/>
  <c r="G85" i="31" s="1"/>
  <c r="E83" i="21"/>
  <c r="K84" i="21" s="1"/>
  <c r="G84" i="21" s="1"/>
  <c r="J87" i="30"/>
  <c r="F87" i="30" s="1"/>
  <c r="I87" i="30"/>
  <c r="D87" i="30" s="1"/>
  <c r="I85" i="22"/>
  <c r="D85" i="22" s="1"/>
  <c r="I84" i="28"/>
  <c r="D84" i="28" s="1"/>
  <c r="J84" i="28"/>
  <c r="F84" i="28" s="1"/>
  <c r="K84" i="28"/>
  <c r="G84" i="28" s="1"/>
  <c r="K85" i="22"/>
  <c r="G85" i="22" s="1"/>
  <c r="J84" i="20"/>
  <c r="F84" i="20" s="1"/>
  <c r="I84" i="20"/>
  <c r="D84" i="20" s="1"/>
  <c r="K84" i="20"/>
  <c r="G84" i="20" s="1"/>
  <c r="J83" i="1"/>
  <c r="F83" i="1" s="1"/>
  <c r="I83" i="1"/>
  <c r="D83" i="1" s="1"/>
  <c r="J84" i="27" l="1"/>
  <c r="F84" i="27" s="1"/>
  <c r="K84" i="27"/>
  <c r="G84" i="27" s="1"/>
  <c r="I84" i="27"/>
  <c r="D85" i="25"/>
  <c r="E85" i="25"/>
  <c r="J84" i="26"/>
  <c r="F84" i="26" s="1"/>
  <c r="I84" i="26"/>
  <c r="K84" i="26"/>
  <c r="G84" i="26" s="1"/>
  <c r="E84" i="24"/>
  <c r="J84" i="32"/>
  <c r="F84" i="32" s="1"/>
  <c r="I84" i="32"/>
  <c r="D84" i="32" s="1"/>
  <c r="K84" i="32"/>
  <c r="G84" i="32" s="1"/>
  <c r="D83" i="23"/>
  <c r="E83" i="23"/>
  <c r="J84" i="29"/>
  <c r="F84" i="29" s="1"/>
  <c r="K84" i="29"/>
  <c r="G84" i="29" s="1"/>
  <c r="I84" i="29"/>
  <c r="E85" i="31"/>
  <c r="J86" i="31" s="1"/>
  <c r="F86" i="31" s="1"/>
  <c r="I84" i="21"/>
  <c r="D84" i="21" s="1"/>
  <c r="J84" i="21"/>
  <c r="F84" i="21" s="1"/>
  <c r="E87" i="30"/>
  <c r="K88" i="30" s="1"/>
  <c r="G88" i="30" s="1"/>
  <c r="E85" i="22"/>
  <c r="K86" i="22" s="1"/>
  <c r="G86" i="22" s="1"/>
  <c r="E84" i="28"/>
  <c r="I85" i="28" s="1"/>
  <c r="E84" i="20"/>
  <c r="J85" i="20" s="1"/>
  <c r="F85" i="20" s="1"/>
  <c r="E83" i="1"/>
  <c r="K84" i="1" s="1"/>
  <c r="G84" i="1" s="1"/>
  <c r="D84" i="27" l="1"/>
  <c r="E84" i="27"/>
  <c r="J86" i="25"/>
  <c r="F86" i="25" s="1"/>
  <c r="K86" i="25"/>
  <c r="G86" i="25" s="1"/>
  <c r="I86" i="25"/>
  <c r="D84" i="26"/>
  <c r="E84" i="26"/>
  <c r="J85" i="24"/>
  <c r="F85" i="24" s="1"/>
  <c r="I85" i="24"/>
  <c r="D85" i="24" s="1"/>
  <c r="K85" i="24"/>
  <c r="G85" i="24" s="1"/>
  <c r="I84" i="23"/>
  <c r="D84" i="23" s="1"/>
  <c r="K84" i="23"/>
  <c r="G84" i="23" s="1"/>
  <c r="J84" i="23"/>
  <c r="F84" i="23" s="1"/>
  <c r="E84" i="32"/>
  <c r="K86" i="31"/>
  <c r="G86" i="31" s="1"/>
  <c r="I86" i="31"/>
  <c r="D86" i="31" s="1"/>
  <c r="D84" i="29"/>
  <c r="E84" i="29"/>
  <c r="J88" i="30"/>
  <c r="F88" i="30" s="1"/>
  <c r="E84" i="21"/>
  <c r="J85" i="21" s="1"/>
  <c r="F85" i="21" s="1"/>
  <c r="I86" i="22"/>
  <c r="D86" i="22" s="1"/>
  <c r="I88" i="30"/>
  <c r="D88" i="30" s="1"/>
  <c r="J86" i="22"/>
  <c r="F86" i="22" s="1"/>
  <c r="K85" i="28"/>
  <c r="G85" i="28" s="1"/>
  <c r="J85" i="28"/>
  <c r="F85" i="28" s="1"/>
  <c r="D85" i="28"/>
  <c r="I85" i="20"/>
  <c r="D85" i="20" s="1"/>
  <c r="K85" i="20"/>
  <c r="G85" i="20" s="1"/>
  <c r="I84" i="1"/>
  <c r="D84" i="1" s="1"/>
  <c r="J84" i="1"/>
  <c r="F84" i="1" s="1"/>
  <c r="I85" i="27" l="1"/>
  <c r="J85" i="27"/>
  <c r="F85" i="27" s="1"/>
  <c r="K85" i="27"/>
  <c r="G85" i="27" s="1"/>
  <c r="D86" i="25"/>
  <c r="E86" i="25"/>
  <c r="I85" i="21"/>
  <c r="D85" i="21" s="1"/>
  <c r="J85" i="26"/>
  <c r="F85" i="26" s="1"/>
  <c r="I85" i="26"/>
  <c r="K85" i="26"/>
  <c r="G85" i="26" s="1"/>
  <c r="E85" i="24"/>
  <c r="E84" i="23"/>
  <c r="I85" i="32"/>
  <c r="D85" i="32" s="1"/>
  <c r="J85" i="32"/>
  <c r="F85" i="32" s="1"/>
  <c r="K85" i="32"/>
  <c r="G85" i="32" s="1"/>
  <c r="E86" i="31"/>
  <c r="J87" i="31" s="1"/>
  <c r="F87" i="31" s="1"/>
  <c r="K85" i="29"/>
  <c r="G85" i="29" s="1"/>
  <c r="J85" i="29"/>
  <c r="F85" i="29" s="1"/>
  <c r="I85" i="29"/>
  <c r="D85" i="29" s="1"/>
  <c r="E88" i="30"/>
  <c r="K89" i="30" s="1"/>
  <c r="G89" i="30" s="1"/>
  <c r="K85" i="21"/>
  <c r="G85" i="21" s="1"/>
  <c r="E86" i="22"/>
  <c r="I87" i="22" s="1"/>
  <c r="E85" i="28"/>
  <c r="J86" i="28" s="1"/>
  <c r="F86" i="28" s="1"/>
  <c r="E85" i="20"/>
  <c r="E84" i="1"/>
  <c r="K85" i="1" s="1"/>
  <c r="G85" i="1" s="1"/>
  <c r="E85" i="27" l="1"/>
  <c r="D85" i="27"/>
  <c r="I87" i="25"/>
  <c r="K87" i="25"/>
  <c r="G87" i="25" s="1"/>
  <c r="J87" i="25"/>
  <c r="F87" i="25" s="1"/>
  <c r="D85" i="26"/>
  <c r="E85" i="26"/>
  <c r="K86" i="24"/>
  <c r="G86" i="24" s="1"/>
  <c r="I86" i="24"/>
  <c r="D86" i="24" s="1"/>
  <c r="J86" i="24"/>
  <c r="F86" i="24" s="1"/>
  <c r="I87" i="31"/>
  <c r="D87" i="31" s="1"/>
  <c r="K87" i="31"/>
  <c r="G87" i="31" s="1"/>
  <c r="E85" i="32"/>
  <c r="I85" i="23"/>
  <c r="D85" i="23" s="1"/>
  <c r="K85" i="23"/>
  <c r="G85" i="23" s="1"/>
  <c r="J85" i="23"/>
  <c r="F85" i="23" s="1"/>
  <c r="E85" i="21"/>
  <c r="K86" i="21" s="1"/>
  <c r="G86" i="21" s="1"/>
  <c r="E85" i="29"/>
  <c r="J89" i="30"/>
  <c r="F89" i="30" s="1"/>
  <c r="I89" i="30"/>
  <c r="D89" i="30" s="1"/>
  <c r="K87" i="22"/>
  <c r="G87" i="22" s="1"/>
  <c r="J87" i="22"/>
  <c r="F87" i="22" s="1"/>
  <c r="K86" i="28"/>
  <c r="G86" i="28" s="1"/>
  <c r="I86" i="28"/>
  <c r="D86" i="28" s="1"/>
  <c r="D87" i="22"/>
  <c r="K86" i="20"/>
  <c r="G86" i="20" s="1"/>
  <c r="I86" i="20"/>
  <c r="D86" i="20" s="1"/>
  <c r="J86" i="20"/>
  <c r="F86" i="20" s="1"/>
  <c r="I85" i="1"/>
  <c r="D85" i="1" s="1"/>
  <c r="J85" i="1"/>
  <c r="F85" i="1" s="1"/>
  <c r="K86" i="27" l="1"/>
  <c r="G86" i="27" s="1"/>
  <c r="J86" i="27"/>
  <c r="F86" i="27" s="1"/>
  <c r="I86" i="27"/>
  <c r="I86" i="21"/>
  <c r="D86" i="21" s="1"/>
  <c r="D87" i="25"/>
  <c r="E87" i="25"/>
  <c r="J86" i="26"/>
  <c r="F86" i="26" s="1"/>
  <c r="I86" i="26"/>
  <c r="K86" i="26"/>
  <c r="G86" i="26" s="1"/>
  <c r="E86" i="24"/>
  <c r="E87" i="31"/>
  <c r="J88" i="31" s="1"/>
  <c r="F88" i="31" s="1"/>
  <c r="E85" i="23"/>
  <c r="I86" i="32"/>
  <c r="D86" i="32" s="1"/>
  <c r="J86" i="32"/>
  <c r="F86" i="32" s="1"/>
  <c r="K86" i="32"/>
  <c r="G86" i="32" s="1"/>
  <c r="J86" i="21"/>
  <c r="F86" i="21" s="1"/>
  <c r="E89" i="30"/>
  <c r="I90" i="30" s="1"/>
  <c r="K86" i="29"/>
  <c r="G86" i="29" s="1"/>
  <c r="J86" i="29"/>
  <c r="F86" i="29" s="1"/>
  <c r="I86" i="29"/>
  <c r="D86" i="29" s="1"/>
  <c r="E87" i="22"/>
  <c r="J88" i="22" s="1"/>
  <c r="F88" i="22" s="1"/>
  <c r="E86" i="28"/>
  <c r="J87" i="28" s="1"/>
  <c r="F87" i="28" s="1"/>
  <c r="E86" i="20"/>
  <c r="J87" i="20" s="1"/>
  <c r="F87" i="20" s="1"/>
  <c r="E85" i="1"/>
  <c r="K86" i="1" s="1"/>
  <c r="G86" i="1" s="1"/>
  <c r="D86" i="27" l="1"/>
  <c r="E86" i="27"/>
  <c r="K88" i="25"/>
  <c r="G88" i="25" s="1"/>
  <c r="I88" i="25"/>
  <c r="J88" i="25"/>
  <c r="F88" i="25" s="1"/>
  <c r="D86" i="26"/>
  <c r="E86" i="26"/>
  <c r="I88" i="31"/>
  <c r="D88" i="31" s="1"/>
  <c r="J87" i="24"/>
  <c r="F87" i="24" s="1"/>
  <c r="I87" i="24"/>
  <c r="D87" i="24" s="1"/>
  <c r="K87" i="24"/>
  <c r="G87" i="24" s="1"/>
  <c r="K88" i="31"/>
  <c r="G88" i="31" s="1"/>
  <c r="E86" i="21"/>
  <c r="K87" i="21" s="1"/>
  <c r="G87" i="21" s="1"/>
  <c r="K88" i="22"/>
  <c r="G88" i="22" s="1"/>
  <c r="K90" i="30"/>
  <c r="G90" i="30" s="1"/>
  <c r="I88" i="22"/>
  <c r="J90" i="30"/>
  <c r="F90" i="30" s="1"/>
  <c r="E86" i="32"/>
  <c r="J86" i="23"/>
  <c r="F86" i="23" s="1"/>
  <c r="I86" i="23"/>
  <c r="D86" i="23" s="1"/>
  <c r="K86" i="23"/>
  <c r="G86" i="23" s="1"/>
  <c r="E86" i="29"/>
  <c r="K87" i="28"/>
  <c r="G87" i="28" s="1"/>
  <c r="I87" i="28"/>
  <c r="D87" i="28" s="1"/>
  <c r="D90" i="30"/>
  <c r="I87" i="20"/>
  <c r="D87" i="20" s="1"/>
  <c r="K87" i="20"/>
  <c r="G87" i="20" s="1"/>
  <c r="J86" i="1"/>
  <c r="F86" i="1" s="1"/>
  <c r="I86" i="1"/>
  <c r="D86" i="1" s="1"/>
  <c r="J87" i="27" l="1"/>
  <c r="F87" i="27" s="1"/>
  <c r="K87" i="27"/>
  <c r="G87" i="27" s="1"/>
  <c r="I87" i="27"/>
  <c r="E88" i="25"/>
  <c r="D88" i="25"/>
  <c r="I87" i="21"/>
  <c r="D87" i="21" s="1"/>
  <c r="J87" i="21"/>
  <c r="F87" i="21" s="1"/>
  <c r="J87" i="26"/>
  <c r="F87" i="26" s="1"/>
  <c r="I87" i="26"/>
  <c r="D87" i="26" s="1"/>
  <c r="K87" i="26"/>
  <c r="G87" i="26" s="1"/>
  <c r="E87" i="24"/>
  <c r="J88" i="24" s="1"/>
  <c r="F88" i="24" s="1"/>
  <c r="E88" i="31"/>
  <c r="E88" i="22"/>
  <c r="J89" i="22" s="1"/>
  <c r="F89" i="22" s="1"/>
  <c r="D88" i="22"/>
  <c r="E90" i="30"/>
  <c r="I91" i="30" s="1"/>
  <c r="E86" i="23"/>
  <c r="K87" i="32"/>
  <c r="G87" i="32" s="1"/>
  <c r="J87" i="32"/>
  <c r="F87" i="32" s="1"/>
  <c r="I87" i="32"/>
  <c r="D87" i="32" s="1"/>
  <c r="J87" i="29"/>
  <c r="F87" i="29" s="1"/>
  <c r="I87" i="29"/>
  <c r="D87" i="29" s="1"/>
  <c r="K87" i="29"/>
  <c r="G87" i="29" s="1"/>
  <c r="E87" i="28"/>
  <c r="K88" i="28" s="1"/>
  <c r="G88" i="28" s="1"/>
  <c r="E87" i="20"/>
  <c r="K88" i="20" s="1"/>
  <c r="G88" i="20" s="1"/>
  <c r="E86" i="1"/>
  <c r="I87" i="1" s="1"/>
  <c r="D87" i="1" s="1"/>
  <c r="J91" i="30" l="1"/>
  <c r="F91" i="30" s="1"/>
  <c r="D87" i="27"/>
  <c r="E87" i="27"/>
  <c r="K89" i="22"/>
  <c r="G89" i="22" s="1"/>
  <c r="E87" i="21"/>
  <c r="K88" i="21" s="1"/>
  <c r="G88" i="21" s="1"/>
  <c r="I89" i="25"/>
  <c r="K89" i="25"/>
  <c r="G89" i="25" s="1"/>
  <c r="J89" i="25"/>
  <c r="F89" i="25" s="1"/>
  <c r="I88" i="24"/>
  <c r="D88" i="24" s="1"/>
  <c r="K88" i="24"/>
  <c r="G88" i="24" s="1"/>
  <c r="I89" i="22"/>
  <c r="D89" i="22" s="1"/>
  <c r="E87" i="26"/>
  <c r="K91" i="30"/>
  <c r="G91" i="30" s="1"/>
  <c r="I89" i="31"/>
  <c r="J89" i="31"/>
  <c r="F89" i="31" s="1"/>
  <c r="K89" i="31"/>
  <c r="G89" i="31" s="1"/>
  <c r="J88" i="28"/>
  <c r="F88" i="28" s="1"/>
  <c r="E87" i="32"/>
  <c r="K87" i="23"/>
  <c r="G87" i="23" s="1"/>
  <c r="I87" i="23"/>
  <c r="D87" i="23" s="1"/>
  <c r="J87" i="23"/>
  <c r="F87" i="23" s="1"/>
  <c r="E87" i="29"/>
  <c r="K88" i="29" s="1"/>
  <c r="G88" i="29" s="1"/>
  <c r="I88" i="28"/>
  <c r="D91" i="30"/>
  <c r="I88" i="20"/>
  <c r="D88" i="20" s="1"/>
  <c r="J88" i="20"/>
  <c r="F88" i="20" s="1"/>
  <c r="J88" i="21"/>
  <c r="F88" i="21" s="1"/>
  <c r="I88" i="21"/>
  <c r="D88" i="21" s="1"/>
  <c r="K87" i="1"/>
  <c r="G87" i="1" s="1"/>
  <c r="J87" i="1"/>
  <c r="F87" i="1" s="1"/>
  <c r="I88" i="27" l="1"/>
  <c r="J88" i="27"/>
  <c r="F88" i="27" s="1"/>
  <c r="K88" i="27"/>
  <c r="G88" i="27" s="1"/>
  <c r="E88" i="28"/>
  <c r="J89" i="28" s="1"/>
  <c r="F89" i="28" s="1"/>
  <c r="D89" i="25"/>
  <c r="E89" i="25"/>
  <c r="E89" i="22"/>
  <c r="I90" i="22" s="1"/>
  <c r="E88" i="24"/>
  <c r="I89" i="24" s="1"/>
  <c r="D89" i="24" s="1"/>
  <c r="E91" i="30"/>
  <c r="I92" i="30" s="1"/>
  <c r="J88" i="26"/>
  <c r="F88" i="26" s="1"/>
  <c r="I88" i="26"/>
  <c r="D88" i="26" s="1"/>
  <c r="K88" i="26"/>
  <c r="G88" i="26" s="1"/>
  <c r="D89" i="31"/>
  <c r="E89" i="31"/>
  <c r="E87" i="23"/>
  <c r="J88" i="32"/>
  <c r="F88" i="32" s="1"/>
  <c r="I88" i="32"/>
  <c r="D88" i="32" s="1"/>
  <c r="K88" i="32"/>
  <c r="G88" i="32" s="1"/>
  <c r="I88" i="29"/>
  <c r="D88" i="29" s="1"/>
  <c r="J88" i="29"/>
  <c r="F88" i="29" s="1"/>
  <c r="D88" i="28"/>
  <c r="J92" i="30"/>
  <c r="F92" i="30" s="1"/>
  <c r="E88" i="20"/>
  <c r="I89" i="20" s="1"/>
  <c r="E88" i="21"/>
  <c r="K89" i="21" s="1"/>
  <c r="G89" i="21" s="1"/>
  <c r="E87" i="1"/>
  <c r="K88" i="1" s="1"/>
  <c r="G88" i="1" s="1"/>
  <c r="K89" i="28" l="1"/>
  <c r="G89" i="28" s="1"/>
  <c r="I89" i="28"/>
  <c r="D88" i="27"/>
  <c r="E88" i="27"/>
  <c r="K90" i="22"/>
  <c r="G90" i="22" s="1"/>
  <c r="J90" i="22"/>
  <c r="F90" i="22" s="1"/>
  <c r="K89" i="24"/>
  <c r="G89" i="24" s="1"/>
  <c r="I90" i="25"/>
  <c r="K90" i="25"/>
  <c r="G90" i="25" s="1"/>
  <c r="J90" i="25"/>
  <c r="F90" i="25" s="1"/>
  <c r="J89" i="24"/>
  <c r="F89" i="24" s="1"/>
  <c r="K92" i="30"/>
  <c r="G92" i="30" s="1"/>
  <c r="E88" i="26"/>
  <c r="J90" i="31"/>
  <c r="F90" i="31" s="1"/>
  <c r="K90" i="31"/>
  <c r="G90" i="31" s="1"/>
  <c r="I90" i="31"/>
  <c r="E88" i="32"/>
  <c r="I88" i="23"/>
  <c r="D88" i="23" s="1"/>
  <c r="K88" i="23"/>
  <c r="G88" i="23" s="1"/>
  <c r="J88" i="23"/>
  <c r="F88" i="23" s="1"/>
  <c r="E88" i="29"/>
  <c r="K89" i="29" s="1"/>
  <c r="G89" i="29" s="1"/>
  <c r="D92" i="30"/>
  <c r="D89" i="28"/>
  <c r="E89" i="28"/>
  <c r="D90" i="22"/>
  <c r="J89" i="20"/>
  <c r="F89" i="20" s="1"/>
  <c r="K89" i="20"/>
  <c r="G89" i="20" s="1"/>
  <c r="D89" i="20"/>
  <c r="I89" i="21"/>
  <c r="D89" i="21" s="1"/>
  <c r="J89" i="21"/>
  <c r="F89" i="21" s="1"/>
  <c r="J88" i="1"/>
  <c r="F88" i="1" s="1"/>
  <c r="I88" i="1"/>
  <c r="D88" i="1" s="1"/>
  <c r="K89" i="27" l="1"/>
  <c r="G89" i="27" s="1"/>
  <c r="I89" i="27"/>
  <c r="J89" i="27"/>
  <c r="F89" i="27" s="1"/>
  <c r="E90" i="22"/>
  <c r="J91" i="22" s="1"/>
  <c r="F91" i="22" s="1"/>
  <c r="E89" i="24"/>
  <c r="I90" i="24" s="1"/>
  <c r="D90" i="24" s="1"/>
  <c r="E92" i="30"/>
  <c r="J93" i="30" s="1"/>
  <c r="F93" i="30" s="1"/>
  <c r="E90" i="25"/>
  <c r="D90" i="25"/>
  <c r="I89" i="26"/>
  <c r="D89" i="26" s="1"/>
  <c r="J89" i="26"/>
  <c r="F89" i="26" s="1"/>
  <c r="K89" i="26"/>
  <c r="G89" i="26" s="1"/>
  <c r="D90" i="31"/>
  <c r="E90" i="31"/>
  <c r="E88" i="23"/>
  <c r="K89" i="32"/>
  <c r="G89" i="32" s="1"/>
  <c r="I89" i="32"/>
  <c r="D89" i="32" s="1"/>
  <c r="J89" i="32"/>
  <c r="F89" i="32" s="1"/>
  <c r="J89" i="29"/>
  <c r="F89" i="29" s="1"/>
  <c r="I89" i="29"/>
  <c r="D89" i="29" s="1"/>
  <c r="K93" i="30"/>
  <c r="G93" i="30" s="1"/>
  <c r="K90" i="28"/>
  <c r="G90" i="28" s="1"/>
  <c r="I90" i="28"/>
  <c r="J90" i="28"/>
  <c r="F90" i="28" s="1"/>
  <c r="E89" i="20"/>
  <c r="K90" i="20" s="1"/>
  <c r="G90" i="20" s="1"/>
  <c r="E89" i="21"/>
  <c r="J90" i="21" s="1"/>
  <c r="F90" i="21" s="1"/>
  <c r="E88" i="1"/>
  <c r="J89" i="1" s="1"/>
  <c r="F89" i="1" s="1"/>
  <c r="I93" i="30" l="1"/>
  <c r="D93" i="30" s="1"/>
  <c r="K91" i="22"/>
  <c r="G91" i="22" s="1"/>
  <c r="I91" i="22"/>
  <c r="D91" i="22" s="1"/>
  <c r="D89" i="27"/>
  <c r="E89" i="27"/>
  <c r="K90" i="24"/>
  <c r="G90" i="24" s="1"/>
  <c r="J90" i="24"/>
  <c r="F90" i="24" s="1"/>
  <c r="I91" i="25"/>
  <c r="J91" i="25"/>
  <c r="F91" i="25" s="1"/>
  <c r="K91" i="25"/>
  <c r="G91" i="25" s="1"/>
  <c r="E89" i="26"/>
  <c r="J91" i="31"/>
  <c r="F91" i="31" s="1"/>
  <c r="I91" i="31"/>
  <c r="D91" i="31" s="1"/>
  <c r="K91" i="31"/>
  <c r="G91" i="31" s="1"/>
  <c r="E89" i="29"/>
  <c r="I90" i="29" s="1"/>
  <c r="E89" i="32"/>
  <c r="J89" i="23"/>
  <c r="F89" i="23" s="1"/>
  <c r="K89" i="23"/>
  <c r="G89" i="23" s="1"/>
  <c r="I89" i="23"/>
  <c r="D89" i="23" s="1"/>
  <c r="D90" i="28"/>
  <c r="E90" i="28"/>
  <c r="J90" i="20"/>
  <c r="F90" i="20" s="1"/>
  <c r="I90" i="20"/>
  <c r="D90" i="20" s="1"/>
  <c r="I90" i="21"/>
  <c r="D90" i="21" s="1"/>
  <c r="K90" i="21"/>
  <c r="G90" i="21" s="1"/>
  <c r="K89" i="1"/>
  <c r="G89" i="1" s="1"/>
  <c r="I89" i="1"/>
  <c r="D89" i="1" s="1"/>
  <c r="E93" i="30" l="1"/>
  <c r="E91" i="22"/>
  <c r="I90" i="27"/>
  <c r="J90" i="27"/>
  <c r="F90" i="27" s="1"/>
  <c r="K90" i="27"/>
  <c r="G90" i="27" s="1"/>
  <c r="E90" i="24"/>
  <c r="I91" i="24" s="1"/>
  <c r="D91" i="24" s="1"/>
  <c r="D91" i="25"/>
  <c r="E91" i="25"/>
  <c r="J90" i="29"/>
  <c r="F90" i="29" s="1"/>
  <c r="J90" i="26"/>
  <c r="F90" i="26" s="1"/>
  <c r="I90" i="26"/>
  <c r="D90" i="26" s="1"/>
  <c r="K90" i="26"/>
  <c r="G90" i="26" s="1"/>
  <c r="E91" i="31"/>
  <c r="K90" i="29"/>
  <c r="G90" i="29" s="1"/>
  <c r="E89" i="23"/>
  <c r="K90" i="32"/>
  <c r="G90" i="32" s="1"/>
  <c r="I90" i="32"/>
  <c r="D90" i="32" s="1"/>
  <c r="J90" i="32"/>
  <c r="F90" i="32" s="1"/>
  <c r="D90" i="29"/>
  <c r="I94" i="30"/>
  <c r="K94" i="30"/>
  <c r="G94" i="30" s="1"/>
  <c r="J94" i="30"/>
  <c r="F94" i="30" s="1"/>
  <c r="I91" i="28"/>
  <c r="K91" i="28"/>
  <c r="G91" i="28" s="1"/>
  <c r="J91" i="28"/>
  <c r="F91" i="28" s="1"/>
  <c r="I92" i="22"/>
  <c r="J92" i="22"/>
  <c r="F92" i="22" s="1"/>
  <c r="K92" i="22"/>
  <c r="G92" i="22" s="1"/>
  <c r="E90" i="20"/>
  <c r="K91" i="20" s="1"/>
  <c r="G91" i="20" s="1"/>
  <c r="E90" i="21"/>
  <c r="K91" i="21" s="1"/>
  <c r="G91" i="21" s="1"/>
  <c r="E89" i="1"/>
  <c r="J90" i="1" s="1"/>
  <c r="F90" i="1" s="1"/>
  <c r="J91" i="24" l="1"/>
  <c r="F91" i="24" s="1"/>
  <c r="K91" i="24"/>
  <c r="G91" i="24" s="1"/>
  <c r="D90" i="27"/>
  <c r="E90" i="27"/>
  <c r="K92" i="25"/>
  <c r="G92" i="25" s="1"/>
  <c r="I92" i="25"/>
  <c r="J92" i="25"/>
  <c r="F92" i="25" s="1"/>
  <c r="E90" i="26"/>
  <c r="K92" i="31"/>
  <c r="G92" i="31" s="1"/>
  <c r="I92" i="31"/>
  <c r="J92" i="31"/>
  <c r="F92" i="31" s="1"/>
  <c r="E90" i="29"/>
  <c r="I91" i="29" s="1"/>
  <c r="D91" i="29" s="1"/>
  <c r="E90" i="32"/>
  <c r="J90" i="23"/>
  <c r="F90" i="23" s="1"/>
  <c r="I90" i="23"/>
  <c r="D90" i="23" s="1"/>
  <c r="K90" i="23"/>
  <c r="G90" i="23" s="1"/>
  <c r="E94" i="30"/>
  <c r="D94" i="30"/>
  <c r="D91" i="28"/>
  <c r="E91" i="28"/>
  <c r="D92" i="22"/>
  <c r="E92" i="22"/>
  <c r="I91" i="20"/>
  <c r="D91" i="20" s="1"/>
  <c r="J91" i="20"/>
  <c r="F91" i="20" s="1"/>
  <c r="I91" i="21"/>
  <c r="D91" i="21" s="1"/>
  <c r="J91" i="21"/>
  <c r="F91" i="21" s="1"/>
  <c r="I90" i="1"/>
  <c r="D90" i="1" s="1"/>
  <c r="K90" i="1"/>
  <c r="G90" i="1" s="1"/>
  <c r="E91" i="24" l="1"/>
  <c r="I91" i="27"/>
  <c r="K91" i="27"/>
  <c r="G91" i="27" s="1"/>
  <c r="J91" i="27"/>
  <c r="F91" i="27" s="1"/>
  <c r="D92" i="25"/>
  <c r="E92" i="25"/>
  <c r="I91" i="26"/>
  <c r="D91" i="26" s="1"/>
  <c r="J91" i="26"/>
  <c r="F91" i="26" s="1"/>
  <c r="K91" i="26"/>
  <c r="G91" i="26" s="1"/>
  <c r="K92" i="24"/>
  <c r="G92" i="24" s="1"/>
  <c r="I92" i="24"/>
  <c r="D92" i="24" s="1"/>
  <c r="J92" i="24"/>
  <c r="F92" i="24" s="1"/>
  <c r="D92" i="31"/>
  <c r="E92" i="31"/>
  <c r="J91" i="29"/>
  <c r="F91" i="29" s="1"/>
  <c r="K91" i="29"/>
  <c r="G91" i="29" s="1"/>
  <c r="E90" i="23"/>
  <c r="K91" i="32"/>
  <c r="G91" i="32" s="1"/>
  <c r="J91" i="32"/>
  <c r="F91" i="32" s="1"/>
  <c r="I91" i="32"/>
  <c r="D91" i="32" s="1"/>
  <c r="I95" i="30"/>
  <c r="K95" i="30"/>
  <c r="G95" i="30" s="1"/>
  <c r="J95" i="30"/>
  <c r="F95" i="30" s="1"/>
  <c r="J92" i="28"/>
  <c r="F92" i="28" s="1"/>
  <c r="K92" i="28"/>
  <c r="G92" i="28" s="1"/>
  <c r="I92" i="28"/>
  <c r="K93" i="22"/>
  <c r="G93" i="22" s="1"/>
  <c r="J93" i="22"/>
  <c r="F93" i="22" s="1"/>
  <c r="I93" i="22"/>
  <c r="E91" i="20"/>
  <c r="J92" i="20" s="1"/>
  <c r="F92" i="20" s="1"/>
  <c r="E91" i="21"/>
  <c r="K92" i="21" s="1"/>
  <c r="G92" i="21" s="1"/>
  <c r="E90" i="1"/>
  <c r="I91" i="1" s="1"/>
  <c r="D91" i="1" s="1"/>
  <c r="D91" i="27" l="1"/>
  <c r="E91" i="27"/>
  <c r="J93" i="25"/>
  <c r="F93" i="25" s="1"/>
  <c r="K93" i="25"/>
  <c r="G93" i="25" s="1"/>
  <c r="I93" i="25"/>
  <c r="E91" i="26"/>
  <c r="E92" i="24"/>
  <c r="I93" i="31"/>
  <c r="K93" i="31"/>
  <c r="G93" i="31" s="1"/>
  <c r="J93" i="31"/>
  <c r="F93" i="31" s="1"/>
  <c r="E91" i="29"/>
  <c r="I92" i="29" s="1"/>
  <c r="D92" i="29" s="1"/>
  <c r="E91" i="32"/>
  <c r="J91" i="23"/>
  <c r="F91" i="23" s="1"/>
  <c r="I91" i="23"/>
  <c r="D91" i="23" s="1"/>
  <c r="K91" i="23"/>
  <c r="G91" i="23" s="1"/>
  <c r="E95" i="30"/>
  <c r="D95" i="30"/>
  <c r="D92" i="28"/>
  <c r="E92" i="28"/>
  <c r="D93" i="22"/>
  <c r="E93" i="22"/>
  <c r="K92" i="20"/>
  <c r="G92" i="20" s="1"/>
  <c r="I92" i="20"/>
  <c r="J92" i="21"/>
  <c r="F92" i="21" s="1"/>
  <c r="I92" i="21"/>
  <c r="D92" i="21" s="1"/>
  <c r="J91" i="1"/>
  <c r="F91" i="1" s="1"/>
  <c r="K91" i="1"/>
  <c r="G91" i="1" s="1"/>
  <c r="I92" i="27" l="1"/>
  <c r="K92" i="27"/>
  <c r="G92" i="27" s="1"/>
  <c r="J92" i="27"/>
  <c r="F92" i="27" s="1"/>
  <c r="D93" i="25"/>
  <c r="E93" i="25"/>
  <c r="K92" i="26"/>
  <c r="G92" i="26" s="1"/>
  <c r="I92" i="26"/>
  <c r="D92" i="26" s="1"/>
  <c r="J92" i="26"/>
  <c r="F92" i="26" s="1"/>
  <c r="J93" i="24"/>
  <c r="F93" i="24" s="1"/>
  <c r="K93" i="24"/>
  <c r="G93" i="24" s="1"/>
  <c r="I93" i="24"/>
  <c r="D93" i="24" s="1"/>
  <c r="D93" i="31"/>
  <c r="E93" i="31"/>
  <c r="J92" i="29"/>
  <c r="F92" i="29" s="1"/>
  <c r="K92" i="29"/>
  <c r="G92" i="29" s="1"/>
  <c r="E91" i="23"/>
  <c r="J92" i="32"/>
  <c r="F92" i="32" s="1"/>
  <c r="K92" i="32"/>
  <c r="G92" i="32" s="1"/>
  <c r="I92" i="32"/>
  <c r="D92" i="32" s="1"/>
  <c r="I96" i="30"/>
  <c r="D96" i="30" s="1"/>
  <c r="J96" i="30"/>
  <c r="F96" i="30" s="1"/>
  <c r="K96" i="30"/>
  <c r="G96" i="30" s="1"/>
  <c r="J93" i="28"/>
  <c r="F93" i="28" s="1"/>
  <c r="I93" i="28"/>
  <c r="D93" i="28" s="1"/>
  <c r="K93" i="28"/>
  <c r="G93" i="28" s="1"/>
  <c r="E92" i="20"/>
  <c r="K93" i="20" s="1"/>
  <c r="G93" i="20" s="1"/>
  <c r="K94" i="22"/>
  <c r="G94" i="22" s="1"/>
  <c r="J94" i="22"/>
  <c r="F94" i="22" s="1"/>
  <c r="I94" i="22"/>
  <c r="D92" i="20"/>
  <c r="E92" i="21"/>
  <c r="K93" i="21" s="1"/>
  <c r="G93" i="21" s="1"/>
  <c r="E91" i="1"/>
  <c r="K92" i="1" s="1"/>
  <c r="G92" i="1" s="1"/>
  <c r="D92" i="27" l="1"/>
  <c r="E92" i="27"/>
  <c r="K94" i="25"/>
  <c r="G94" i="25" s="1"/>
  <c r="J94" i="25"/>
  <c r="F94" i="25" s="1"/>
  <c r="I94" i="25"/>
  <c r="E92" i="26"/>
  <c r="I93" i="26" s="1"/>
  <c r="E93" i="24"/>
  <c r="I94" i="31"/>
  <c r="K94" i="31"/>
  <c r="G94" i="31" s="1"/>
  <c r="J94" i="31"/>
  <c r="F94" i="31" s="1"/>
  <c r="E92" i="29"/>
  <c r="I93" i="29" s="1"/>
  <c r="D93" i="29" s="1"/>
  <c r="E92" i="32"/>
  <c r="K92" i="23"/>
  <c r="G92" i="23" s="1"/>
  <c r="J92" i="23"/>
  <c r="F92" i="23" s="1"/>
  <c r="I92" i="23"/>
  <c r="D92" i="23" s="1"/>
  <c r="J93" i="20"/>
  <c r="F93" i="20" s="1"/>
  <c r="I93" i="20"/>
  <c r="D93" i="20" s="1"/>
  <c r="E96" i="30"/>
  <c r="E93" i="28"/>
  <c r="D94" i="22"/>
  <c r="E94" i="22"/>
  <c r="I93" i="21"/>
  <c r="D93" i="21" s="1"/>
  <c r="J93" i="21"/>
  <c r="F93" i="21" s="1"/>
  <c r="J92" i="1"/>
  <c r="F92" i="1" s="1"/>
  <c r="I92" i="1"/>
  <c r="D92" i="1" s="1"/>
  <c r="J93" i="27" l="1"/>
  <c r="F93" i="27" s="1"/>
  <c r="I93" i="27"/>
  <c r="K93" i="27"/>
  <c r="G93" i="27" s="1"/>
  <c r="D94" i="25"/>
  <c r="E94" i="25"/>
  <c r="K93" i="26"/>
  <c r="G93" i="26" s="1"/>
  <c r="J93" i="26"/>
  <c r="F93" i="26" s="1"/>
  <c r="D93" i="26"/>
  <c r="I94" i="24"/>
  <c r="D94" i="24" s="1"/>
  <c r="K94" i="24"/>
  <c r="G94" i="24" s="1"/>
  <c r="J94" i="24"/>
  <c r="F94" i="24" s="1"/>
  <c r="E94" i="31"/>
  <c r="D94" i="31"/>
  <c r="K93" i="29"/>
  <c r="G93" i="29" s="1"/>
  <c r="J93" i="29"/>
  <c r="F93" i="29" s="1"/>
  <c r="E92" i="23"/>
  <c r="I93" i="32"/>
  <c r="D93" i="32" s="1"/>
  <c r="J93" i="32"/>
  <c r="F93" i="32" s="1"/>
  <c r="K93" i="32"/>
  <c r="G93" i="32" s="1"/>
  <c r="E93" i="20"/>
  <c r="J94" i="20" s="1"/>
  <c r="F94" i="20" s="1"/>
  <c r="J97" i="30"/>
  <c r="F97" i="30" s="1"/>
  <c r="K97" i="30"/>
  <c r="G97" i="30" s="1"/>
  <c r="I97" i="30"/>
  <c r="I94" i="28"/>
  <c r="D94" i="28" s="1"/>
  <c r="J94" i="28"/>
  <c r="F94" i="28" s="1"/>
  <c r="K94" i="28"/>
  <c r="G94" i="28" s="1"/>
  <c r="I95" i="22"/>
  <c r="K95" i="22"/>
  <c r="G95" i="22" s="1"/>
  <c r="J95" i="22"/>
  <c r="F95" i="22" s="1"/>
  <c r="E93" i="21"/>
  <c r="K94" i="21" s="1"/>
  <c r="G94" i="21" s="1"/>
  <c r="E92" i="1"/>
  <c r="K93" i="1" s="1"/>
  <c r="G93" i="1" s="1"/>
  <c r="D93" i="27" l="1"/>
  <c r="E93" i="27"/>
  <c r="I95" i="25"/>
  <c r="J95" i="25"/>
  <c r="F95" i="25" s="1"/>
  <c r="K95" i="25"/>
  <c r="G95" i="25" s="1"/>
  <c r="E93" i="26"/>
  <c r="I94" i="26" s="1"/>
  <c r="E94" i="24"/>
  <c r="I95" i="31"/>
  <c r="J95" i="31"/>
  <c r="F95" i="31" s="1"/>
  <c r="K95" i="31"/>
  <c r="G95" i="31" s="1"/>
  <c r="E93" i="29"/>
  <c r="I94" i="29" s="1"/>
  <c r="D94" i="29" s="1"/>
  <c r="E93" i="32"/>
  <c r="K93" i="23"/>
  <c r="G93" i="23" s="1"/>
  <c r="J93" i="23"/>
  <c r="F93" i="23" s="1"/>
  <c r="I93" i="23"/>
  <c r="D93" i="23" s="1"/>
  <c r="I94" i="20"/>
  <c r="D94" i="20" s="1"/>
  <c r="K94" i="20"/>
  <c r="G94" i="20" s="1"/>
  <c r="E94" i="28"/>
  <c r="D97" i="30"/>
  <c r="E97" i="30"/>
  <c r="D95" i="22"/>
  <c r="E95" i="22"/>
  <c r="I94" i="21"/>
  <c r="D94" i="21" s="1"/>
  <c r="J94" i="21"/>
  <c r="F94" i="21" s="1"/>
  <c r="J93" i="1"/>
  <c r="F93" i="1" s="1"/>
  <c r="I93" i="1"/>
  <c r="D93" i="1" s="1"/>
  <c r="K94" i="27" l="1"/>
  <c r="G94" i="27" s="1"/>
  <c r="I94" i="27"/>
  <c r="J94" i="27"/>
  <c r="F94" i="27" s="1"/>
  <c r="D95" i="25"/>
  <c r="E95" i="25"/>
  <c r="K94" i="26"/>
  <c r="G94" i="26" s="1"/>
  <c r="J94" i="26"/>
  <c r="F94" i="26" s="1"/>
  <c r="D94" i="26"/>
  <c r="K95" i="24"/>
  <c r="G95" i="24" s="1"/>
  <c r="I95" i="24"/>
  <c r="D95" i="24" s="1"/>
  <c r="J95" i="24"/>
  <c r="F95" i="24" s="1"/>
  <c r="E95" i="31"/>
  <c r="D95" i="31"/>
  <c r="K94" i="29"/>
  <c r="G94" i="29" s="1"/>
  <c r="J94" i="29"/>
  <c r="F94" i="29" s="1"/>
  <c r="E93" i="23"/>
  <c r="J94" i="32"/>
  <c r="F94" i="32" s="1"/>
  <c r="K94" i="32"/>
  <c r="G94" i="32" s="1"/>
  <c r="I94" i="32"/>
  <c r="D94" i="32" s="1"/>
  <c r="E94" i="20"/>
  <c r="K95" i="20" s="1"/>
  <c r="G95" i="20" s="1"/>
  <c r="I95" i="28"/>
  <c r="J95" i="28"/>
  <c r="F95" i="28" s="1"/>
  <c r="K95" i="28"/>
  <c r="G95" i="28" s="1"/>
  <c r="I98" i="30"/>
  <c r="K98" i="30"/>
  <c r="G98" i="30" s="1"/>
  <c r="J98" i="30"/>
  <c r="F98" i="30" s="1"/>
  <c r="K96" i="22"/>
  <c r="G96" i="22" s="1"/>
  <c r="J96" i="22"/>
  <c r="F96" i="22" s="1"/>
  <c r="I96" i="22"/>
  <c r="E94" i="21"/>
  <c r="I95" i="21" s="1"/>
  <c r="D95" i="21" s="1"/>
  <c r="E93" i="1"/>
  <c r="K94" i="1" s="1"/>
  <c r="G94" i="1" s="1"/>
  <c r="E94" i="27" l="1"/>
  <c r="D94" i="27"/>
  <c r="I96" i="25"/>
  <c r="J96" i="25"/>
  <c r="F96" i="25" s="1"/>
  <c r="K96" i="25"/>
  <c r="G96" i="25" s="1"/>
  <c r="E94" i="26"/>
  <c r="I95" i="26" s="1"/>
  <c r="E95" i="24"/>
  <c r="J96" i="31"/>
  <c r="F96" i="31" s="1"/>
  <c r="I96" i="31"/>
  <c r="K96" i="31"/>
  <c r="G96" i="31" s="1"/>
  <c r="E94" i="29"/>
  <c r="I95" i="29" s="1"/>
  <c r="D95" i="29" s="1"/>
  <c r="E94" i="32"/>
  <c r="I94" i="23"/>
  <c r="D94" i="23" s="1"/>
  <c r="K94" i="23"/>
  <c r="G94" i="23" s="1"/>
  <c r="J94" i="23"/>
  <c r="F94" i="23" s="1"/>
  <c r="J95" i="20"/>
  <c r="F95" i="20" s="1"/>
  <c r="I95" i="20"/>
  <c r="D95" i="20" s="1"/>
  <c r="D95" i="28"/>
  <c r="E95" i="28"/>
  <c r="D98" i="30"/>
  <c r="E98" i="30"/>
  <c r="D96" i="22"/>
  <c r="E96" i="22"/>
  <c r="K95" i="21"/>
  <c r="G95" i="21" s="1"/>
  <c r="J95" i="21"/>
  <c r="J94" i="1"/>
  <c r="F94" i="1" s="1"/>
  <c r="I94" i="1"/>
  <c r="D94" i="1" s="1"/>
  <c r="J95" i="27" l="1"/>
  <c r="F95" i="27" s="1"/>
  <c r="I95" i="27"/>
  <c r="K95" i="27"/>
  <c r="G95" i="27" s="1"/>
  <c r="D96" i="25"/>
  <c r="E96" i="25"/>
  <c r="J95" i="26"/>
  <c r="F95" i="26" s="1"/>
  <c r="K95" i="26"/>
  <c r="G95" i="26" s="1"/>
  <c r="D95" i="26"/>
  <c r="K96" i="24"/>
  <c r="G96" i="24" s="1"/>
  <c r="I96" i="24"/>
  <c r="D96" i="24" s="1"/>
  <c r="J96" i="24"/>
  <c r="F96" i="24" s="1"/>
  <c r="J95" i="29"/>
  <c r="F95" i="29" s="1"/>
  <c r="E96" i="31"/>
  <c r="D96" i="31"/>
  <c r="K95" i="29"/>
  <c r="G95" i="29" s="1"/>
  <c r="E95" i="20"/>
  <c r="J96" i="20" s="1"/>
  <c r="F96" i="20" s="1"/>
  <c r="E94" i="23"/>
  <c r="I95" i="32"/>
  <c r="D95" i="32" s="1"/>
  <c r="J95" i="32"/>
  <c r="F95" i="32" s="1"/>
  <c r="K95" i="32"/>
  <c r="G95" i="32" s="1"/>
  <c r="K96" i="28"/>
  <c r="G96" i="28" s="1"/>
  <c r="I96" i="28"/>
  <c r="J96" i="28"/>
  <c r="F96" i="28" s="1"/>
  <c r="I99" i="30"/>
  <c r="D99" i="30" s="1"/>
  <c r="J99" i="30"/>
  <c r="F99" i="30" s="1"/>
  <c r="K99" i="30"/>
  <c r="G99" i="30" s="1"/>
  <c r="J97" i="22"/>
  <c r="F97" i="22" s="1"/>
  <c r="I97" i="22"/>
  <c r="D97" i="22" s="1"/>
  <c r="K97" i="22"/>
  <c r="G97" i="22" s="1"/>
  <c r="F95" i="21"/>
  <c r="E95" i="21"/>
  <c r="E94" i="1"/>
  <c r="I95" i="1" s="1"/>
  <c r="D95" i="1" s="1"/>
  <c r="D95" i="27" l="1"/>
  <c r="E95" i="27"/>
  <c r="I97" i="25"/>
  <c r="K97" i="25"/>
  <c r="G97" i="25" s="1"/>
  <c r="J97" i="25"/>
  <c r="F97" i="25" s="1"/>
  <c r="E95" i="26"/>
  <c r="J96" i="26" s="1"/>
  <c r="F96" i="26" s="1"/>
  <c r="E96" i="24"/>
  <c r="E95" i="29"/>
  <c r="J96" i="29" s="1"/>
  <c r="F96" i="29" s="1"/>
  <c r="J97" i="31"/>
  <c r="F97" i="31" s="1"/>
  <c r="K97" i="31"/>
  <c r="G97" i="31" s="1"/>
  <c r="I97" i="31"/>
  <c r="K96" i="20"/>
  <c r="G96" i="20" s="1"/>
  <c r="I96" i="20"/>
  <c r="D96" i="20" s="1"/>
  <c r="E95" i="32"/>
  <c r="I95" i="23"/>
  <c r="D95" i="23" s="1"/>
  <c r="J95" i="23"/>
  <c r="F95" i="23" s="1"/>
  <c r="K95" i="23"/>
  <c r="G95" i="23" s="1"/>
  <c r="D96" i="28"/>
  <c r="E96" i="28"/>
  <c r="E99" i="30"/>
  <c r="I100" i="30" s="1"/>
  <c r="D100" i="30" s="1"/>
  <c r="E97" i="22"/>
  <c r="I98" i="22" s="1"/>
  <c r="K96" i="21"/>
  <c r="G96" i="21" s="1"/>
  <c r="J96" i="21"/>
  <c r="F96" i="21" s="1"/>
  <c r="I96" i="21"/>
  <c r="K95" i="1"/>
  <c r="G95" i="1" s="1"/>
  <c r="J95" i="1"/>
  <c r="F95" i="1" s="1"/>
  <c r="K96" i="27" l="1"/>
  <c r="G96" i="27" s="1"/>
  <c r="J96" i="27"/>
  <c r="F96" i="27" s="1"/>
  <c r="I96" i="27"/>
  <c r="I96" i="26"/>
  <c r="D96" i="26" s="1"/>
  <c r="D97" i="25"/>
  <c r="E97" i="25"/>
  <c r="K96" i="29"/>
  <c r="G96" i="29" s="1"/>
  <c r="K96" i="26"/>
  <c r="G96" i="26" s="1"/>
  <c r="I96" i="29"/>
  <c r="D96" i="29" s="1"/>
  <c r="E96" i="20"/>
  <c r="J97" i="20" s="1"/>
  <c r="F97" i="20" s="1"/>
  <c r="K97" i="24"/>
  <c r="G97" i="24" s="1"/>
  <c r="J97" i="24"/>
  <c r="F97" i="24" s="1"/>
  <c r="I97" i="24"/>
  <c r="D97" i="24" s="1"/>
  <c r="D97" i="31"/>
  <c r="E97" i="31"/>
  <c r="E95" i="23"/>
  <c r="I96" i="32"/>
  <c r="D96" i="32" s="1"/>
  <c r="J96" i="32"/>
  <c r="F96" i="32" s="1"/>
  <c r="K96" i="32"/>
  <c r="G96" i="32" s="1"/>
  <c r="J100" i="30"/>
  <c r="F100" i="30" s="1"/>
  <c r="K100" i="30"/>
  <c r="G100" i="30" s="1"/>
  <c r="J97" i="28"/>
  <c r="F97" i="28" s="1"/>
  <c r="K97" i="28"/>
  <c r="G97" i="28" s="1"/>
  <c r="I97" i="28"/>
  <c r="J98" i="22"/>
  <c r="F98" i="22" s="1"/>
  <c r="K98" i="22"/>
  <c r="G98" i="22" s="1"/>
  <c r="D98" i="22"/>
  <c r="D96" i="21"/>
  <c r="E96" i="21"/>
  <c r="E95" i="1"/>
  <c r="K96" i="1" s="1"/>
  <c r="G96" i="1" s="1"/>
  <c r="D96" i="27" l="1"/>
  <c r="E96" i="27"/>
  <c r="E96" i="29"/>
  <c r="I97" i="29" s="1"/>
  <c r="D97" i="29" s="1"/>
  <c r="J98" i="25"/>
  <c r="F98" i="25" s="1"/>
  <c r="I98" i="25"/>
  <c r="K98" i="25"/>
  <c r="G98" i="25" s="1"/>
  <c r="K97" i="20"/>
  <c r="G97" i="20" s="1"/>
  <c r="E96" i="26"/>
  <c r="I97" i="26" s="1"/>
  <c r="I97" i="20"/>
  <c r="D97" i="20" s="1"/>
  <c r="E97" i="24"/>
  <c r="I98" i="24" s="1"/>
  <c r="D98" i="24" s="1"/>
  <c r="K98" i="31"/>
  <c r="G98" i="31" s="1"/>
  <c r="J98" i="31"/>
  <c r="F98" i="31" s="1"/>
  <c r="I98" i="31"/>
  <c r="E96" i="32"/>
  <c r="K96" i="23"/>
  <c r="G96" i="23" s="1"/>
  <c r="J96" i="23"/>
  <c r="F96" i="23" s="1"/>
  <c r="I96" i="23"/>
  <c r="D96" i="23" s="1"/>
  <c r="E100" i="30"/>
  <c r="I101" i="30" s="1"/>
  <c r="D97" i="28"/>
  <c r="E97" i="28"/>
  <c r="E98" i="22"/>
  <c r="K99" i="22" s="1"/>
  <c r="G99" i="22" s="1"/>
  <c r="J97" i="21"/>
  <c r="F97" i="21" s="1"/>
  <c r="K97" i="21"/>
  <c r="G97" i="21" s="1"/>
  <c r="I97" i="21"/>
  <c r="I96" i="1"/>
  <c r="D96" i="1" s="1"/>
  <c r="J96" i="1"/>
  <c r="F96" i="1" s="1"/>
  <c r="J97" i="29" l="1"/>
  <c r="F97" i="29" s="1"/>
  <c r="J97" i="27"/>
  <c r="F97" i="27" s="1"/>
  <c r="K97" i="27"/>
  <c r="G97" i="27" s="1"/>
  <c r="I97" i="27"/>
  <c r="K97" i="29"/>
  <c r="G97" i="29" s="1"/>
  <c r="E97" i="20"/>
  <c r="K98" i="20" s="1"/>
  <c r="G98" i="20" s="1"/>
  <c r="D98" i="25"/>
  <c r="E98" i="25"/>
  <c r="J97" i="26"/>
  <c r="F97" i="26" s="1"/>
  <c r="K97" i="26"/>
  <c r="G97" i="26" s="1"/>
  <c r="K98" i="24"/>
  <c r="G98" i="24" s="1"/>
  <c r="J98" i="24"/>
  <c r="F98" i="24" s="1"/>
  <c r="D97" i="26"/>
  <c r="D98" i="31"/>
  <c r="E98" i="31"/>
  <c r="E96" i="23"/>
  <c r="J97" i="32"/>
  <c r="F97" i="32" s="1"/>
  <c r="I97" i="32"/>
  <c r="D97" i="32" s="1"/>
  <c r="K97" i="32"/>
  <c r="G97" i="32" s="1"/>
  <c r="K101" i="30"/>
  <c r="G101" i="30" s="1"/>
  <c r="J101" i="30"/>
  <c r="F101" i="30" s="1"/>
  <c r="J99" i="22"/>
  <c r="F99" i="22" s="1"/>
  <c r="I99" i="22"/>
  <c r="D99" i="22" s="1"/>
  <c r="K98" i="28"/>
  <c r="G98" i="28" s="1"/>
  <c r="J98" i="28"/>
  <c r="F98" i="28" s="1"/>
  <c r="I98" i="28"/>
  <c r="D101" i="30"/>
  <c r="I98" i="20"/>
  <c r="D97" i="21"/>
  <c r="E97" i="21"/>
  <c r="E96" i="1"/>
  <c r="K97" i="1" s="1"/>
  <c r="G97" i="1" s="1"/>
  <c r="D97" i="27" l="1"/>
  <c r="E97" i="27"/>
  <c r="E97" i="29"/>
  <c r="J98" i="29" s="1"/>
  <c r="F98" i="29" s="1"/>
  <c r="J98" i="20"/>
  <c r="F98" i="20" s="1"/>
  <c r="J99" i="25"/>
  <c r="F99" i="25" s="1"/>
  <c r="I99" i="25"/>
  <c r="K99" i="25"/>
  <c r="G99" i="25" s="1"/>
  <c r="E97" i="26"/>
  <c r="K98" i="26" s="1"/>
  <c r="G98" i="26" s="1"/>
  <c r="E98" i="24"/>
  <c r="K99" i="24" s="1"/>
  <c r="G99" i="24" s="1"/>
  <c r="J99" i="31"/>
  <c r="F99" i="31" s="1"/>
  <c r="I99" i="31"/>
  <c r="K99" i="31"/>
  <c r="G99" i="31" s="1"/>
  <c r="E97" i="32"/>
  <c r="J97" i="23"/>
  <c r="F97" i="23" s="1"/>
  <c r="K97" i="23"/>
  <c r="G97" i="23" s="1"/>
  <c r="I97" i="23"/>
  <c r="D97" i="23" s="1"/>
  <c r="E101" i="30"/>
  <c r="K102" i="30" s="1"/>
  <c r="G102" i="30" s="1"/>
  <c r="E99" i="22"/>
  <c r="J100" i="22" s="1"/>
  <c r="F100" i="22" s="1"/>
  <c r="D98" i="28"/>
  <c r="E98" i="28"/>
  <c r="D98" i="20"/>
  <c r="I98" i="21"/>
  <c r="J98" i="21"/>
  <c r="F98" i="21" s="1"/>
  <c r="K98" i="21"/>
  <c r="G98" i="21" s="1"/>
  <c r="I97" i="1"/>
  <c r="D97" i="1" s="1"/>
  <c r="J97" i="1"/>
  <c r="F97" i="1" s="1"/>
  <c r="E98" i="20" l="1"/>
  <c r="K98" i="29"/>
  <c r="G98" i="29" s="1"/>
  <c r="I98" i="29"/>
  <c r="J98" i="27"/>
  <c r="F98" i="27" s="1"/>
  <c r="I98" i="27"/>
  <c r="D98" i="27" s="1"/>
  <c r="K98" i="27"/>
  <c r="G98" i="27" s="1"/>
  <c r="J99" i="24"/>
  <c r="F99" i="24" s="1"/>
  <c r="I98" i="26"/>
  <c r="D98" i="26" s="1"/>
  <c r="J98" i="26"/>
  <c r="F98" i="26" s="1"/>
  <c r="I99" i="24"/>
  <c r="D99" i="24" s="1"/>
  <c r="D99" i="25"/>
  <c r="E99" i="25"/>
  <c r="E99" i="31"/>
  <c r="D99" i="31"/>
  <c r="D98" i="29"/>
  <c r="E97" i="23"/>
  <c r="K98" i="32"/>
  <c r="G98" i="32" s="1"/>
  <c r="J98" i="32"/>
  <c r="F98" i="32" s="1"/>
  <c r="I98" i="32"/>
  <c r="D98" i="32" s="1"/>
  <c r="I102" i="30"/>
  <c r="D102" i="30" s="1"/>
  <c r="J102" i="30"/>
  <c r="F102" i="30" s="1"/>
  <c r="I100" i="22"/>
  <c r="D100" i="22" s="1"/>
  <c r="K100" i="22"/>
  <c r="G100" i="22" s="1"/>
  <c r="I99" i="28"/>
  <c r="J99" i="28"/>
  <c r="F99" i="28" s="1"/>
  <c r="K99" i="28"/>
  <c r="G99" i="28" s="1"/>
  <c r="I99" i="20"/>
  <c r="K99" i="20"/>
  <c r="G99" i="20" s="1"/>
  <c r="J99" i="20"/>
  <c r="F99" i="20" s="1"/>
  <c r="D98" i="21"/>
  <c r="E98" i="21"/>
  <c r="E97" i="1"/>
  <c r="I98" i="1" s="1"/>
  <c r="D98" i="1" s="1"/>
  <c r="E98" i="29" l="1"/>
  <c r="E98" i="27"/>
  <c r="K99" i="27" s="1"/>
  <c r="G99" i="27" s="1"/>
  <c r="E98" i="26"/>
  <c r="I99" i="26" s="1"/>
  <c r="E99" i="24"/>
  <c r="J100" i="24" s="1"/>
  <c r="F100" i="24" s="1"/>
  <c r="J100" i="25"/>
  <c r="F100" i="25" s="1"/>
  <c r="I100" i="25"/>
  <c r="K100" i="25"/>
  <c r="G100" i="25" s="1"/>
  <c r="I100" i="31"/>
  <c r="J100" i="31"/>
  <c r="F100" i="31" s="1"/>
  <c r="K100" i="31"/>
  <c r="G100" i="31" s="1"/>
  <c r="I99" i="29"/>
  <c r="K99" i="29"/>
  <c r="G99" i="29" s="1"/>
  <c r="J99" i="29"/>
  <c r="F99" i="29" s="1"/>
  <c r="E98" i="32"/>
  <c r="I98" i="23"/>
  <c r="D98" i="23" s="1"/>
  <c r="J98" i="23"/>
  <c r="F98" i="23" s="1"/>
  <c r="K98" i="23"/>
  <c r="G98" i="23" s="1"/>
  <c r="E102" i="30"/>
  <c r="J103" i="30" s="1"/>
  <c r="F103" i="30" s="1"/>
  <c r="E100" i="22"/>
  <c r="K101" i="22" s="1"/>
  <c r="G101" i="22" s="1"/>
  <c r="D99" i="28"/>
  <c r="E99" i="28"/>
  <c r="D99" i="20"/>
  <c r="E99" i="20"/>
  <c r="J99" i="21"/>
  <c r="F99" i="21" s="1"/>
  <c r="I99" i="21"/>
  <c r="K99" i="21"/>
  <c r="G99" i="21" s="1"/>
  <c r="K98" i="1"/>
  <c r="G98" i="1" s="1"/>
  <c r="J98" i="1"/>
  <c r="F98" i="1" s="1"/>
  <c r="I99" i="27" l="1"/>
  <c r="D99" i="27" s="1"/>
  <c r="J99" i="26"/>
  <c r="F99" i="26" s="1"/>
  <c r="J99" i="27"/>
  <c r="F99" i="27" s="1"/>
  <c r="I100" i="24"/>
  <c r="D100" i="24" s="1"/>
  <c r="K99" i="26"/>
  <c r="G99" i="26" s="1"/>
  <c r="I103" i="30"/>
  <c r="D103" i="30" s="1"/>
  <c r="K100" i="24"/>
  <c r="G100" i="24" s="1"/>
  <c r="D100" i="25"/>
  <c r="E100" i="25"/>
  <c r="D99" i="26"/>
  <c r="D100" i="31"/>
  <c r="E100" i="31"/>
  <c r="D99" i="29"/>
  <c r="E99" i="29"/>
  <c r="K103" i="30"/>
  <c r="G103" i="30" s="1"/>
  <c r="E98" i="23"/>
  <c r="I99" i="32"/>
  <c r="D99" i="32" s="1"/>
  <c r="K99" i="32"/>
  <c r="G99" i="32" s="1"/>
  <c r="J99" i="32"/>
  <c r="F99" i="32" s="1"/>
  <c r="I101" i="22"/>
  <c r="D101" i="22" s="1"/>
  <c r="J101" i="22"/>
  <c r="F101" i="22" s="1"/>
  <c r="I100" i="28"/>
  <c r="D100" i="28" s="1"/>
  <c r="K100" i="28"/>
  <c r="G100" i="28" s="1"/>
  <c r="J100" i="28"/>
  <c r="F100" i="28" s="1"/>
  <c r="I100" i="20"/>
  <c r="K100" i="20"/>
  <c r="G100" i="20" s="1"/>
  <c r="J100" i="20"/>
  <c r="F100" i="20" s="1"/>
  <c r="D99" i="21"/>
  <c r="E99" i="21"/>
  <c r="E98" i="1"/>
  <c r="I99" i="1" s="1"/>
  <c r="D99" i="1" s="1"/>
  <c r="E99" i="27" l="1"/>
  <c r="J100" i="27" s="1"/>
  <c r="F100" i="27" s="1"/>
  <c r="E99" i="26"/>
  <c r="I100" i="26" s="1"/>
  <c r="E100" i="24"/>
  <c r="K101" i="24" s="1"/>
  <c r="G101" i="24" s="1"/>
  <c r="K101" i="25"/>
  <c r="G101" i="25" s="1"/>
  <c r="J101" i="25"/>
  <c r="F101" i="25" s="1"/>
  <c r="I101" i="25"/>
  <c r="J101" i="31"/>
  <c r="F101" i="31" s="1"/>
  <c r="I101" i="31"/>
  <c r="K101" i="31"/>
  <c r="G101" i="31" s="1"/>
  <c r="E103" i="30"/>
  <c r="K104" i="30" s="1"/>
  <c r="G104" i="30" s="1"/>
  <c r="I100" i="29"/>
  <c r="J100" i="29"/>
  <c r="F100" i="29" s="1"/>
  <c r="K100" i="29"/>
  <c r="G100" i="29" s="1"/>
  <c r="E99" i="32"/>
  <c r="J99" i="23"/>
  <c r="F99" i="23" s="1"/>
  <c r="K99" i="23"/>
  <c r="G99" i="23" s="1"/>
  <c r="I99" i="23"/>
  <c r="D99" i="23" s="1"/>
  <c r="E101" i="22"/>
  <c r="J102" i="22" s="1"/>
  <c r="F102" i="22" s="1"/>
  <c r="E100" i="28"/>
  <c r="D100" i="20"/>
  <c r="E100" i="20"/>
  <c r="I100" i="21"/>
  <c r="K100" i="21"/>
  <c r="G100" i="21" s="1"/>
  <c r="J100" i="21"/>
  <c r="F100" i="21" s="1"/>
  <c r="J99" i="1"/>
  <c r="F99" i="1" s="1"/>
  <c r="K99" i="1"/>
  <c r="G99" i="1" s="1"/>
  <c r="K100" i="27" l="1"/>
  <c r="G100" i="27" s="1"/>
  <c r="J101" i="24"/>
  <c r="F101" i="24" s="1"/>
  <c r="I100" i="27"/>
  <c r="D100" i="27" s="1"/>
  <c r="J100" i="26"/>
  <c r="F100" i="26" s="1"/>
  <c r="K100" i="26"/>
  <c r="G100" i="26" s="1"/>
  <c r="I101" i="24"/>
  <c r="D101" i="24" s="1"/>
  <c r="D101" i="25"/>
  <c r="E101" i="25"/>
  <c r="I104" i="30"/>
  <c r="D104" i="30" s="1"/>
  <c r="D100" i="26"/>
  <c r="J104" i="30"/>
  <c r="F104" i="30" s="1"/>
  <c r="D101" i="31"/>
  <c r="E101" i="31"/>
  <c r="D100" i="29"/>
  <c r="E100" i="29"/>
  <c r="E99" i="23"/>
  <c r="I100" i="32"/>
  <c r="D100" i="32" s="1"/>
  <c r="K100" i="32"/>
  <c r="G100" i="32" s="1"/>
  <c r="J100" i="32"/>
  <c r="F100" i="32" s="1"/>
  <c r="K102" i="22"/>
  <c r="G102" i="22" s="1"/>
  <c r="I102" i="22"/>
  <c r="D102" i="22" s="1"/>
  <c r="K101" i="28"/>
  <c r="G101" i="28" s="1"/>
  <c r="I101" i="28"/>
  <c r="D101" i="28" s="1"/>
  <c r="J101" i="28"/>
  <c r="F101" i="28" s="1"/>
  <c r="K101" i="20"/>
  <c r="G101" i="20" s="1"/>
  <c r="J101" i="20"/>
  <c r="F101" i="20" s="1"/>
  <c r="I101" i="20"/>
  <c r="D101" i="20" s="1"/>
  <c r="D100" i="21"/>
  <c r="E100" i="21"/>
  <c r="E99" i="1"/>
  <c r="K100" i="1" s="1"/>
  <c r="G100" i="1" s="1"/>
  <c r="E100" i="27" l="1"/>
  <c r="J101" i="27" s="1"/>
  <c r="F101" i="27" s="1"/>
  <c r="K101" i="27"/>
  <c r="G101" i="27" s="1"/>
  <c r="I101" i="27"/>
  <c r="D101" i="27" s="1"/>
  <c r="E100" i="26"/>
  <c r="J101" i="26" s="1"/>
  <c r="F101" i="26" s="1"/>
  <c r="E101" i="24"/>
  <c r="I102" i="24" s="1"/>
  <c r="D102" i="24" s="1"/>
  <c r="K102" i="25"/>
  <c r="G102" i="25" s="1"/>
  <c r="I102" i="25"/>
  <c r="J102" i="25"/>
  <c r="F102" i="25" s="1"/>
  <c r="E104" i="30"/>
  <c r="I105" i="30" s="1"/>
  <c r="D105" i="30" s="1"/>
  <c r="K101" i="26"/>
  <c r="G101" i="26" s="1"/>
  <c r="I102" i="31"/>
  <c r="J102" i="31"/>
  <c r="F102" i="31" s="1"/>
  <c r="K102" i="31"/>
  <c r="G102" i="31" s="1"/>
  <c r="K101" i="29"/>
  <c r="G101" i="29" s="1"/>
  <c r="J101" i="29"/>
  <c r="F101" i="29" s="1"/>
  <c r="I101" i="29"/>
  <c r="D101" i="29" s="1"/>
  <c r="E100" i="32"/>
  <c r="J101" i="32" s="1"/>
  <c r="F101" i="32" s="1"/>
  <c r="J100" i="23"/>
  <c r="F100" i="23" s="1"/>
  <c r="I100" i="23"/>
  <c r="D100" i="23" s="1"/>
  <c r="K100" i="23"/>
  <c r="G100" i="23" s="1"/>
  <c r="E102" i="22"/>
  <c r="I103" i="22" s="1"/>
  <c r="E101" i="28"/>
  <c r="J105" i="30"/>
  <c r="F105" i="30" s="1"/>
  <c r="E101" i="20"/>
  <c r="J102" i="20" s="1"/>
  <c r="F102" i="20" s="1"/>
  <c r="K101" i="21"/>
  <c r="G101" i="21" s="1"/>
  <c r="I101" i="21"/>
  <c r="J101" i="21"/>
  <c r="F101" i="21" s="1"/>
  <c r="J100" i="1"/>
  <c r="F100" i="1" s="1"/>
  <c r="I100" i="1"/>
  <c r="D100" i="1" s="1"/>
  <c r="I101" i="26" l="1"/>
  <c r="E101" i="27"/>
  <c r="K105" i="30"/>
  <c r="G105" i="30" s="1"/>
  <c r="J102" i="24"/>
  <c r="F102" i="24" s="1"/>
  <c r="K102" i="24"/>
  <c r="D102" i="25"/>
  <c r="E102" i="25"/>
  <c r="D101" i="26"/>
  <c r="E101" i="26"/>
  <c r="D102" i="31"/>
  <c r="E102" i="31"/>
  <c r="K101" i="32"/>
  <c r="G101" i="32" s="1"/>
  <c r="E101" i="29"/>
  <c r="I101" i="32"/>
  <c r="E100" i="23"/>
  <c r="K101" i="23" s="1"/>
  <c r="G101" i="23" s="1"/>
  <c r="K103" i="22"/>
  <c r="G103" i="22" s="1"/>
  <c r="J103" i="22"/>
  <c r="F103" i="22" s="1"/>
  <c r="I102" i="28"/>
  <c r="D102" i="28" s="1"/>
  <c r="K102" i="28"/>
  <c r="G102" i="28" s="1"/>
  <c r="J102" i="28"/>
  <c r="F102" i="28" s="1"/>
  <c r="D103" i="22"/>
  <c r="I102" i="20"/>
  <c r="K102" i="20"/>
  <c r="G102" i="20" s="1"/>
  <c r="D101" i="21"/>
  <c r="E101" i="21"/>
  <c r="E100" i="1"/>
  <c r="J101" i="1" s="1"/>
  <c r="F101" i="1" s="1"/>
  <c r="E105" i="30" l="1"/>
  <c r="I102" i="27"/>
  <c r="J102" i="27"/>
  <c r="F102" i="27" s="1"/>
  <c r="K102" i="27"/>
  <c r="G102" i="27" s="1"/>
  <c r="G102" i="24"/>
  <c r="E102" i="24"/>
  <c r="I103" i="25"/>
  <c r="J103" i="25"/>
  <c r="F103" i="25" s="1"/>
  <c r="K103" i="25"/>
  <c r="G103" i="25" s="1"/>
  <c r="K102" i="26"/>
  <c r="G102" i="26" s="1"/>
  <c r="J102" i="26"/>
  <c r="F102" i="26" s="1"/>
  <c r="I102" i="26"/>
  <c r="K103" i="31"/>
  <c r="G103" i="31" s="1"/>
  <c r="J103" i="31"/>
  <c r="F103" i="31" s="1"/>
  <c r="I103" i="31"/>
  <c r="E101" i="32"/>
  <c r="K102" i="32" s="1"/>
  <c r="G102" i="32" s="1"/>
  <c r="I101" i="23"/>
  <c r="D101" i="23" s="1"/>
  <c r="D101" i="32"/>
  <c r="I102" i="29"/>
  <c r="J102" i="29"/>
  <c r="F102" i="29" s="1"/>
  <c r="K102" i="29"/>
  <c r="G102" i="29" s="1"/>
  <c r="J101" i="23"/>
  <c r="F101" i="23" s="1"/>
  <c r="E103" i="22"/>
  <c r="I104" i="22" s="1"/>
  <c r="D104" i="22" s="1"/>
  <c r="E102" i="28"/>
  <c r="K106" i="30"/>
  <c r="G106" i="30" s="1"/>
  <c r="I106" i="30"/>
  <c r="D106" i="30" s="1"/>
  <c r="J106" i="30"/>
  <c r="F106" i="30" s="1"/>
  <c r="D102" i="20"/>
  <c r="E102" i="20"/>
  <c r="J102" i="21"/>
  <c r="F102" i="21" s="1"/>
  <c r="K102" i="21"/>
  <c r="G102" i="21" s="1"/>
  <c r="I102" i="21"/>
  <c r="D102" i="21" s="1"/>
  <c r="K101" i="1"/>
  <c r="G101" i="1" s="1"/>
  <c r="I101" i="1"/>
  <c r="D101" i="1" s="1"/>
  <c r="D102" i="27" l="1"/>
  <c r="E102" i="27"/>
  <c r="I103" i="24"/>
  <c r="J103" i="24"/>
  <c r="F103" i="24" s="1"/>
  <c r="K103" i="24"/>
  <c r="G103" i="24" s="1"/>
  <c r="D103" i="25"/>
  <c r="E103" i="25"/>
  <c r="D102" i="26"/>
  <c r="E102" i="26"/>
  <c r="K104" i="22"/>
  <c r="G104" i="22" s="1"/>
  <c r="I102" i="32"/>
  <c r="D102" i="32" s="1"/>
  <c r="J102" i="32"/>
  <c r="F102" i="32" s="1"/>
  <c r="D103" i="31"/>
  <c r="E103" i="31"/>
  <c r="E101" i="23"/>
  <c r="K102" i="23" s="1"/>
  <c r="G102" i="23" s="1"/>
  <c r="J104" i="22"/>
  <c r="F104" i="22" s="1"/>
  <c r="E102" i="29"/>
  <c r="D102" i="29"/>
  <c r="K103" i="28"/>
  <c r="G103" i="28" s="1"/>
  <c r="J103" i="28"/>
  <c r="F103" i="28" s="1"/>
  <c r="I103" i="28"/>
  <c r="D103" i="28" s="1"/>
  <c r="E106" i="30"/>
  <c r="K103" i="20"/>
  <c r="G103" i="20" s="1"/>
  <c r="J103" i="20"/>
  <c r="F103" i="20" s="1"/>
  <c r="I103" i="20"/>
  <c r="E102" i="21"/>
  <c r="E101" i="1"/>
  <c r="K102" i="1" s="1"/>
  <c r="G102" i="1" s="1"/>
  <c r="J103" i="27" l="1"/>
  <c r="F103" i="27" s="1"/>
  <c r="K103" i="27"/>
  <c r="G103" i="27" s="1"/>
  <c r="I103" i="27"/>
  <c r="E103" i="24"/>
  <c r="D103" i="24"/>
  <c r="I104" i="25"/>
  <c r="J104" i="25"/>
  <c r="F104" i="25" s="1"/>
  <c r="K104" i="25"/>
  <c r="G104" i="25" s="1"/>
  <c r="E102" i="32"/>
  <c r="I103" i="32" s="1"/>
  <c r="E104" i="22"/>
  <c r="J105" i="22" s="1"/>
  <c r="F105" i="22" s="1"/>
  <c r="I102" i="23"/>
  <c r="D102" i="23" s="1"/>
  <c r="K103" i="26"/>
  <c r="G103" i="26" s="1"/>
  <c r="I103" i="26"/>
  <c r="J103" i="26"/>
  <c r="F103" i="26" s="1"/>
  <c r="J102" i="23"/>
  <c r="F102" i="23" s="1"/>
  <c r="J104" i="31"/>
  <c r="F104" i="31" s="1"/>
  <c r="I104" i="31"/>
  <c r="K104" i="31"/>
  <c r="G104" i="31" s="1"/>
  <c r="I103" i="29"/>
  <c r="K103" i="29"/>
  <c r="G103" i="29" s="1"/>
  <c r="J103" i="29"/>
  <c r="F103" i="29" s="1"/>
  <c r="E103" i="28"/>
  <c r="I107" i="30"/>
  <c r="D107" i="30" s="1"/>
  <c r="K107" i="30"/>
  <c r="G107" i="30" s="1"/>
  <c r="J107" i="30"/>
  <c r="F107" i="30" s="1"/>
  <c r="K105" i="22"/>
  <c r="G105" i="22" s="1"/>
  <c r="I105" i="22"/>
  <c r="D103" i="20"/>
  <c r="E103" i="20"/>
  <c r="J102" i="1"/>
  <c r="F102" i="1" s="1"/>
  <c r="I103" i="21"/>
  <c r="D103" i="21" s="1"/>
  <c r="K103" i="21"/>
  <c r="G103" i="21" s="1"/>
  <c r="J103" i="21"/>
  <c r="F103" i="21" s="1"/>
  <c r="I102" i="1"/>
  <c r="D102" i="1" s="1"/>
  <c r="D103" i="27" l="1"/>
  <c r="E103" i="27"/>
  <c r="K104" i="24"/>
  <c r="G104" i="24" s="1"/>
  <c r="J104" i="24"/>
  <c r="F104" i="24" s="1"/>
  <c r="I104" i="24"/>
  <c r="K103" i="32"/>
  <c r="G103" i="32" s="1"/>
  <c r="D104" i="25"/>
  <c r="E104" i="25"/>
  <c r="J103" i="32"/>
  <c r="F103" i="32" s="1"/>
  <c r="E102" i="23"/>
  <c r="K103" i="23" s="1"/>
  <c r="G103" i="23" s="1"/>
  <c r="D103" i="26"/>
  <c r="E103" i="26"/>
  <c r="D104" i="31"/>
  <c r="E104" i="31"/>
  <c r="E103" i="29"/>
  <c r="D103" i="29"/>
  <c r="D103" i="32"/>
  <c r="I103" i="23"/>
  <c r="D103" i="23" s="1"/>
  <c r="J104" i="28"/>
  <c r="F104" i="28" s="1"/>
  <c r="K104" i="28"/>
  <c r="G104" i="28" s="1"/>
  <c r="I104" i="28"/>
  <c r="D104" i="28" s="1"/>
  <c r="E107" i="30"/>
  <c r="D105" i="22"/>
  <c r="E105" i="22"/>
  <c r="J104" i="20"/>
  <c r="F104" i="20" s="1"/>
  <c r="I104" i="20"/>
  <c r="K104" i="20"/>
  <c r="G104" i="20" s="1"/>
  <c r="E103" i="21"/>
  <c r="E102" i="1"/>
  <c r="J103" i="1" s="1"/>
  <c r="F103" i="1" s="1"/>
  <c r="K104" i="27" l="1"/>
  <c r="G104" i="27" s="1"/>
  <c r="J104" i="27"/>
  <c r="F104" i="27" s="1"/>
  <c r="I104" i="27"/>
  <c r="E103" i="32"/>
  <c r="J104" i="32" s="1"/>
  <c r="F104" i="32" s="1"/>
  <c r="J103" i="23"/>
  <c r="F103" i="23" s="1"/>
  <c r="D104" i="24"/>
  <c r="E104" i="24"/>
  <c r="K105" i="25"/>
  <c r="G105" i="25" s="1"/>
  <c r="J105" i="25"/>
  <c r="F105" i="25" s="1"/>
  <c r="I105" i="25"/>
  <c r="I104" i="26"/>
  <c r="K104" i="26"/>
  <c r="G104" i="26" s="1"/>
  <c r="J104" i="26"/>
  <c r="F104" i="26" s="1"/>
  <c r="J105" i="31"/>
  <c r="F105" i="31" s="1"/>
  <c r="I105" i="31"/>
  <c r="K105" i="31"/>
  <c r="G105" i="31" s="1"/>
  <c r="J104" i="29"/>
  <c r="F104" i="29" s="1"/>
  <c r="I104" i="29"/>
  <c r="D104" i="29" s="1"/>
  <c r="K104" i="29"/>
  <c r="G104" i="29" s="1"/>
  <c r="K104" i="32"/>
  <c r="G104" i="32" s="1"/>
  <c r="E104" i="28"/>
  <c r="J108" i="30"/>
  <c r="F108" i="30" s="1"/>
  <c r="I108" i="30"/>
  <c r="D108" i="30" s="1"/>
  <c r="K108" i="30"/>
  <c r="G108" i="30" s="1"/>
  <c r="J106" i="22"/>
  <c r="F106" i="22" s="1"/>
  <c r="I106" i="22"/>
  <c r="K106" i="22"/>
  <c r="G106" i="22" s="1"/>
  <c r="D104" i="20"/>
  <c r="E104" i="20"/>
  <c r="J104" i="21"/>
  <c r="F104" i="21" s="1"/>
  <c r="K104" i="21"/>
  <c r="G104" i="21" s="1"/>
  <c r="I104" i="21"/>
  <c r="D104" i="21" s="1"/>
  <c r="K103" i="1"/>
  <c r="G103" i="1" s="1"/>
  <c r="I103" i="1"/>
  <c r="D103" i="1" s="1"/>
  <c r="I104" i="32" l="1"/>
  <c r="D104" i="27"/>
  <c r="E104" i="27"/>
  <c r="E103" i="23"/>
  <c r="K104" i="23" s="1"/>
  <c r="G104" i="23" s="1"/>
  <c r="K105" i="24"/>
  <c r="G105" i="24" s="1"/>
  <c r="J105" i="24"/>
  <c r="F105" i="24" s="1"/>
  <c r="I105" i="24"/>
  <c r="D105" i="25"/>
  <c r="E105" i="25"/>
  <c r="D104" i="26"/>
  <c r="E104" i="26"/>
  <c r="D105" i="31"/>
  <c r="E105" i="31"/>
  <c r="E104" i="29"/>
  <c r="J105" i="29" s="1"/>
  <c r="F105" i="29" s="1"/>
  <c r="E104" i="32"/>
  <c r="J105" i="32" s="1"/>
  <c r="F105" i="32" s="1"/>
  <c r="D104" i="32"/>
  <c r="I105" i="28"/>
  <c r="D105" i="28" s="1"/>
  <c r="K105" i="28"/>
  <c r="G105" i="28" s="1"/>
  <c r="J105" i="28"/>
  <c r="F105" i="28" s="1"/>
  <c r="E108" i="30"/>
  <c r="D106" i="22"/>
  <c r="E106" i="22"/>
  <c r="I105" i="20"/>
  <c r="J105" i="20"/>
  <c r="F105" i="20" s="1"/>
  <c r="K105" i="20"/>
  <c r="G105" i="20" s="1"/>
  <c r="E104" i="21"/>
  <c r="E103" i="1"/>
  <c r="J104" i="1" s="1"/>
  <c r="F104" i="1" s="1"/>
  <c r="I104" i="23" l="1"/>
  <c r="D104" i="23" s="1"/>
  <c r="J104" i="23"/>
  <c r="F104" i="23" s="1"/>
  <c r="K105" i="27"/>
  <c r="G105" i="27" s="1"/>
  <c r="I105" i="27"/>
  <c r="D105" i="27" s="1"/>
  <c r="J105" i="27"/>
  <c r="F105" i="27" s="1"/>
  <c r="D105" i="24"/>
  <c r="E105" i="24"/>
  <c r="K106" i="25"/>
  <c r="G106" i="25" s="1"/>
  <c r="J106" i="25"/>
  <c r="F106" i="25" s="1"/>
  <c r="I106" i="25"/>
  <c r="I105" i="26"/>
  <c r="K105" i="26"/>
  <c r="G105" i="26" s="1"/>
  <c r="J105" i="26"/>
  <c r="F105" i="26" s="1"/>
  <c r="I106" i="31"/>
  <c r="D106" i="31" s="1"/>
  <c r="K106" i="31"/>
  <c r="G106" i="31" s="1"/>
  <c r="J106" i="31"/>
  <c r="F106" i="31" s="1"/>
  <c r="I105" i="29"/>
  <c r="K105" i="29"/>
  <c r="G105" i="29" s="1"/>
  <c r="I105" i="32"/>
  <c r="D105" i="32" s="1"/>
  <c r="K105" i="32"/>
  <c r="G105" i="32" s="1"/>
  <c r="E105" i="28"/>
  <c r="J109" i="30"/>
  <c r="F109" i="30" s="1"/>
  <c r="I109" i="30"/>
  <c r="D109" i="30" s="1"/>
  <c r="K109" i="30"/>
  <c r="G109" i="30" s="1"/>
  <c r="I107" i="22"/>
  <c r="J107" i="22"/>
  <c r="F107" i="22" s="1"/>
  <c r="K107" i="22"/>
  <c r="G107" i="22" s="1"/>
  <c r="D105" i="20"/>
  <c r="E105" i="20"/>
  <c r="I105" i="21"/>
  <c r="D105" i="21" s="1"/>
  <c r="J105" i="21"/>
  <c r="F105" i="21" s="1"/>
  <c r="K105" i="21"/>
  <c r="G105" i="21" s="1"/>
  <c r="K104" i="1"/>
  <c r="G104" i="1" s="1"/>
  <c r="I104" i="1"/>
  <c r="D104" i="1" s="1"/>
  <c r="E104" i="23" l="1"/>
  <c r="E105" i="27"/>
  <c r="K106" i="24"/>
  <c r="G106" i="24" s="1"/>
  <c r="J106" i="24"/>
  <c r="F106" i="24" s="1"/>
  <c r="I106" i="24"/>
  <c r="D106" i="25"/>
  <c r="E106" i="25"/>
  <c r="D105" i="26"/>
  <c r="E105" i="26"/>
  <c r="E106" i="31"/>
  <c r="K107" i="31" s="1"/>
  <c r="G107" i="31" s="1"/>
  <c r="D105" i="29"/>
  <c r="E105" i="29"/>
  <c r="E105" i="32"/>
  <c r="J105" i="23"/>
  <c r="F105" i="23" s="1"/>
  <c r="I105" i="23"/>
  <c r="D105" i="23" s="1"/>
  <c r="K105" i="23"/>
  <c r="G105" i="23" s="1"/>
  <c r="J106" i="28"/>
  <c r="F106" i="28" s="1"/>
  <c r="I106" i="28"/>
  <c r="D106" i="28" s="1"/>
  <c r="K106" i="28"/>
  <c r="G106" i="28" s="1"/>
  <c r="E109" i="30"/>
  <c r="D107" i="22"/>
  <c r="E107" i="22"/>
  <c r="J106" i="20"/>
  <c r="F106" i="20" s="1"/>
  <c r="I106" i="20"/>
  <c r="K106" i="20"/>
  <c r="G106" i="20" s="1"/>
  <c r="E104" i="1"/>
  <c r="J105" i="1" s="1"/>
  <c r="F105" i="1" s="1"/>
  <c r="E105" i="21"/>
  <c r="I106" i="27" l="1"/>
  <c r="D106" i="27" s="1"/>
  <c r="K106" i="27"/>
  <c r="G106" i="27" s="1"/>
  <c r="J106" i="27"/>
  <c r="F106" i="27" s="1"/>
  <c r="D106" i="24"/>
  <c r="E106" i="24"/>
  <c r="I107" i="25"/>
  <c r="D107" i="25" s="1"/>
  <c r="J107" i="25"/>
  <c r="F107" i="25" s="1"/>
  <c r="K107" i="25"/>
  <c r="G107" i="25" s="1"/>
  <c r="I106" i="26"/>
  <c r="D106" i="26" s="1"/>
  <c r="J106" i="26"/>
  <c r="F106" i="26" s="1"/>
  <c r="K106" i="26"/>
  <c r="G106" i="26" s="1"/>
  <c r="J107" i="31"/>
  <c r="F107" i="31" s="1"/>
  <c r="I107" i="31"/>
  <c r="J106" i="29"/>
  <c r="F106" i="29" s="1"/>
  <c r="K106" i="29"/>
  <c r="G106" i="29" s="1"/>
  <c r="I106" i="29"/>
  <c r="J106" i="32"/>
  <c r="F106" i="32" s="1"/>
  <c r="K106" i="32"/>
  <c r="G106" i="32" s="1"/>
  <c r="I106" i="32"/>
  <c r="E105" i="23"/>
  <c r="E106" i="28"/>
  <c r="J110" i="30"/>
  <c r="F110" i="30" s="1"/>
  <c r="I110" i="30"/>
  <c r="D110" i="30" s="1"/>
  <c r="K110" i="30"/>
  <c r="G110" i="30" s="1"/>
  <c r="J108" i="22"/>
  <c r="F108" i="22" s="1"/>
  <c r="I108" i="22"/>
  <c r="K108" i="22"/>
  <c r="G108" i="22" s="1"/>
  <c r="D106" i="20"/>
  <c r="E106" i="20"/>
  <c r="K105" i="1"/>
  <c r="G105" i="1" s="1"/>
  <c r="I105" i="1"/>
  <c r="D105" i="1" s="1"/>
  <c r="I106" i="21"/>
  <c r="J106" i="21"/>
  <c r="F106" i="21" s="1"/>
  <c r="K106" i="21"/>
  <c r="G106" i="21" s="1"/>
  <c r="E106" i="27" l="1"/>
  <c r="I107" i="24"/>
  <c r="D107" i="24" s="1"/>
  <c r="K107" i="24"/>
  <c r="G107" i="24" s="1"/>
  <c r="J107" i="24"/>
  <c r="F107" i="24" s="1"/>
  <c r="E107" i="25"/>
  <c r="E106" i="26"/>
  <c r="D107" i="31"/>
  <c r="E107" i="31"/>
  <c r="D106" i="29"/>
  <c r="E106" i="29"/>
  <c r="D106" i="32"/>
  <c r="E106" i="32"/>
  <c r="K106" i="23"/>
  <c r="G106" i="23" s="1"/>
  <c r="J106" i="23"/>
  <c r="F106" i="23" s="1"/>
  <c r="I106" i="23"/>
  <c r="D106" i="23" s="1"/>
  <c r="E110" i="30"/>
  <c r="K111" i="30" s="1"/>
  <c r="G111" i="30" s="1"/>
  <c r="J107" i="28"/>
  <c r="F107" i="28" s="1"/>
  <c r="K107" i="28"/>
  <c r="G107" i="28" s="1"/>
  <c r="I107" i="28"/>
  <c r="D107" i="28" s="1"/>
  <c r="E108" i="22"/>
  <c r="K109" i="22" s="1"/>
  <c r="G109" i="22" s="1"/>
  <c r="D108" i="22"/>
  <c r="K107" i="20"/>
  <c r="G107" i="20" s="1"/>
  <c r="J107" i="20"/>
  <c r="F107" i="20" s="1"/>
  <c r="I107" i="20"/>
  <c r="E105" i="1"/>
  <c r="J106" i="1" s="1"/>
  <c r="F106" i="1" s="1"/>
  <c r="D106" i="21"/>
  <c r="E106" i="21"/>
  <c r="I107" i="27" l="1"/>
  <c r="D107" i="27" s="1"/>
  <c r="J107" i="27"/>
  <c r="F107" i="27" s="1"/>
  <c r="K107" i="27"/>
  <c r="G107" i="27" s="1"/>
  <c r="E107" i="24"/>
  <c r="I108" i="24" s="1"/>
  <c r="D108" i="24" s="1"/>
  <c r="K108" i="25"/>
  <c r="G108" i="25" s="1"/>
  <c r="J108" i="25"/>
  <c r="F108" i="25" s="1"/>
  <c r="I108" i="25"/>
  <c r="D108" i="25" s="1"/>
  <c r="J107" i="26"/>
  <c r="F107" i="26" s="1"/>
  <c r="I107" i="26"/>
  <c r="K107" i="26"/>
  <c r="G107" i="26" s="1"/>
  <c r="J108" i="31"/>
  <c r="F108" i="31" s="1"/>
  <c r="K108" i="31"/>
  <c r="G108" i="31" s="1"/>
  <c r="I108" i="31"/>
  <c r="K107" i="29"/>
  <c r="G107" i="29" s="1"/>
  <c r="I107" i="29"/>
  <c r="D107" i="29" s="1"/>
  <c r="J107" i="29"/>
  <c r="F107" i="29" s="1"/>
  <c r="J107" i="32"/>
  <c r="F107" i="32" s="1"/>
  <c r="K107" i="32"/>
  <c r="G107" i="32" s="1"/>
  <c r="I107" i="32"/>
  <c r="D107" i="32" s="1"/>
  <c r="E106" i="23"/>
  <c r="J111" i="30"/>
  <c r="F111" i="30" s="1"/>
  <c r="I111" i="30"/>
  <c r="D111" i="30" s="1"/>
  <c r="J109" i="22"/>
  <c r="F109" i="22" s="1"/>
  <c r="E107" i="28"/>
  <c r="I109" i="22"/>
  <c r="D109" i="22" s="1"/>
  <c r="K106" i="1"/>
  <c r="G106" i="1" s="1"/>
  <c r="I106" i="1"/>
  <c r="D106" i="1" s="1"/>
  <c r="D107" i="20"/>
  <c r="E107" i="20"/>
  <c r="I107" i="21"/>
  <c r="J107" i="21"/>
  <c r="F107" i="21" s="1"/>
  <c r="K107" i="21"/>
  <c r="G107" i="21" s="1"/>
  <c r="J108" i="24" l="1"/>
  <c r="F108" i="24" s="1"/>
  <c r="K108" i="24"/>
  <c r="G108" i="24" s="1"/>
  <c r="E107" i="27"/>
  <c r="E108" i="25"/>
  <c r="D107" i="26"/>
  <c r="E107" i="26"/>
  <c r="D108" i="31"/>
  <c r="E108" i="31"/>
  <c r="E107" i="29"/>
  <c r="E107" i="32"/>
  <c r="I107" i="23"/>
  <c r="D107" i="23" s="1"/>
  <c r="K107" i="23"/>
  <c r="G107" i="23" s="1"/>
  <c r="J107" i="23"/>
  <c r="F107" i="23" s="1"/>
  <c r="E111" i="30"/>
  <c r="J112" i="30" s="1"/>
  <c r="F112" i="30" s="1"/>
  <c r="I108" i="28"/>
  <c r="D108" i="28" s="1"/>
  <c r="K108" i="28"/>
  <c r="G108" i="28" s="1"/>
  <c r="J108" i="28"/>
  <c r="F108" i="28" s="1"/>
  <c r="E109" i="22"/>
  <c r="K110" i="22" s="1"/>
  <c r="G110" i="22" s="1"/>
  <c r="E106" i="1"/>
  <c r="J107" i="1" s="1"/>
  <c r="F107" i="1" s="1"/>
  <c r="I108" i="20"/>
  <c r="D108" i="20" s="1"/>
  <c r="J108" i="20"/>
  <c r="F108" i="20" s="1"/>
  <c r="K108" i="20"/>
  <c r="G108" i="20" s="1"/>
  <c r="D107" i="21"/>
  <c r="E107" i="21"/>
  <c r="E108" i="24" l="1"/>
  <c r="I109" i="24" s="1"/>
  <c r="D109" i="24" s="1"/>
  <c r="K108" i="27"/>
  <c r="G108" i="27" s="1"/>
  <c r="I108" i="27"/>
  <c r="D108" i="27" s="1"/>
  <c r="J108" i="27"/>
  <c r="F108" i="27" s="1"/>
  <c r="J109" i="24"/>
  <c r="F109" i="24" s="1"/>
  <c r="K109" i="24"/>
  <c r="G109" i="24" s="1"/>
  <c r="K109" i="25"/>
  <c r="G109" i="25" s="1"/>
  <c r="I109" i="25"/>
  <c r="D109" i="25" s="1"/>
  <c r="J109" i="25"/>
  <c r="F109" i="25" s="1"/>
  <c r="K108" i="26"/>
  <c r="G108" i="26" s="1"/>
  <c r="I108" i="26"/>
  <c r="J108" i="26"/>
  <c r="F108" i="26" s="1"/>
  <c r="I109" i="31"/>
  <c r="D109" i="31" s="1"/>
  <c r="K109" i="31"/>
  <c r="G109" i="31" s="1"/>
  <c r="J109" i="31"/>
  <c r="F109" i="31" s="1"/>
  <c r="K108" i="29"/>
  <c r="G108" i="29" s="1"/>
  <c r="I108" i="29"/>
  <c r="J108" i="29"/>
  <c r="F108" i="29" s="1"/>
  <c r="K108" i="32"/>
  <c r="G108" i="32" s="1"/>
  <c r="I108" i="32"/>
  <c r="D108" i="32" s="1"/>
  <c r="J108" i="32"/>
  <c r="F108" i="32" s="1"/>
  <c r="E107" i="23"/>
  <c r="K112" i="30"/>
  <c r="G112" i="30" s="1"/>
  <c r="I112" i="30"/>
  <c r="D112" i="30" s="1"/>
  <c r="J110" i="22"/>
  <c r="F110" i="22" s="1"/>
  <c r="I110" i="22"/>
  <c r="D110" i="22" s="1"/>
  <c r="E108" i="28"/>
  <c r="K107" i="1"/>
  <c r="G107" i="1" s="1"/>
  <c r="I107" i="1"/>
  <c r="D107" i="1" s="1"/>
  <c r="E108" i="20"/>
  <c r="J109" i="20" s="1"/>
  <c r="F109" i="20" s="1"/>
  <c r="J108" i="21"/>
  <c r="F108" i="21" s="1"/>
  <c r="I108" i="21"/>
  <c r="K108" i="21"/>
  <c r="G108" i="21" s="1"/>
  <c r="E108" i="27" l="1"/>
  <c r="E109" i="24"/>
  <c r="I110" i="24" s="1"/>
  <c r="D110" i="24" s="1"/>
  <c r="E109" i="25"/>
  <c r="D108" i="26"/>
  <c r="E108" i="26"/>
  <c r="E109" i="31"/>
  <c r="D108" i="29"/>
  <c r="E108" i="29"/>
  <c r="E108" i="32"/>
  <c r="J108" i="23"/>
  <c r="F108" i="23" s="1"/>
  <c r="I108" i="23"/>
  <c r="D108" i="23" s="1"/>
  <c r="K108" i="23"/>
  <c r="G108" i="23" s="1"/>
  <c r="E112" i="30"/>
  <c r="J113" i="30" s="1"/>
  <c r="F113" i="30" s="1"/>
  <c r="E110" i="22"/>
  <c r="K111" i="22" s="1"/>
  <c r="G111" i="22" s="1"/>
  <c r="K109" i="28"/>
  <c r="G109" i="28" s="1"/>
  <c r="I109" i="28"/>
  <c r="D109" i="28" s="1"/>
  <c r="J109" i="28"/>
  <c r="F109" i="28" s="1"/>
  <c r="E107" i="1"/>
  <c r="J108" i="1" s="1"/>
  <c r="F108" i="1" s="1"/>
  <c r="K109" i="20"/>
  <c r="G109" i="20" s="1"/>
  <c r="I109" i="20"/>
  <c r="D109" i="20" s="1"/>
  <c r="D108" i="21"/>
  <c r="E108" i="21"/>
  <c r="K110" i="24" l="1"/>
  <c r="G110" i="24" s="1"/>
  <c r="J110" i="24"/>
  <c r="F110" i="24" s="1"/>
  <c r="J109" i="27"/>
  <c r="F109" i="27" s="1"/>
  <c r="I109" i="27"/>
  <c r="D109" i="27" s="1"/>
  <c r="K109" i="27"/>
  <c r="G109" i="27" s="1"/>
  <c r="I110" i="25"/>
  <c r="D110" i="25" s="1"/>
  <c r="K110" i="25"/>
  <c r="G110" i="25" s="1"/>
  <c r="J110" i="25"/>
  <c r="F110" i="25" s="1"/>
  <c r="K109" i="26"/>
  <c r="G109" i="26" s="1"/>
  <c r="J109" i="26"/>
  <c r="F109" i="26" s="1"/>
  <c r="I109" i="26"/>
  <c r="K110" i="31"/>
  <c r="G110" i="31" s="1"/>
  <c r="J110" i="31"/>
  <c r="F110" i="31" s="1"/>
  <c r="I110" i="31"/>
  <c r="J109" i="29"/>
  <c r="F109" i="29" s="1"/>
  <c r="I109" i="29"/>
  <c r="K109" i="29"/>
  <c r="G109" i="29" s="1"/>
  <c r="J109" i="32"/>
  <c r="F109" i="32" s="1"/>
  <c r="K109" i="32"/>
  <c r="G109" i="32" s="1"/>
  <c r="I109" i="32"/>
  <c r="D109" i="32" s="1"/>
  <c r="E108" i="23"/>
  <c r="K109" i="23" s="1"/>
  <c r="G109" i="23" s="1"/>
  <c r="K113" i="30"/>
  <c r="G113" i="30" s="1"/>
  <c r="I113" i="30"/>
  <c r="D113" i="30" s="1"/>
  <c r="I111" i="22"/>
  <c r="D111" i="22" s="1"/>
  <c r="J111" i="22"/>
  <c r="F111" i="22" s="1"/>
  <c r="E109" i="28"/>
  <c r="J110" i="28" s="1"/>
  <c r="F110" i="28" s="1"/>
  <c r="K108" i="1"/>
  <c r="G108" i="1" s="1"/>
  <c r="I108" i="1"/>
  <c r="D108" i="1" s="1"/>
  <c r="E109" i="20"/>
  <c r="J110" i="20" s="1"/>
  <c r="F110" i="20" s="1"/>
  <c r="K109" i="21"/>
  <c r="G109" i="21" s="1"/>
  <c r="J109" i="21"/>
  <c r="F109" i="21" s="1"/>
  <c r="I109" i="21"/>
  <c r="E110" i="24" l="1"/>
  <c r="I111" i="24" s="1"/>
  <c r="D111" i="24" s="1"/>
  <c r="E109" i="27"/>
  <c r="K111" i="24"/>
  <c r="G111" i="24" s="1"/>
  <c r="E110" i="25"/>
  <c r="D109" i="26"/>
  <c r="E109" i="26"/>
  <c r="D110" i="31"/>
  <c r="E110" i="31"/>
  <c r="D109" i="29"/>
  <c r="E109" i="29"/>
  <c r="J109" i="23"/>
  <c r="F109" i="23" s="1"/>
  <c r="I109" i="23"/>
  <c r="D109" i="23" s="1"/>
  <c r="E109" i="32"/>
  <c r="E113" i="30"/>
  <c r="J114" i="30" s="1"/>
  <c r="F114" i="30" s="1"/>
  <c r="E111" i="22"/>
  <c r="I112" i="22" s="1"/>
  <c r="I110" i="28"/>
  <c r="D110" i="28" s="1"/>
  <c r="K110" i="28"/>
  <c r="G110" i="28" s="1"/>
  <c r="E108" i="1"/>
  <c r="J109" i="1" s="1"/>
  <c r="F109" i="1" s="1"/>
  <c r="K110" i="20"/>
  <c r="G110" i="20" s="1"/>
  <c r="I110" i="20"/>
  <c r="D109" i="21"/>
  <c r="E109" i="21"/>
  <c r="J111" i="24" l="1"/>
  <c r="I110" i="27"/>
  <c r="D110" i="27" s="1"/>
  <c r="J110" i="27"/>
  <c r="F110" i="27" s="1"/>
  <c r="K110" i="27"/>
  <c r="G110" i="27" s="1"/>
  <c r="F111" i="24"/>
  <c r="E111" i="24"/>
  <c r="K111" i="25"/>
  <c r="G111" i="25" s="1"/>
  <c r="I111" i="25"/>
  <c r="D111" i="25" s="1"/>
  <c r="J111" i="25"/>
  <c r="F111" i="25" s="1"/>
  <c r="K110" i="26"/>
  <c r="G110" i="26" s="1"/>
  <c r="J110" i="26"/>
  <c r="F110" i="26" s="1"/>
  <c r="I110" i="26"/>
  <c r="I111" i="31"/>
  <c r="D111" i="31" s="1"/>
  <c r="K111" i="31"/>
  <c r="G111" i="31" s="1"/>
  <c r="J111" i="31"/>
  <c r="F111" i="31" s="1"/>
  <c r="K114" i="30"/>
  <c r="G114" i="30" s="1"/>
  <c r="I114" i="30"/>
  <c r="D114" i="30" s="1"/>
  <c r="J110" i="29"/>
  <c r="F110" i="29" s="1"/>
  <c r="K110" i="29"/>
  <c r="G110" i="29" s="1"/>
  <c r="I110" i="29"/>
  <c r="E109" i="23"/>
  <c r="K110" i="23" s="1"/>
  <c r="G110" i="23" s="1"/>
  <c r="I110" i="32"/>
  <c r="D110" i="32" s="1"/>
  <c r="J110" i="32"/>
  <c r="F110" i="32" s="1"/>
  <c r="K110" i="32"/>
  <c r="G110" i="32" s="1"/>
  <c r="J112" i="22"/>
  <c r="F112" i="22" s="1"/>
  <c r="K112" i="22"/>
  <c r="G112" i="22" s="1"/>
  <c r="E110" i="28"/>
  <c r="K111" i="28" s="1"/>
  <c r="G111" i="28" s="1"/>
  <c r="K109" i="1"/>
  <c r="G109" i="1" s="1"/>
  <c r="D112" i="22"/>
  <c r="I109" i="1"/>
  <c r="D109" i="1" s="1"/>
  <c r="D110" i="20"/>
  <c r="E110" i="20"/>
  <c r="J110" i="21"/>
  <c r="F110" i="21" s="1"/>
  <c r="I110" i="21"/>
  <c r="K110" i="21"/>
  <c r="G110" i="21" s="1"/>
  <c r="E110" i="27" l="1"/>
  <c r="J112" i="24"/>
  <c r="F112" i="24" s="1"/>
  <c r="I112" i="24"/>
  <c r="K112" i="24"/>
  <c r="G112" i="24" s="1"/>
  <c r="E111" i="25"/>
  <c r="D110" i="26"/>
  <c r="E110" i="26"/>
  <c r="E111" i="31"/>
  <c r="E114" i="30"/>
  <c r="K115" i="30" s="1"/>
  <c r="G115" i="30" s="1"/>
  <c r="D110" i="29"/>
  <c r="E110" i="29"/>
  <c r="I110" i="23"/>
  <c r="J110" i="23"/>
  <c r="F110" i="23" s="1"/>
  <c r="E110" i="32"/>
  <c r="E112" i="22"/>
  <c r="J113" i="22" s="1"/>
  <c r="F113" i="22" s="1"/>
  <c r="I111" i="28"/>
  <c r="D111" i="28" s="1"/>
  <c r="J111" i="28"/>
  <c r="F111" i="28" s="1"/>
  <c r="E109" i="1"/>
  <c r="J110" i="1" s="1"/>
  <c r="F110" i="1" s="1"/>
  <c r="J111" i="20"/>
  <c r="F111" i="20" s="1"/>
  <c r="K111" i="20"/>
  <c r="G111" i="20" s="1"/>
  <c r="I111" i="20"/>
  <c r="D110" i="21"/>
  <c r="E110" i="21"/>
  <c r="K111" i="27" l="1"/>
  <c r="G111" i="27" s="1"/>
  <c r="J111" i="27"/>
  <c r="F111" i="27" s="1"/>
  <c r="I111" i="27"/>
  <c r="D111" i="27" s="1"/>
  <c r="E112" i="24"/>
  <c r="D112" i="24"/>
  <c r="I112" i="25"/>
  <c r="D112" i="25" s="1"/>
  <c r="K112" i="25"/>
  <c r="G112" i="25" s="1"/>
  <c r="J112" i="25"/>
  <c r="F112" i="25" s="1"/>
  <c r="J115" i="30"/>
  <c r="F115" i="30" s="1"/>
  <c r="J111" i="26"/>
  <c r="F111" i="26" s="1"/>
  <c r="K111" i="26"/>
  <c r="G111" i="26" s="1"/>
  <c r="I111" i="26"/>
  <c r="D111" i="26" s="1"/>
  <c r="K112" i="31"/>
  <c r="G112" i="31" s="1"/>
  <c r="J112" i="31"/>
  <c r="F112" i="31" s="1"/>
  <c r="I112" i="31"/>
  <c r="I115" i="30"/>
  <c r="D115" i="30" s="1"/>
  <c r="K111" i="29"/>
  <c r="G111" i="29" s="1"/>
  <c r="J111" i="29"/>
  <c r="F111" i="29" s="1"/>
  <c r="I111" i="29"/>
  <c r="D111" i="29" s="1"/>
  <c r="I113" i="22"/>
  <c r="D113" i="22" s="1"/>
  <c r="K113" i="22"/>
  <c r="G113" i="22" s="1"/>
  <c r="D110" i="23"/>
  <c r="E110" i="23"/>
  <c r="K111" i="32"/>
  <c r="G111" i="32" s="1"/>
  <c r="I111" i="32"/>
  <c r="D111" i="32" s="1"/>
  <c r="J111" i="32"/>
  <c r="F111" i="32" s="1"/>
  <c r="I110" i="1"/>
  <c r="D110" i="1" s="1"/>
  <c r="K110" i="1"/>
  <c r="G110" i="1" s="1"/>
  <c r="E111" i="28"/>
  <c r="J112" i="28" s="1"/>
  <c r="F112" i="28" s="1"/>
  <c r="D111" i="20"/>
  <c r="E111" i="20"/>
  <c r="K111" i="21"/>
  <c r="G111" i="21" s="1"/>
  <c r="I111" i="21"/>
  <c r="J111" i="21"/>
  <c r="F111" i="21" s="1"/>
  <c r="E111" i="27" l="1"/>
  <c r="I113" i="24"/>
  <c r="J113" i="24"/>
  <c r="F113" i="24" s="1"/>
  <c r="K113" i="24"/>
  <c r="G113" i="24" s="1"/>
  <c r="E112" i="25"/>
  <c r="E111" i="26"/>
  <c r="D112" i="31"/>
  <c r="E112" i="31"/>
  <c r="E115" i="30"/>
  <c r="K116" i="30" s="1"/>
  <c r="G116" i="30" s="1"/>
  <c r="E111" i="29"/>
  <c r="E113" i="22"/>
  <c r="I114" i="22" s="1"/>
  <c r="E111" i="32"/>
  <c r="K112" i="32" s="1"/>
  <c r="G112" i="32" s="1"/>
  <c r="I111" i="23"/>
  <c r="D111" i="23" s="1"/>
  <c r="J111" i="23"/>
  <c r="F111" i="23" s="1"/>
  <c r="K111" i="23"/>
  <c r="G111" i="23" s="1"/>
  <c r="E110" i="1"/>
  <c r="J111" i="1" s="1"/>
  <c r="F111" i="1" s="1"/>
  <c r="K112" i="28"/>
  <c r="G112" i="28" s="1"/>
  <c r="I112" i="28"/>
  <c r="D112" i="28" s="1"/>
  <c r="I112" i="20"/>
  <c r="K112" i="20"/>
  <c r="G112" i="20" s="1"/>
  <c r="J112" i="20"/>
  <c r="F112" i="20" s="1"/>
  <c r="D111" i="21"/>
  <c r="E111" i="21"/>
  <c r="K112" i="27" l="1"/>
  <c r="G112" i="27" s="1"/>
  <c r="I112" i="27"/>
  <c r="D112" i="27" s="1"/>
  <c r="J112" i="27"/>
  <c r="F112" i="27" s="1"/>
  <c r="D113" i="24"/>
  <c r="E113" i="24"/>
  <c r="I113" i="25"/>
  <c r="D113" i="25" s="1"/>
  <c r="J113" i="25"/>
  <c r="F113" i="25" s="1"/>
  <c r="K113" i="25"/>
  <c r="G113" i="25" s="1"/>
  <c r="K112" i="26"/>
  <c r="G112" i="26" s="1"/>
  <c r="J112" i="26"/>
  <c r="F112" i="26" s="1"/>
  <c r="I112" i="26"/>
  <c r="D112" i="26" s="1"/>
  <c r="K114" i="22"/>
  <c r="G114" i="22" s="1"/>
  <c r="J114" i="22"/>
  <c r="F114" i="22" s="1"/>
  <c r="I116" i="30"/>
  <c r="D116" i="30" s="1"/>
  <c r="I113" i="31"/>
  <c r="D113" i="31" s="1"/>
  <c r="J113" i="31"/>
  <c r="F113" i="31" s="1"/>
  <c r="K113" i="31"/>
  <c r="G113" i="31" s="1"/>
  <c r="J116" i="30"/>
  <c r="F116" i="30" s="1"/>
  <c r="J112" i="32"/>
  <c r="F112" i="32" s="1"/>
  <c r="I112" i="32"/>
  <c r="D112" i="32" s="1"/>
  <c r="K112" i="29"/>
  <c r="G112" i="29" s="1"/>
  <c r="I112" i="29"/>
  <c r="D112" i="29" s="1"/>
  <c r="J112" i="29"/>
  <c r="F112" i="29" s="1"/>
  <c r="E111" i="23"/>
  <c r="I111" i="1"/>
  <c r="D111" i="1" s="1"/>
  <c r="K111" i="1"/>
  <c r="G111" i="1" s="1"/>
  <c r="E112" i="28"/>
  <c r="I113" i="28" s="1"/>
  <c r="D113" i="28" s="1"/>
  <c r="D114" i="22"/>
  <c r="D112" i="20"/>
  <c r="E112" i="20"/>
  <c r="K112" i="21"/>
  <c r="G112" i="21" s="1"/>
  <c r="I112" i="21"/>
  <c r="J112" i="21"/>
  <c r="F112" i="21" s="1"/>
  <c r="E112" i="27" l="1"/>
  <c r="K114" i="24"/>
  <c r="G114" i="24" s="1"/>
  <c r="J114" i="24"/>
  <c r="F114" i="24" s="1"/>
  <c r="I114" i="24"/>
  <c r="E114" i="22"/>
  <c r="J115" i="22" s="1"/>
  <c r="F115" i="22" s="1"/>
  <c r="E113" i="25"/>
  <c r="J114" i="25" s="1"/>
  <c r="F114" i="25" s="1"/>
  <c r="E112" i="26"/>
  <c r="E116" i="30"/>
  <c r="I117" i="30" s="1"/>
  <c r="D117" i="30" s="1"/>
  <c r="E113" i="31"/>
  <c r="E112" i="32"/>
  <c r="J113" i="32" s="1"/>
  <c r="F113" i="32" s="1"/>
  <c r="E112" i="29"/>
  <c r="K112" i="23"/>
  <c r="G112" i="23" s="1"/>
  <c r="I112" i="23"/>
  <c r="D112" i="23" s="1"/>
  <c r="J112" i="23"/>
  <c r="F112" i="23" s="1"/>
  <c r="E111" i="1"/>
  <c r="J112" i="1" s="1"/>
  <c r="F112" i="1" s="1"/>
  <c r="K113" i="28"/>
  <c r="G113" i="28" s="1"/>
  <c r="J113" i="28"/>
  <c r="F113" i="28" s="1"/>
  <c r="J113" i="20"/>
  <c r="F113" i="20" s="1"/>
  <c r="I113" i="20"/>
  <c r="K113" i="20"/>
  <c r="G113" i="20" s="1"/>
  <c r="D112" i="21"/>
  <c r="E112" i="21"/>
  <c r="K113" i="27" l="1"/>
  <c r="G113" i="27" s="1"/>
  <c r="I113" i="27"/>
  <c r="D113" i="27" s="1"/>
  <c r="J113" i="27"/>
  <c r="F113" i="27" s="1"/>
  <c r="K115" i="22"/>
  <c r="G115" i="22" s="1"/>
  <c r="I115" i="22"/>
  <c r="D115" i="22" s="1"/>
  <c r="D114" i="24"/>
  <c r="E114" i="24"/>
  <c r="K117" i="30"/>
  <c r="G117" i="30" s="1"/>
  <c r="K114" i="25"/>
  <c r="G114" i="25" s="1"/>
  <c r="I114" i="25"/>
  <c r="D114" i="25" s="1"/>
  <c r="J117" i="30"/>
  <c r="F117" i="30" s="1"/>
  <c r="I113" i="32"/>
  <c r="D113" i="32" s="1"/>
  <c r="I112" i="1"/>
  <c r="K113" i="32"/>
  <c r="G113" i="32" s="1"/>
  <c r="J113" i="26"/>
  <c r="F113" i="26" s="1"/>
  <c r="I113" i="26"/>
  <c r="D113" i="26" s="1"/>
  <c r="K113" i="26"/>
  <c r="G113" i="26" s="1"/>
  <c r="K114" i="31"/>
  <c r="G114" i="31" s="1"/>
  <c r="I114" i="31"/>
  <c r="D114" i="31" s="1"/>
  <c r="J114" i="31"/>
  <c r="F114" i="31" s="1"/>
  <c r="K112" i="1"/>
  <c r="G112" i="1" s="1"/>
  <c r="J113" i="29"/>
  <c r="F113" i="29" s="1"/>
  <c r="I113" i="29"/>
  <c r="D113" i="29" s="1"/>
  <c r="K113" i="29"/>
  <c r="G113" i="29" s="1"/>
  <c r="E112" i="23"/>
  <c r="E113" i="28"/>
  <c r="I114" i="28" s="1"/>
  <c r="D114" i="28" s="1"/>
  <c r="D113" i="20"/>
  <c r="E113" i="20"/>
  <c r="J113" i="21"/>
  <c r="F113" i="21" s="1"/>
  <c r="I113" i="21"/>
  <c r="K113" i="21"/>
  <c r="G113" i="21" s="1"/>
  <c r="D112" i="1"/>
  <c r="E113" i="27" l="1"/>
  <c r="E115" i="22"/>
  <c r="I115" i="24"/>
  <c r="J115" i="24"/>
  <c r="F115" i="24" s="1"/>
  <c r="K115" i="24"/>
  <c r="G115" i="24" s="1"/>
  <c r="E114" i="25"/>
  <c r="I115" i="25" s="1"/>
  <c r="E117" i="30"/>
  <c r="K118" i="30" s="1"/>
  <c r="G118" i="30" s="1"/>
  <c r="E113" i="32"/>
  <c r="K114" i="32" s="1"/>
  <c r="G114" i="32" s="1"/>
  <c r="E113" i="26"/>
  <c r="E112" i="1"/>
  <c r="J113" i="1" s="1"/>
  <c r="F113" i="1" s="1"/>
  <c r="E114" i="31"/>
  <c r="E113" i="29"/>
  <c r="J113" i="23"/>
  <c r="F113" i="23" s="1"/>
  <c r="I113" i="23"/>
  <c r="D113" i="23" s="1"/>
  <c r="K113" i="23"/>
  <c r="G113" i="23" s="1"/>
  <c r="K114" i="28"/>
  <c r="G114" i="28" s="1"/>
  <c r="J114" i="28"/>
  <c r="F114" i="28" s="1"/>
  <c r="J116" i="22"/>
  <c r="F116" i="22" s="1"/>
  <c r="I116" i="22"/>
  <c r="D116" i="22" s="1"/>
  <c r="K116" i="22"/>
  <c r="G116" i="22" s="1"/>
  <c r="J114" i="20"/>
  <c r="F114" i="20" s="1"/>
  <c r="I114" i="20"/>
  <c r="K114" i="20"/>
  <c r="G114" i="20" s="1"/>
  <c r="D113" i="21"/>
  <c r="E113" i="21"/>
  <c r="K113" i="1"/>
  <c r="G113" i="1" s="1"/>
  <c r="J114" i="27" l="1"/>
  <c r="F114" i="27" s="1"/>
  <c r="I114" i="27"/>
  <c r="D114" i="27" s="1"/>
  <c r="K114" i="27"/>
  <c r="G114" i="27" s="1"/>
  <c r="I118" i="30"/>
  <c r="D118" i="30" s="1"/>
  <c r="J118" i="30"/>
  <c r="F118" i="30" s="1"/>
  <c r="I113" i="1"/>
  <c r="D113" i="1" s="1"/>
  <c r="J114" i="32"/>
  <c r="F114" i="32" s="1"/>
  <c r="J115" i="25"/>
  <c r="F115" i="25" s="1"/>
  <c r="D115" i="24"/>
  <c r="E115" i="24"/>
  <c r="K115" i="25"/>
  <c r="G115" i="25" s="1"/>
  <c r="D115" i="25"/>
  <c r="I114" i="32"/>
  <c r="D114" i="32" s="1"/>
  <c r="I114" i="26"/>
  <c r="D114" i="26" s="1"/>
  <c r="K114" i="26"/>
  <c r="G114" i="26" s="1"/>
  <c r="J114" i="26"/>
  <c r="F114" i="26" s="1"/>
  <c r="I115" i="31"/>
  <c r="D115" i="31" s="1"/>
  <c r="J115" i="31"/>
  <c r="F115" i="31" s="1"/>
  <c r="K115" i="31"/>
  <c r="G115" i="31" s="1"/>
  <c r="E118" i="30"/>
  <c r="K119" i="30" s="1"/>
  <c r="G119" i="30" s="1"/>
  <c r="J114" i="29"/>
  <c r="F114" i="29" s="1"/>
  <c r="I114" i="29"/>
  <c r="D114" i="29" s="1"/>
  <c r="K114" i="29"/>
  <c r="G114" i="29" s="1"/>
  <c r="E113" i="23"/>
  <c r="J114" i="23" s="1"/>
  <c r="F114" i="23" s="1"/>
  <c r="E114" i="28"/>
  <c r="I115" i="28" s="1"/>
  <c r="D115" i="28" s="1"/>
  <c r="E116" i="22"/>
  <c r="D114" i="20"/>
  <c r="E114" i="20"/>
  <c r="K114" i="21"/>
  <c r="G114" i="21" s="1"/>
  <c r="I114" i="21"/>
  <c r="D114" i="21" s="1"/>
  <c r="J114" i="21"/>
  <c r="F114" i="21" s="1"/>
  <c r="E114" i="27" l="1"/>
  <c r="E113" i="1"/>
  <c r="J114" i="1" s="1"/>
  <c r="F114" i="1" s="1"/>
  <c r="J116" i="24"/>
  <c r="F116" i="24" s="1"/>
  <c r="K116" i="24"/>
  <c r="G116" i="24" s="1"/>
  <c r="I116" i="24"/>
  <c r="E115" i="25"/>
  <c r="J116" i="25" s="1"/>
  <c r="F116" i="25" s="1"/>
  <c r="E114" i="32"/>
  <c r="J115" i="32" s="1"/>
  <c r="F115" i="32" s="1"/>
  <c r="I119" i="30"/>
  <c r="D119" i="30" s="1"/>
  <c r="E114" i="26"/>
  <c r="E115" i="31"/>
  <c r="J119" i="30"/>
  <c r="F119" i="30" s="1"/>
  <c r="E114" i="29"/>
  <c r="K114" i="23"/>
  <c r="G114" i="23" s="1"/>
  <c r="I114" i="23"/>
  <c r="D114" i="23" s="1"/>
  <c r="K115" i="28"/>
  <c r="G115" i="28" s="1"/>
  <c r="J115" i="28"/>
  <c r="F115" i="28" s="1"/>
  <c r="K117" i="22"/>
  <c r="G117" i="22" s="1"/>
  <c r="I117" i="22"/>
  <c r="J117" i="22"/>
  <c r="F117" i="22" s="1"/>
  <c r="I115" i="20"/>
  <c r="K115" i="20"/>
  <c r="G115" i="20" s="1"/>
  <c r="J115" i="20"/>
  <c r="F115" i="20" s="1"/>
  <c r="E114" i="21"/>
  <c r="K114" i="1"/>
  <c r="G114" i="1" s="1"/>
  <c r="K115" i="27" l="1"/>
  <c r="G115" i="27" s="1"/>
  <c r="J115" i="27"/>
  <c r="F115" i="27" s="1"/>
  <c r="I115" i="27"/>
  <c r="D115" i="27" s="1"/>
  <c r="I114" i="1"/>
  <c r="D114" i="1" s="1"/>
  <c r="D116" i="24"/>
  <c r="E116" i="24"/>
  <c r="I116" i="25"/>
  <c r="D116" i="25" s="1"/>
  <c r="K116" i="25"/>
  <c r="G116" i="25" s="1"/>
  <c r="K115" i="32"/>
  <c r="G115" i="32" s="1"/>
  <c r="I115" i="32"/>
  <c r="D115" i="32" s="1"/>
  <c r="E119" i="30"/>
  <c r="J120" i="30" s="1"/>
  <c r="F120" i="30" s="1"/>
  <c r="J115" i="26"/>
  <c r="F115" i="26" s="1"/>
  <c r="I115" i="26"/>
  <c r="D115" i="26" s="1"/>
  <c r="K115" i="26"/>
  <c r="G115" i="26" s="1"/>
  <c r="K116" i="31"/>
  <c r="G116" i="31" s="1"/>
  <c r="I116" i="31"/>
  <c r="D116" i="31" s="1"/>
  <c r="J116" i="31"/>
  <c r="F116" i="31" s="1"/>
  <c r="I115" i="29"/>
  <c r="D115" i="29" s="1"/>
  <c r="J115" i="29"/>
  <c r="F115" i="29" s="1"/>
  <c r="K115" i="29"/>
  <c r="G115" i="29" s="1"/>
  <c r="E114" i="23"/>
  <c r="K115" i="23" s="1"/>
  <c r="G115" i="23" s="1"/>
  <c r="E115" i="28"/>
  <c r="K116" i="28" s="1"/>
  <c r="G116" i="28" s="1"/>
  <c r="E117" i="22"/>
  <c r="D117" i="22"/>
  <c r="D115" i="20"/>
  <c r="E115" i="20"/>
  <c r="I115" i="21"/>
  <c r="J115" i="21"/>
  <c r="F115" i="21" s="1"/>
  <c r="K115" i="21"/>
  <c r="G115" i="21" s="1"/>
  <c r="E114" i="1" l="1"/>
  <c r="J115" i="1" s="1"/>
  <c r="F115" i="1" s="1"/>
  <c r="E115" i="27"/>
  <c r="I117" i="24"/>
  <c r="D117" i="24" s="1"/>
  <c r="J117" i="24"/>
  <c r="F117" i="24" s="1"/>
  <c r="K117" i="24"/>
  <c r="G117" i="24" s="1"/>
  <c r="K120" i="30"/>
  <c r="G120" i="30" s="1"/>
  <c r="E116" i="25"/>
  <c r="K117" i="25" s="1"/>
  <c r="G117" i="25" s="1"/>
  <c r="I120" i="30"/>
  <c r="D120" i="30" s="1"/>
  <c r="E115" i="32"/>
  <c r="I116" i="32" s="1"/>
  <c r="E115" i="26"/>
  <c r="E116" i="31"/>
  <c r="K117" i="31" s="1"/>
  <c r="G117" i="31" s="1"/>
  <c r="E115" i="29"/>
  <c r="I116" i="29" s="1"/>
  <c r="J116" i="28"/>
  <c r="F116" i="28" s="1"/>
  <c r="J115" i="23"/>
  <c r="F115" i="23" s="1"/>
  <c r="I115" i="23"/>
  <c r="D115" i="23" s="1"/>
  <c r="I116" i="28"/>
  <c r="K118" i="22"/>
  <c r="G118" i="22" s="1"/>
  <c r="J118" i="22"/>
  <c r="F118" i="22" s="1"/>
  <c r="I118" i="22"/>
  <c r="D118" i="22" s="1"/>
  <c r="I116" i="20"/>
  <c r="K116" i="20"/>
  <c r="G116" i="20" s="1"/>
  <c r="J116" i="20"/>
  <c r="F116" i="20" s="1"/>
  <c r="D115" i="21"/>
  <c r="E115" i="21"/>
  <c r="I115" i="1"/>
  <c r="D115" i="1" s="1"/>
  <c r="K115" i="1"/>
  <c r="G115" i="1" s="1"/>
  <c r="J117" i="25" l="1"/>
  <c r="F117" i="25" s="1"/>
  <c r="I116" i="27"/>
  <c r="D116" i="27" s="1"/>
  <c r="J116" i="27"/>
  <c r="F116" i="27" s="1"/>
  <c r="K116" i="27"/>
  <c r="G116" i="27" s="1"/>
  <c r="J116" i="32"/>
  <c r="F116" i="32" s="1"/>
  <c r="E120" i="30"/>
  <c r="K121" i="30" s="1"/>
  <c r="G121" i="30" s="1"/>
  <c r="I117" i="25"/>
  <c r="E117" i="25" s="1"/>
  <c r="E117" i="24"/>
  <c r="K116" i="32"/>
  <c r="G116" i="32" s="1"/>
  <c r="I117" i="31"/>
  <c r="D117" i="31" s="1"/>
  <c r="J117" i="31"/>
  <c r="F117" i="31" s="1"/>
  <c r="I116" i="26"/>
  <c r="D116" i="26" s="1"/>
  <c r="K116" i="26"/>
  <c r="G116" i="26" s="1"/>
  <c r="J116" i="26"/>
  <c r="F116" i="26" s="1"/>
  <c r="E116" i="28"/>
  <c r="J117" i="28" s="1"/>
  <c r="F117" i="28" s="1"/>
  <c r="J116" i="29"/>
  <c r="F116" i="29" s="1"/>
  <c r="K116" i="29"/>
  <c r="G116" i="29" s="1"/>
  <c r="D116" i="28"/>
  <c r="D116" i="29"/>
  <c r="E115" i="23"/>
  <c r="J116" i="23" s="1"/>
  <c r="F116" i="23" s="1"/>
  <c r="D116" i="32"/>
  <c r="I121" i="30"/>
  <c r="J121" i="30"/>
  <c r="F121" i="30" s="1"/>
  <c r="E118" i="22"/>
  <c r="D116" i="20"/>
  <c r="E116" i="20"/>
  <c r="I116" i="21"/>
  <c r="D116" i="21" s="1"/>
  <c r="J116" i="21"/>
  <c r="F116" i="21" s="1"/>
  <c r="K116" i="21"/>
  <c r="G116" i="21" s="1"/>
  <c r="E115" i="1"/>
  <c r="J116" i="1" s="1"/>
  <c r="F116" i="1" s="1"/>
  <c r="E116" i="27" l="1"/>
  <c r="K117" i="27" s="1"/>
  <c r="G117" i="27" s="1"/>
  <c r="D117" i="25"/>
  <c r="I117" i="28"/>
  <c r="D117" i="28" s="1"/>
  <c r="E116" i="32"/>
  <c r="K117" i="32" s="1"/>
  <c r="G117" i="32" s="1"/>
  <c r="J118" i="24"/>
  <c r="F118" i="24" s="1"/>
  <c r="K118" i="24"/>
  <c r="G118" i="24" s="1"/>
  <c r="I118" i="24"/>
  <c r="K117" i="28"/>
  <c r="G117" i="28" s="1"/>
  <c r="J118" i="25"/>
  <c r="F118" i="25" s="1"/>
  <c r="I118" i="25"/>
  <c r="K118" i="25"/>
  <c r="G118" i="25" s="1"/>
  <c r="E117" i="31"/>
  <c r="I118" i="31" s="1"/>
  <c r="E116" i="26"/>
  <c r="E116" i="29"/>
  <c r="K117" i="29" s="1"/>
  <c r="G117" i="29" s="1"/>
  <c r="I116" i="23"/>
  <c r="D116" i="23" s="1"/>
  <c r="K116" i="23"/>
  <c r="G116" i="23" s="1"/>
  <c r="E121" i="30"/>
  <c r="D121" i="30"/>
  <c r="J119" i="22"/>
  <c r="F119" i="22" s="1"/>
  <c r="I119" i="22"/>
  <c r="K119" i="22"/>
  <c r="G119" i="22" s="1"/>
  <c r="I117" i="20"/>
  <c r="K117" i="20"/>
  <c r="G117" i="20" s="1"/>
  <c r="J117" i="20"/>
  <c r="F117" i="20" s="1"/>
  <c r="E116" i="21"/>
  <c r="J117" i="21" s="1"/>
  <c r="F117" i="21" s="1"/>
  <c r="I116" i="1"/>
  <c r="D116" i="1" s="1"/>
  <c r="K116" i="1"/>
  <c r="G116" i="1" s="1"/>
  <c r="I117" i="27" l="1"/>
  <c r="D117" i="27" s="1"/>
  <c r="J117" i="27"/>
  <c r="F117" i="27" s="1"/>
  <c r="E117" i="28"/>
  <c r="I117" i="32"/>
  <c r="D117" i="32" s="1"/>
  <c r="J117" i="32"/>
  <c r="F117" i="32" s="1"/>
  <c r="D118" i="24"/>
  <c r="E118" i="24"/>
  <c r="J118" i="31"/>
  <c r="F118" i="31" s="1"/>
  <c r="K118" i="31"/>
  <c r="G118" i="31" s="1"/>
  <c r="D118" i="25"/>
  <c r="E118" i="25"/>
  <c r="I117" i="29"/>
  <c r="D117" i="29" s="1"/>
  <c r="J117" i="29"/>
  <c r="F117" i="29" s="1"/>
  <c r="K117" i="26"/>
  <c r="G117" i="26" s="1"/>
  <c r="J117" i="26"/>
  <c r="F117" i="26" s="1"/>
  <c r="I117" i="26"/>
  <c r="D117" i="26" s="1"/>
  <c r="D118" i="31"/>
  <c r="E116" i="23"/>
  <c r="I117" i="23" s="1"/>
  <c r="D117" i="23" s="1"/>
  <c r="K118" i="28"/>
  <c r="G118" i="28" s="1"/>
  <c r="I118" i="28"/>
  <c r="D118" i="28" s="1"/>
  <c r="J118" i="28"/>
  <c r="F118" i="28" s="1"/>
  <c r="J122" i="30"/>
  <c r="F122" i="30" s="1"/>
  <c r="K122" i="30"/>
  <c r="G122" i="30" s="1"/>
  <c r="I122" i="30"/>
  <c r="D119" i="22"/>
  <c r="E119" i="22"/>
  <c r="D117" i="20"/>
  <c r="E117" i="20"/>
  <c r="K117" i="21"/>
  <c r="G117" i="21" s="1"/>
  <c r="I117" i="21"/>
  <c r="D117" i="21" s="1"/>
  <c r="E116" i="1"/>
  <c r="I117" i="1" s="1"/>
  <c r="E117" i="27" l="1"/>
  <c r="J118" i="27" s="1"/>
  <c r="F118" i="27" s="1"/>
  <c r="E117" i="32"/>
  <c r="I118" i="32" s="1"/>
  <c r="K118" i="27"/>
  <c r="G118" i="27" s="1"/>
  <c r="J119" i="24"/>
  <c r="F119" i="24" s="1"/>
  <c r="I119" i="24"/>
  <c r="D119" i="24" s="1"/>
  <c r="K119" i="24"/>
  <c r="G119" i="24" s="1"/>
  <c r="E118" i="31"/>
  <c r="J119" i="31" s="1"/>
  <c r="F119" i="31" s="1"/>
  <c r="J119" i="25"/>
  <c r="F119" i="25" s="1"/>
  <c r="K119" i="25"/>
  <c r="G119" i="25" s="1"/>
  <c r="I119" i="25"/>
  <c r="D119" i="25" s="1"/>
  <c r="E117" i="29"/>
  <c r="I118" i="29" s="1"/>
  <c r="E117" i="26"/>
  <c r="J118" i="32"/>
  <c r="F118" i="32" s="1"/>
  <c r="K117" i="23"/>
  <c r="G117" i="23" s="1"/>
  <c r="J117" i="23"/>
  <c r="F117" i="23" s="1"/>
  <c r="K118" i="32"/>
  <c r="G118" i="32" s="1"/>
  <c r="D118" i="32"/>
  <c r="E118" i="28"/>
  <c r="D122" i="30"/>
  <c r="E122" i="30"/>
  <c r="K120" i="22"/>
  <c r="G120" i="22" s="1"/>
  <c r="J120" i="22"/>
  <c r="F120" i="22" s="1"/>
  <c r="I120" i="22"/>
  <c r="I118" i="20"/>
  <c r="K118" i="20"/>
  <c r="G118" i="20" s="1"/>
  <c r="J118" i="20"/>
  <c r="F118" i="20" s="1"/>
  <c r="E117" i="21"/>
  <c r="J117" i="1"/>
  <c r="F117" i="1" s="1"/>
  <c r="K117" i="1"/>
  <c r="G117" i="1" s="1"/>
  <c r="D117" i="1"/>
  <c r="I118" i="27" l="1"/>
  <c r="D118" i="27" s="1"/>
  <c r="I119" i="31"/>
  <c r="K119" i="31"/>
  <c r="G119" i="31" s="1"/>
  <c r="E119" i="24"/>
  <c r="J118" i="29"/>
  <c r="F118" i="29" s="1"/>
  <c r="K118" i="29"/>
  <c r="G118" i="29" s="1"/>
  <c r="E119" i="25"/>
  <c r="J118" i="26"/>
  <c r="F118" i="26" s="1"/>
  <c r="I118" i="26"/>
  <c r="D118" i="26" s="1"/>
  <c r="K118" i="26"/>
  <c r="G118" i="26" s="1"/>
  <c r="E118" i="32"/>
  <c r="I119" i="32" s="1"/>
  <c r="E117" i="23"/>
  <c r="K118" i="23" s="1"/>
  <c r="G118" i="23" s="1"/>
  <c r="D118" i="29"/>
  <c r="K119" i="28"/>
  <c r="G119" i="28" s="1"/>
  <c r="I119" i="28"/>
  <c r="D119" i="28" s="1"/>
  <c r="J119" i="28"/>
  <c r="F119" i="28" s="1"/>
  <c r="K123" i="30"/>
  <c r="G123" i="30" s="1"/>
  <c r="I123" i="30"/>
  <c r="J123" i="30"/>
  <c r="F123" i="30" s="1"/>
  <c r="D120" i="22"/>
  <c r="E120" i="22"/>
  <c r="D118" i="20"/>
  <c r="E118" i="20"/>
  <c r="I118" i="21"/>
  <c r="D118" i="21" s="1"/>
  <c r="K118" i="21"/>
  <c r="G118" i="21" s="1"/>
  <c r="J118" i="21"/>
  <c r="F118" i="21" s="1"/>
  <c r="E117" i="1"/>
  <c r="K118" i="1" s="1"/>
  <c r="G118" i="1" s="1"/>
  <c r="E118" i="27" l="1"/>
  <c r="K119" i="27" s="1"/>
  <c r="G119" i="27" s="1"/>
  <c r="E119" i="31"/>
  <c r="K120" i="31" s="1"/>
  <c r="G120" i="31" s="1"/>
  <c r="D119" i="31"/>
  <c r="E118" i="29"/>
  <c r="J119" i="29" s="1"/>
  <c r="F119" i="29" s="1"/>
  <c r="I120" i="24"/>
  <c r="K120" i="24"/>
  <c r="G120" i="24" s="1"/>
  <c r="J120" i="24"/>
  <c r="F120" i="24" s="1"/>
  <c r="J120" i="25"/>
  <c r="F120" i="25" s="1"/>
  <c r="K120" i="25"/>
  <c r="G120" i="25" s="1"/>
  <c r="I120" i="25"/>
  <c r="J119" i="32"/>
  <c r="F119" i="32" s="1"/>
  <c r="E118" i="26"/>
  <c r="K119" i="32"/>
  <c r="G119" i="32" s="1"/>
  <c r="J118" i="23"/>
  <c r="F118" i="23" s="1"/>
  <c r="I118" i="23"/>
  <c r="D118" i="23" s="1"/>
  <c r="D119" i="32"/>
  <c r="E119" i="28"/>
  <c r="D123" i="30"/>
  <c r="E123" i="30"/>
  <c r="K121" i="22"/>
  <c r="G121" i="22" s="1"/>
  <c r="I121" i="22"/>
  <c r="D121" i="22" s="1"/>
  <c r="J121" i="22"/>
  <c r="F121" i="22" s="1"/>
  <c r="K119" i="20"/>
  <c r="G119" i="20" s="1"/>
  <c r="J119" i="20"/>
  <c r="F119" i="20" s="1"/>
  <c r="I119" i="20"/>
  <c r="E118" i="21"/>
  <c r="J118" i="1"/>
  <c r="F118" i="1" s="1"/>
  <c r="I118" i="1"/>
  <c r="J120" i="31" l="1"/>
  <c r="J119" i="27"/>
  <c r="F119" i="27" s="1"/>
  <c r="I119" i="27"/>
  <c r="D119" i="27" s="1"/>
  <c r="I120" i="31"/>
  <c r="D120" i="31" s="1"/>
  <c r="I119" i="29"/>
  <c r="K119" i="29"/>
  <c r="G119" i="29" s="1"/>
  <c r="D120" i="24"/>
  <c r="E120" i="24"/>
  <c r="D120" i="25"/>
  <c r="E120" i="25"/>
  <c r="E119" i="32"/>
  <c r="J120" i="32" s="1"/>
  <c r="F120" i="32" s="1"/>
  <c r="K119" i="26"/>
  <c r="G119" i="26" s="1"/>
  <c r="I119" i="26"/>
  <c r="D119" i="26" s="1"/>
  <c r="J119" i="26"/>
  <c r="F119" i="26" s="1"/>
  <c r="F120" i="31"/>
  <c r="E118" i="23"/>
  <c r="I119" i="23" s="1"/>
  <c r="D119" i="23" s="1"/>
  <c r="D119" i="29"/>
  <c r="E119" i="29"/>
  <c r="K120" i="28"/>
  <c r="G120" i="28" s="1"/>
  <c r="J120" i="28"/>
  <c r="F120" i="28" s="1"/>
  <c r="I120" i="28"/>
  <c r="D120" i="28" s="1"/>
  <c r="I124" i="30"/>
  <c r="K124" i="30"/>
  <c r="G124" i="30" s="1"/>
  <c r="J124" i="30"/>
  <c r="F124" i="30" s="1"/>
  <c r="E121" i="22"/>
  <c r="D119" i="20"/>
  <c r="E119" i="20"/>
  <c r="I119" i="21"/>
  <c r="D119" i="21" s="1"/>
  <c r="K119" i="21"/>
  <c r="G119" i="21" s="1"/>
  <c r="J119" i="21"/>
  <c r="F119" i="21" s="1"/>
  <c r="E118" i="1"/>
  <c r="J119" i="1" s="1"/>
  <c r="F119" i="1" s="1"/>
  <c r="D118" i="1"/>
  <c r="E120" i="31" l="1"/>
  <c r="E119" i="27"/>
  <c r="K120" i="32"/>
  <c r="G120" i="32" s="1"/>
  <c r="K120" i="27"/>
  <c r="G120" i="27" s="1"/>
  <c r="K121" i="24"/>
  <c r="G121" i="24" s="1"/>
  <c r="J121" i="24"/>
  <c r="F121" i="24" s="1"/>
  <c r="I121" i="24"/>
  <c r="I120" i="32"/>
  <c r="K121" i="25"/>
  <c r="G121" i="25" s="1"/>
  <c r="I121" i="25"/>
  <c r="J121" i="25"/>
  <c r="F121" i="25" s="1"/>
  <c r="E119" i="26"/>
  <c r="J121" i="31"/>
  <c r="F121" i="31" s="1"/>
  <c r="K121" i="31"/>
  <c r="G121" i="31" s="1"/>
  <c r="I121" i="31"/>
  <c r="K119" i="23"/>
  <c r="G119" i="23" s="1"/>
  <c r="J119" i="23"/>
  <c r="F119" i="23" s="1"/>
  <c r="J120" i="29"/>
  <c r="F120" i="29" s="1"/>
  <c r="I120" i="29"/>
  <c r="K120" i="29"/>
  <c r="G120" i="29" s="1"/>
  <c r="E120" i="28"/>
  <c r="K121" i="28" s="1"/>
  <c r="G121" i="28" s="1"/>
  <c r="D124" i="30"/>
  <c r="E124" i="30"/>
  <c r="J122" i="22"/>
  <c r="F122" i="22" s="1"/>
  <c r="K122" i="22"/>
  <c r="G122" i="22" s="1"/>
  <c r="I122" i="22"/>
  <c r="D122" i="22" s="1"/>
  <c r="K120" i="20"/>
  <c r="G120" i="20" s="1"/>
  <c r="J120" i="20"/>
  <c r="F120" i="20" s="1"/>
  <c r="I120" i="20"/>
  <c r="E119" i="21"/>
  <c r="K119" i="1"/>
  <c r="G119" i="1" s="1"/>
  <c r="I119" i="1"/>
  <c r="J120" i="27" l="1"/>
  <c r="F120" i="27" s="1"/>
  <c r="I120" i="27"/>
  <c r="D120" i="27" s="1"/>
  <c r="E120" i="32"/>
  <c r="E120" i="27"/>
  <c r="J121" i="27" s="1"/>
  <c r="F121" i="27" s="1"/>
  <c r="D121" i="24"/>
  <c r="E121" i="24"/>
  <c r="D120" i="32"/>
  <c r="I121" i="32" s="1"/>
  <c r="D121" i="32" s="1"/>
  <c r="D121" i="25"/>
  <c r="E121" i="25"/>
  <c r="E119" i="23"/>
  <c r="J120" i="23" s="1"/>
  <c r="F120" i="23" s="1"/>
  <c r="D121" i="31"/>
  <c r="E121" i="31"/>
  <c r="J120" i="26"/>
  <c r="F120" i="26" s="1"/>
  <c r="K120" i="26"/>
  <c r="G120" i="26" s="1"/>
  <c r="I120" i="26"/>
  <c r="D120" i="26" s="1"/>
  <c r="D120" i="29"/>
  <c r="E120" i="29"/>
  <c r="K121" i="32"/>
  <c r="G121" i="32" s="1"/>
  <c r="J121" i="32"/>
  <c r="F121" i="32" s="1"/>
  <c r="J121" i="28"/>
  <c r="F121" i="28" s="1"/>
  <c r="I121" i="28"/>
  <c r="D121" i="28" s="1"/>
  <c r="I125" i="30"/>
  <c r="K125" i="30"/>
  <c r="G125" i="30" s="1"/>
  <c r="J125" i="30"/>
  <c r="F125" i="30" s="1"/>
  <c r="E122" i="22"/>
  <c r="D120" i="20"/>
  <c r="E120" i="20"/>
  <c r="K120" i="21"/>
  <c r="G120" i="21" s="1"/>
  <c r="I120" i="21"/>
  <c r="D120" i="21" s="1"/>
  <c r="J120" i="21"/>
  <c r="F120" i="21" s="1"/>
  <c r="E119" i="1"/>
  <c r="K120" i="1" s="1"/>
  <c r="G120" i="1" s="1"/>
  <c r="D119" i="1"/>
  <c r="I121" i="27" l="1"/>
  <c r="K121" i="27"/>
  <c r="G121" i="27" s="1"/>
  <c r="D121" i="27"/>
  <c r="E121" i="27"/>
  <c r="I122" i="24"/>
  <c r="D122" i="24" s="1"/>
  <c r="K122" i="24"/>
  <c r="G122" i="24" s="1"/>
  <c r="J122" i="24"/>
  <c r="F122" i="24" s="1"/>
  <c r="I120" i="23"/>
  <c r="D120" i="23" s="1"/>
  <c r="K120" i="23"/>
  <c r="G120" i="23" s="1"/>
  <c r="K122" i="25"/>
  <c r="G122" i="25" s="1"/>
  <c r="J122" i="25"/>
  <c r="F122" i="25" s="1"/>
  <c r="I122" i="25"/>
  <c r="D122" i="25" s="1"/>
  <c r="E120" i="26"/>
  <c r="K122" i="31"/>
  <c r="G122" i="31" s="1"/>
  <c r="J122" i="31"/>
  <c r="F122" i="31" s="1"/>
  <c r="I122" i="31"/>
  <c r="I121" i="29"/>
  <c r="K121" i="29"/>
  <c r="G121" i="29" s="1"/>
  <c r="J121" i="29"/>
  <c r="F121" i="29" s="1"/>
  <c r="E121" i="32"/>
  <c r="E121" i="28"/>
  <c r="K122" i="28" s="1"/>
  <c r="G122" i="28" s="1"/>
  <c r="D125" i="30"/>
  <c r="E125" i="30"/>
  <c r="I123" i="22"/>
  <c r="D123" i="22" s="1"/>
  <c r="J123" i="22"/>
  <c r="F123" i="22" s="1"/>
  <c r="K123" i="22"/>
  <c r="G123" i="22" s="1"/>
  <c r="I121" i="20"/>
  <c r="K121" i="20"/>
  <c r="G121" i="20" s="1"/>
  <c r="J121" i="20"/>
  <c r="F121" i="20" s="1"/>
  <c r="E120" i="21"/>
  <c r="J120" i="1"/>
  <c r="F120" i="1" s="1"/>
  <c r="I120" i="1"/>
  <c r="D120" i="1" s="1"/>
  <c r="I122" i="27" l="1"/>
  <c r="J122" i="27"/>
  <c r="F122" i="27" s="1"/>
  <c r="K122" i="27"/>
  <c r="G122" i="27" s="1"/>
  <c r="E122" i="24"/>
  <c r="E120" i="23"/>
  <c r="K121" i="23" s="1"/>
  <c r="G121" i="23" s="1"/>
  <c r="E122" i="25"/>
  <c r="D122" i="31"/>
  <c r="E122" i="31"/>
  <c r="J121" i="26"/>
  <c r="F121" i="26" s="1"/>
  <c r="K121" i="26"/>
  <c r="G121" i="26" s="1"/>
  <c r="I121" i="26"/>
  <c r="D121" i="26" s="1"/>
  <c r="D121" i="29"/>
  <c r="E121" i="29"/>
  <c r="I122" i="32"/>
  <c r="K122" i="32"/>
  <c r="G122" i="32" s="1"/>
  <c r="J122" i="32"/>
  <c r="F122" i="32" s="1"/>
  <c r="I122" i="28"/>
  <c r="D122" i="28" s="1"/>
  <c r="J122" i="28"/>
  <c r="F122" i="28" s="1"/>
  <c r="I126" i="30"/>
  <c r="D126" i="30" s="1"/>
  <c r="K126" i="30"/>
  <c r="G126" i="30" s="1"/>
  <c r="J126" i="30"/>
  <c r="F126" i="30" s="1"/>
  <c r="E123" i="22"/>
  <c r="K124" i="22" s="1"/>
  <c r="G124" i="22" s="1"/>
  <c r="D121" i="20"/>
  <c r="E121" i="20"/>
  <c r="I121" i="21"/>
  <c r="D121" i="21" s="1"/>
  <c r="J121" i="21"/>
  <c r="F121" i="21" s="1"/>
  <c r="K121" i="21"/>
  <c r="G121" i="21" s="1"/>
  <c r="E120" i="1"/>
  <c r="I121" i="1" s="1"/>
  <c r="J121" i="23" l="1"/>
  <c r="F121" i="23" s="1"/>
  <c r="I121" i="23"/>
  <c r="D121" i="23" s="1"/>
  <c r="D122" i="27"/>
  <c r="E122" i="27"/>
  <c r="I123" i="24"/>
  <c r="D123" i="24" s="1"/>
  <c r="J123" i="24"/>
  <c r="F123" i="24" s="1"/>
  <c r="K123" i="24"/>
  <c r="G123" i="24" s="1"/>
  <c r="I123" i="25"/>
  <c r="D123" i="25" s="1"/>
  <c r="K123" i="25"/>
  <c r="G123" i="25" s="1"/>
  <c r="J123" i="25"/>
  <c r="F123" i="25" s="1"/>
  <c r="E121" i="26"/>
  <c r="K123" i="31"/>
  <c r="G123" i="31" s="1"/>
  <c r="I123" i="31"/>
  <c r="J123" i="31"/>
  <c r="F123" i="31" s="1"/>
  <c r="K122" i="29"/>
  <c r="G122" i="29" s="1"/>
  <c r="J122" i="29"/>
  <c r="F122" i="29" s="1"/>
  <c r="I122" i="29"/>
  <c r="D122" i="32"/>
  <c r="E122" i="32"/>
  <c r="E122" i="28"/>
  <c r="I123" i="28" s="1"/>
  <c r="E126" i="30"/>
  <c r="J124" i="22"/>
  <c r="F124" i="22" s="1"/>
  <c r="I124" i="22"/>
  <c r="D124" i="22" s="1"/>
  <c r="J122" i="20"/>
  <c r="F122" i="20" s="1"/>
  <c r="K122" i="20"/>
  <c r="G122" i="20" s="1"/>
  <c r="I122" i="20"/>
  <c r="E121" i="21"/>
  <c r="J121" i="1"/>
  <c r="F121" i="1" s="1"/>
  <c r="K121" i="1"/>
  <c r="G121" i="1" s="1"/>
  <c r="D121" i="1"/>
  <c r="E121" i="23" l="1"/>
  <c r="K123" i="27"/>
  <c r="G123" i="27" s="1"/>
  <c r="J123" i="27"/>
  <c r="F123" i="27" s="1"/>
  <c r="I123" i="27"/>
  <c r="E123" i="24"/>
  <c r="E123" i="25"/>
  <c r="K124" i="25" s="1"/>
  <c r="G124" i="25" s="1"/>
  <c r="D123" i="31"/>
  <c r="E123" i="31"/>
  <c r="J122" i="26"/>
  <c r="F122" i="26" s="1"/>
  <c r="K122" i="26"/>
  <c r="G122" i="26" s="1"/>
  <c r="I122" i="26"/>
  <c r="D122" i="26" s="1"/>
  <c r="D122" i="29"/>
  <c r="E122" i="29"/>
  <c r="J122" i="23"/>
  <c r="F122" i="23" s="1"/>
  <c r="K122" i="23"/>
  <c r="G122" i="23" s="1"/>
  <c r="I122" i="23"/>
  <c r="D122" i="23" s="1"/>
  <c r="J123" i="32"/>
  <c r="F123" i="32" s="1"/>
  <c r="K123" i="32"/>
  <c r="G123" i="32" s="1"/>
  <c r="I123" i="32"/>
  <c r="K123" i="28"/>
  <c r="G123" i="28" s="1"/>
  <c r="J123" i="28"/>
  <c r="F123" i="28" s="1"/>
  <c r="D123" i="28"/>
  <c r="K127" i="30"/>
  <c r="G127" i="30" s="1"/>
  <c r="J127" i="30"/>
  <c r="F127" i="30" s="1"/>
  <c r="I127" i="30"/>
  <c r="D127" i="30" s="1"/>
  <c r="E124" i="22"/>
  <c r="I125" i="22" s="1"/>
  <c r="D125" i="22" s="1"/>
  <c r="D122" i="20"/>
  <c r="E122" i="20"/>
  <c r="J122" i="21"/>
  <c r="F122" i="21" s="1"/>
  <c r="K122" i="21"/>
  <c r="G122" i="21" s="1"/>
  <c r="I122" i="21"/>
  <c r="E121" i="1"/>
  <c r="J122" i="1" s="1"/>
  <c r="F122" i="1" s="1"/>
  <c r="E123" i="27" l="1"/>
  <c r="D123" i="27"/>
  <c r="I124" i="25"/>
  <c r="D124" i="25" s="1"/>
  <c r="J124" i="24"/>
  <c r="F124" i="24" s="1"/>
  <c r="I124" i="24"/>
  <c r="D124" i="24" s="1"/>
  <c r="K124" i="24"/>
  <c r="G124" i="24" s="1"/>
  <c r="J124" i="25"/>
  <c r="F124" i="25" s="1"/>
  <c r="E122" i="26"/>
  <c r="I124" i="31"/>
  <c r="K124" i="31"/>
  <c r="G124" i="31" s="1"/>
  <c r="J124" i="31"/>
  <c r="F124" i="31" s="1"/>
  <c r="I123" i="29"/>
  <c r="D123" i="29" s="1"/>
  <c r="J123" i="29"/>
  <c r="F123" i="29" s="1"/>
  <c r="K123" i="29"/>
  <c r="G123" i="29" s="1"/>
  <c r="E122" i="23"/>
  <c r="E123" i="32"/>
  <c r="D123" i="32"/>
  <c r="J125" i="22"/>
  <c r="F125" i="22" s="1"/>
  <c r="E123" i="28"/>
  <c r="K124" i="28" s="1"/>
  <c r="G124" i="28" s="1"/>
  <c r="K125" i="22"/>
  <c r="G125" i="22" s="1"/>
  <c r="E127" i="30"/>
  <c r="J123" i="20"/>
  <c r="F123" i="20" s="1"/>
  <c r="K123" i="20"/>
  <c r="G123" i="20" s="1"/>
  <c r="I123" i="20"/>
  <c r="D123" i="20" s="1"/>
  <c r="D122" i="21"/>
  <c r="E122" i="21"/>
  <c r="K122" i="1"/>
  <c r="G122" i="1" s="1"/>
  <c r="I122" i="1"/>
  <c r="D122" i="1" s="1"/>
  <c r="I124" i="27" l="1"/>
  <c r="J124" i="27"/>
  <c r="F124" i="27" s="1"/>
  <c r="K124" i="27"/>
  <c r="G124" i="27" s="1"/>
  <c r="E124" i="24"/>
  <c r="E124" i="25"/>
  <c r="K125" i="25" s="1"/>
  <c r="G125" i="25" s="1"/>
  <c r="E124" i="31"/>
  <c r="J125" i="31" s="1"/>
  <c r="F125" i="31" s="1"/>
  <c r="D124" i="31"/>
  <c r="K123" i="26"/>
  <c r="G123" i="26" s="1"/>
  <c r="J123" i="26"/>
  <c r="F123" i="26" s="1"/>
  <c r="I123" i="26"/>
  <c r="D123" i="26" s="1"/>
  <c r="E123" i="29"/>
  <c r="K123" i="23"/>
  <c r="G123" i="23" s="1"/>
  <c r="J123" i="23"/>
  <c r="F123" i="23" s="1"/>
  <c r="I123" i="23"/>
  <c r="D123" i="23" s="1"/>
  <c r="K124" i="32"/>
  <c r="G124" i="32" s="1"/>
  <c r="I124" i="32"/>
  <c r="J124" i="32"/>
  <c r="F124" i="32" s="1"/>
  <c r="E125" i="22"/>
  <c r="I126" i="22" s="1"/>
  <c r="J124" i="28"/>
  <c r="F124" i="28" s="1"/>
  <c r="I124" i="28"/>
  <c r="D124" i="28" s="1"/>
  <c r="K128" i="30"/>
  <c r="G128" i="30" s="1"/>
  <c r="I128" i="30"/>
  <c r="D128" i="30" s="1"/>
  <c r="J128" i="30"/>
  <c r="F128" i="30" s="1"/>
  <c r="E123" i="20"/>
  <c r="K123" i="21"/>
  <c r="G123" i="21" s="1"/>
  <c r="J123" i="21"/>
  <c r="F123" i="21" s="1"/>
  <c r="I123" i="21"/>
  <c r="E122" i="1"/>
  <c r="J123" i="1" s="1"/>
  <c r="F123" i="1" s="1"/>
  <c r="E124" i="27" l="1"/>
  <c r="D124" i="27"/>
  <c r="J125" i="24"/>
  <c r="F125" i="24" s="1"/>
  <c r="I125" i="24"/>
  <c r="D125" i="24" s="1"/>
  <c r="K125" i="24"/>
  <c r="G125" i="24" s="1"/>
  <c r="I125" i="25"/>
  <c r="D125" i="25" s="1"/>
  <c r="J125" i="25"/>
  <c r="F125" i="25" s="1"/>
  <c r="I125" i="31"/>
  <c r="D125" i="31" s="1"/>
  <c r="K125" i="31"/>
  <c r="G125" i="31" s="1"/>
  <c r="E123" i="26"/>
  <c r="I124" i="26" s="1"/>
  <c r="D124" i="26" s="1"/>
  <c r="I124" i="29"/>
  <c r="J124" i="29"/>
  <c r="F124" i="29" s="1"/>
  <c r="K124" i="29"/>
  <c r="G124" i="29" s="1"/>
  <c r="E123" i="23"/>
  <c r="E124" i="32"/>
  <c r="D124" i="32"/>
  <c r="J126" i="22"/>
  <c r="F126" i="22" s="1"/>
  <c r="K126" i="22"/>
  <c r="G126" i="22" s="1"/>
  <c r="E124" i="28"/>
  <c r="K125" i="28" s="1"/>
  <c r="G125" i="28" s="1"/>
  <c r="E128" i="30"/>
  <c r="D126" i="22"/>
  <c r="I124" i="20"/>
  <c r="J124" i="20"/>
  <c r="F124" i="20" s="1"/>
  <c r="K124" i="20"/>
  <c r="G124" i="20" s="1"/>
  <c r="D123" i="21"/>
  <c r="E123" i="21"/>
  <c r="K123" i="1"/>
  <c r="G123" i="1" s="1"/>
  <c r="I123" i="1"/>
  <c r="D123" i="1" s="1"/>
  <c r="I125" i="27" l="1"/>
  <c r="J125" i="27"/>
  <c r="F125" i="27" s="1"/>
  <c r="K125" i="27"/>
  <c r="G125" i="27" s="1"/>
  <c r="E125" i="24"/>
  <c r="E125" i="25"/>
  <c r="K126" i="25" s="1"/>
  <c r="G126" i="25" s="1"/>
  <c r="E125" i="31"/>
  <c r="J126" i="31" s="1"/>
  <c r="F126" i="31" s="1"/>
  <c r="J124" i="26"/>
  <c r="F124" i="26" s="1"/>
  <c r="K124" i="26"/>
  <c r="G124" i="26" s="1"/>
  <c r="D124" i="29"/>
  <c r="E124" i="29"/>
  <c r="J124" i="23"/>
  <c r="F124" i="23" s="1"/>
  <c r="K124" i="23"/>
  <c r="G124" i="23" s="1"/>
  <c r="I124" i="23"/>
  <c r="D124" i="23" s="1"/>
  <c r="J125" i="32"/>
  <c r="F125" i="32" s="1"/>
  <c r="I125" i="32"/>
  <c r="K125" i="32"/>
  <c r="G125" i="32" s="1"/>
  <c r="E126" i="22"/>
  <c r="J127" i="22" s="1"/>
  <c r="F127" i="22" s="1"/>
  <c r="I125" i="28"/>
  <c r="D125" i="28" s="1"/>
  <c r="J125" i="28"/>
  <c r="F125" i="28" s="1"/>
  <c r="I129" i="30"/>
  <c r="D129" i="30" s="1"/>
  <c r="K129" i="30"/>
  <c r="G129" i="30" s="1"/>
  <c r="J129" i="30"/>
  <c r="F129" i="30" s="1"/>
  <c r="D124" i="20"/>
  <c r="E124" i="20"/>
  <c r="J124" i="21"/>
  <c r="F124" i="21" s="1"/>
  <c r="K124" i="21"/>
  <c r="G124" i="21" s="1"/>
  <c r="I124" i="21"/>
  <c r="E123" i="1"/>
  <c r="J124" i="1" s="1"/>
  <c r="F124" i="1" s="1"/>
  <c r="E125" i="27" l="1"/>
  <c r="D125" i="27"/>
  <c r="I126" i="25"/>
  <c r="J126" i="25"/>
  <c r="F126" i="25" s="1"/>
  <c r="K126" i="24"/>
  <c r="G126" i="24" s="1"/>
  <c r="I126" i="24"/>
  <c r="D126" i="24" s="1"/>
  <c r="J126" i="24"/>
  <c r="F126" i="24" s="1"/>
  <c r="K126" i="31"/>
  <c r="G126" i="31" s="1"/>
  <c r="I126" i="31"/>
  <c r="D126" i="31" s="1"/>
  <c r="E124" i="26"/>
  <c r="I125" i="29"/>
  <c r="J125" i="29"/>
  <c r="F125" i="29" s="1"/>
  <c r="K125" i="29"/>
  <c r="G125" i="29" s="1"/>
  <c r="E124" i="23"/>
  <c r="K127" i="22"/>
  <c r="G127" i="22" s="1"/>
  <c r="D125" i="32"/>
  <c r="E125" i="32"/>
  <c r="I127" i="22"/>
  <c r="D127" i="22" s="1"/>
  <c r="E125" i="28"/>
  <c r="I126" i="28" s="1"/>
  <c r="E129" i="30"/>
  <c r="K125" i="20"/>
  <c r="G125" i="20" s="1"/>
  <c r="I125" i="20"/>
  <c r="J125" i="20"/>
  <c r="F125" i="20" s="1"/>
  <c r="D124" i="21"/>
  <c r="E124" i="21"/>
  <c r="I124" i="1"/>
  <c r="D124" i="1" s="1"/>
  <c r="K124" i="1"/>
  <c r="G124" i="1" s="1"/>
  <c r="J126" i="27" l="1"/>
  <c r="F126" i="27" s="1"/>
  <c r="I126" i="27"/>
  <c r="K126" i="27"/>
  <c r="G126" i="27" s="1"/>
  <c r="E126" i="25"/>
  <c r="K127" i="25" s="1"/>
  <c r="G127" i="25" s="1"/>
  <c r="D126" i="25"/>
  <c r="E126" i="24"/>
  <c r="E126" i="31"/>
  <c r="I127" i="31" s="1"/>
  <c r="I125" i="26"/>
  <c r="J125" i="26"/>
  <c r="F125" i="26" s="1"/>
  <c r="K125" i="26"/>
  <c r="G125" i="26" s="1"/>
  <c r="D125" i="29"/>
  <c r="E125" i="29"/>
  <c r="J125" i="23"/>
  <c r="F125" i="23" s="1"/>
  <c r="I125" i="23"/>
  <c r="D125" i="23" s="1"/>
  <c r="K125" i="23"/>
  <c r="G125" i="23" s="1"/>
  <c r="K126" i="32"/>
  <c r="G126" i="32" s="1"/>
  <c r="J126" i="32"/>
  <c r="F126" i="32" s="1"/>
  <c r="I126" i="32"/>
  <c r="E127" i="22"/>
  <c r="J128" i="22" s="1"/>
  <c r="F128" i="22" s="1"/>
  <c r="K126" i="28"/>
  <c r="G126" i="28" s="1"/>
  <c r="J126" i="28"/>
  <c r="F126" i="28" s="1"/>
  <c r="D126" i="28"/>
  <c r="J130" i="30"/>
  <c r="F130" i="30" s="1"/>
  <c r="I130" i="30"/>
  <c r="D130" i="30" s="1"/>
  <c r="K130" i="30"/>
  <c r="G130" i="30" s="1"/>
  <c r="D125" i="20"/>
  <c r="E125" i="20"/>
  <c r="J125" i="21"/>
  <c r="F125" i="21" s="1"/>
  <c r="K125" i="21"/>
  <c r="G125" i="21" s="1"/>
  <c r="I125" i="21"/>
  <c r="E124" i="1"/>
  <c r="J125" i="1" s="1"/>
  <c r="F125" i="1" s="1"/>
  <c r="J127" i="25" l="1"/>
  <c r="F127" i="25" s="1"/>
  <c r="E126" i="27"/>
  <c r="D126" i="27"/>
  <c r="I127" i="25"/>
  <c r="D127" i="25" s="1"/>
  <c r="K127" i="31"/>
  <c r="G127" i="31" s="1"/>
  <c r="J127" i="31"/>
  <c r="F127" i="31" s="1"/>
  <c r="J127" i="24"/>
  <c r="F127" i="24" s="1"/>
  <c r="K127" i="24"/>
  <c r="G127" i="24" s="1"/>
  <c r="I127" i="24"/>
  <c r="D127" i="24" s="1"/>
  <c r="D125" i="26"/>
  <c r="E125" i="26"/>
  <c r="D127" i="31"/>
  <c r="I128" i="22"/>
  <c r="D128" i="22" s="1"/>
  <c r="K128" i="22"/>
  <c r="G128" i="22" s="1"/>
  <c r="E126" i="28"/>
  <c r="K127" i="28" s="1"/>
  <c r="G127" i="28" s="1"/>
  <c r="J126" i="29"/>
  <c r="F126" i="29" s="1"/>
  <c r="K126" i="29"/>
  <c r="G126" i="29" s="1"/>
  <c r="I126" i="29"/>
  <c r="E125" i="23"/>
  <c r="D126" i="32"/>
  <c r="E126" i="32"/>
  <c r="E130" i="30"/>
  <c r="K126" i="20"/>
  <c r="G126" i="20" s="1"/>
  <c r="I126" i="20"/>
  <c r="D126" i="20" s="1"/>
  <c r="J126" i="20"/>
  <c r="F126" i="20" s="1"/>
  <c r="D125" i="21"/>
  <c r="E125" i="21"/>
  <c r="I125" i="1"/>
  <c r="D125" i="1" s="1"/>
  <c r="K125" i="1"/>
  <c r="G125" i="1" s="1"/>
  <c r="E127" i="25" l="1"/>
  <c r="I128" i="25" s="1"/>
  <c r="D128" i="25" s="1"/>
  <c r="I127" i="27"/>
  <c r="J127" i="27"/>
  <c r="F127" i="27" s="1"/>
  <c r="K127" i="27"/>
  <c r="G127" i="27" s="1"/>
  <c r="E127" i="31"/>
  <c r="J128" i="31" s="1"/>
  <c r="F128" i="31" s="1"/>
  <c r="E127" i="24"/>
  <c r="I127" i="28"/>
  <c r="D127" i="28" s="1"/>
  <c r="J127" i="28"/>
  <c r="F127" i="28" s="1"/>
  <c r="J126" i="26"/>
  <c r="F126" i="26" s="1"/>
  <c r="I126" i="26"/>
  <c r="K126" i="26"/>
  <c r="G126" i="26" s="1"/>
  <c r="I128" i="31"/>
  <c r="E128" i="22"/>
  <c r="I129" i="22" s="1"/>
  <c r="D126" i="29"/>
  <c r="E126" i="29"/>
  <c r="J126" i="23"/>
  <c r="F126" i="23" s="1"/>
  <c r="I126" i="23"/>
  <c r="D126" i="23" s="1"/>
  <c r="K126" i="23"/>
  <c r="G126" i="23" s="1"/>
  <c r="K127" i="32"/>
  <c r="G127" i="32" s="1"/>
  <c r="J127" i="32"/>
  <c r="F127" i="32" s="1"/>
  <c r="I127" i="32"/>
  <c r="I131" i="30"/>
  <c r="D131" i="30" s="1"/>
  <c r="J131" i="30"/>
  <c r="F131" i="30" s="1"/>
  <c r="K131" i="30"/>
  <c r="G131" i="30" s="1"/>
  <c r="E126" i="20"/>
  <c r="K126" i="21"/>
  <c r="G126" i="21" s="1"/>
  <c r="J126" i="21"/>
  <c r="F126" i="21" s="1"/>
  <c r="I126" i="21"/>
  <c r="D126" i="21" s="1"/>
  <c r="E125" i="1"/>
  <c r="J126" i="1" s="1"/>
  <c r="F126" i="1" s="1"/>
  <c r="K128" i="25" l="1"/>
  <c r="G128" i="25" s="1"/>
  <c r="K128" i="31"/>
  <c r="G128" i="31" s="1"/>
  <c r="J128" i="25"/>
  <c r="F128" i="25" s="1"/>
  <c r="D127" i="27"/>
  <c r="E127" i="27"/>
  <c r="E127" i="28"/>
  <c r="I128" i="28" s="1"/>
  <c r="J128" i="24"/>
  <c r="F128" i="24" s="1"/>
  <c r="I128" i="24"/>
  <c r="D128" i="24" s="1"/>
  <c r="K128" i="24"/>
  <c r="G128" i="24" s="1"/>
  <c r="K129" i="22"/>
  <c r="G129" i="22" s="1"/>
  <c r="J129" i="22"/>
  <c r="F129" i="22" s="1"/>
  <c r="D126" i="26"/>
  <c r="E126" i="26"/>
  <c r="D128" i="31"/>
  <c r="E128" i="31"/>
  <c r="J127" i="29"/>
  <c r="F127" i="29" s="1"/>
  <c r="K127" i="29"/>
  <c r="G127" i="29" s="1"/>
  <c r="I127" i="29"/>
  <c r="E126" i="23"/>
  <c r="D127" i="32"/>
  <c r="E127" i="32"/>
  <c r="J128" i="28"/>
  <c r="F128" i="28" s="1"/>
  <c r="E131" i="30"/>
  <c r="D129" i="22"/>
  <c r="K127" i="20"/>
  <c r="G127" i="20" s="1"/>
  <c r="J127" i="20"/>
  <c r="F127" i="20" s="1"/>
  <c r="I127" i="20"/>
  <c r="E126" i="21"/>
  <c r="I126" i="1"/>
  <c r="D126" i="1" s="1"/>
  <c r="K126" i="1"/>
  <c r="G126" i="1" s="1"/>
  <c r="E128" i="25" l="1"/>
  <c r="I129" i="25" s="1"/>
  <c r="K128" i="28"/>
  <c r="G128" i="28" s="1"/>
  <c r="K128" i="27"/>
  <c r="G128" i="27" s="1"/>
  <c r="J128" i="27"/>
  <c r="F128" i="27" s="1"/>
  <c r="I128" i="27"/>
  <c r="E128" i="24"/>
  <c r="K129" i="25"/>
  <c r="G129" i="25" s="1"/>
  <c r="J129" i="25"/>
  <c r="F129" i="25" s="1"/>
  <c r="E129" i="22"/>
  <c r="I130" i="22" s="1"/>
  <c r="D129" i="25"/>
  <c r="K127" i="26"/>
  <c r="G127" i="26" s="1"/>
  <c r="I127" i="26"/>
  <c r="D127" i="26" s="1"/>
  <c r="J127" i="26"/>
  <c r="F127" i="26" s="1"/>
  <c r="J129" i="31"/>
  <c r="F129" i="31" s="1"/>
  <c r="K129" i="31"/>
  <c r="G129" i="31" s="1"/>
  <c r="I129" i="31"/>
  <c r="D127" i="29"/>
  <c r="E127" i="29"/>
  <c r="I127" i="23"/>
  <c r="D127" i="23" s="1"/>
  <c r="K127" i="23"/>
  <c r="G127" i="23" s="1"/>
  <c r="J127" i="23"/>
  <c r="F127" i="23" s="1"/>
  <c r="I128" i="32"/>
  <c r="J128" i="32"/>
  <c r="F128" i="32" s="1"/>
  <c r="K128" i="32"/>
  <c r="G128" i="32" s="1"/>
  <c r="D128" i="28"/>
  <c r="E128" i="28"/>
  <c r="K132" i="30"/>
  <c r="G132" i="30" s="1"/>
  <c r="J132" i="30"/>
  <c r="F132" i="30" s="1"/>
  <c r="I132" i="30"/>
  <c r="D132" i="30" s="1"/>
  <c r="D127" i="20"/>
  <c r="E127" i="20"/>
  <c r="J127" i="21"/>
  <c r="F127" i="21" s="1"/>
  <c r="I127" i="21"/>
  <c r="D127" i="21" s="1"/>
  <c r="K127" i="21"/>
  <c r="G127" i="21" s="1"/>
  <c r="E126" i="1"/>
  <c r="J127" i="1" s="1"/>
  <c r="F127" i="1" s="1"/>
  <c r="D128" i="27" l="1"/>
  <c r="E128" i="27"/>
  <c r="J130" i="22"/>
  <c r="F130" i="22" s="1"/>
  <c r="I129" i="24"/>
  <c r="D129" i="24" s="1"/>
  <c r="K129" i="24"/>
  <c r="G129" i="24" s="1"/>
  <c r="J129" i="24"/>
  <c r="F129" i="24" s="1"/>
  <c r="E129" i="25"/>
  <c r="K130" i="25" s="1"/>
  <c r="G130" i="25" s="1"/>
  <c r="K130" i="22"/>
  <c r="G130" i="22" s="1"/>
  <c r="E127" i="26"/>
  <c r="D129" i="31"/>
  <c r="E129" i="31"/>
  <c r="K128" i="29"/>
  <c r="G128" i="29" s="1"/>
  <c r="I128" i="29"/>
  <c r="J128" i="29"/>
  <c r="F128" i="29" s="1"/>
  <c r="E127" i="23"/>
  <c r="D128" i="32"/>
  <c r="E128" i="32"/>
  <c r="J129" i="28"/>
  <c r="F129" i="28" s="1"/>
  <c r="K129" i="28"/>
  <c r="G129" i="28" s="1"/>
  <c r="I129" i="28"/>
  <c r="D129" i="28" s="1"/>
  <c r="E132" i="30"/>
  <c r="K133" i="30" s="1"/>
  <c r="G133" i="30" s="1"/>
  <c r="D130" i="22"/>
  <c r="I128" i="20"/>
  <c r="K128" i="20"/>
  <c r="G128" i="20" s="1"/>
  <c r="J128" i="20"/>
  <c r="F128" i="20" s="1"/>
  <c r="E127" i="21"/>
  <c r="K127" i="1"/>
  <c r="G127" i="1" s="1"/>
  <c r="I127" i="1"/>
  <c r="D127" i="1" s="1"/>
  <c r="E130" i="22" l="1"/>
  <c r="J129" i="27"/>
  <c r="F129" i="27" s="1"/>
  <c r="K129" i="27"/>
  <c r="G129" i="27" s="1"/>
  <c r="I129" i="27"/>
  <c r="E129" i="24"/>
  <c r="I130" i="24" s="1"/>
  <c r="D130" i="24" s="1"/>
  <c r="I130" i="25"/>
  <c r="D130" i="25" s="1"/>
  <c r="J130" i="25"/>
  <c r="F130" i="25" s="1"/>
  <c r="K128" i="26"/>
  <c r="G128" i="26" s="1"/>
  <c r="J128" i="26"/>
  <c r="F128" i="26" s="1"/>
  <c r="I128" i="26"/>
  <c r="I130" i="31"/>
  <c r="J130" i="31"/>
  <c r="F130" i="31" s="1"/>
  <c r="K130" i="31"/>
  <c r="G130" i="31" s="1"/>
  <c r="E128" i="29"/>
  <c r="J129" i="29" s="1"/>
  <c r="F129" i="29" s="1"/>
  <c r="D128" i="29"/>
  <c r="I128" i="23"/>
  <c r="D128" i="23" s="1"/>
  <c r="J128" i="23"/>
  <c r="F128" i="23" s="1"/>
  <c r="K128" i="23"/>
  <c r="G128" i="23" s="1"/>
  <c r="K129" i="32"/>
  <c r="G129" i="32" s="1"/>
  <c r="I129" i="32"/>
  <c r="J129" i="32"/>
  <c r="F129" i="32" s="1"/>
  <c r="E129" i="28"/>
  <c r="J133" i="30"/>
  <c r="F133" i="30" s="1"/>
  <c r="I133" i="30"/>
  <c r="D133" i="30" s="1"/>
  <c r="J131" i="22"/>
  <c r="F131" i="22" s="1"/>
  <c r="K131" i="22"/>
  <c r="G131" i="22" s="1"/>
  <c r="I131" i="22"/>
  <c r="D128" i="20"/>
  <c r="E128" i="20"/>
  <c r="J128" i="21"/>
  <c r="F128" i="21" s="1"/>
  <c r="K128" i="21"/>
  <c r="G128" i="21" s="1"/>
  <c r="I128" i="21"/>
  <c r="D128" i="21" s="1"/>
  <c r="E127" i="1"/>
  <c r="J128" i="1" s="1"/>
  <c r="F128" i="1" s="1"/>
  <c r="D129" i="27" l="1"/>
  <c r="E129" i="27"/>
  <c r="K130" i="24"/>
  <c r="G130" i="24" s="1"/>
  <c r="J130" i="24"/>
  <c r="F130" i="24" s="1"/>
  <c r="E130" i="25"/>
  <c r="J131" i="25" s="1"/>
  <c r="F131" i="25" s="1"/>
  <c r="E128" i="26"/>
  <c r="D128" i="26"/>
  <c r="D130" i="31"/>
  <c r="E130" i="31"/>
  <c r="I129" i="29"/>
  <c r="D129" i="29" s="1"/>
  <c r="K129" i="29"/>
  <c r="G129" i="29" s="1"/>
  <c r="E128" i="23"/>
  <c r="D129" i="32"/>
  <c r="E129" i="32"/>
  <c r="I130" i="28"/>
  <c r="K130" i="28"/>
  <c r="G130" i="28" s="1"/>
  <c r="J130" i="28"/>
  <c r="F130" i="28" s="1"/>
  <c r="E133" i="30"/>
  <c r="K134" i="30" s="1"/>
  <c r="G134" i="30" s="1"/>
  <c r="D131" i="22"/>
  <c r="E131" i="22"/>
  <c r="J129" i="20"/>
  <c r="F129" i="20" s="1"/>
  <c r="I129" i="20"/>
  <c r="D129" i="20" s="1"/>
  <c r="K129" i="20"/>
  <c r="G129" i="20" s="1"/>
  <c r="E128" i="21"/>
  <c r="I128" i="1"/>
  <c r="D128" i="1" s="1"/>
  <c r="K128" i="1"/>
  <c r="G128" i="1" s="1"/>
  <c r="K130" i="27" l="1"/>
  <c r="G130" i="27" s="1"/>
  <c r="J130" i="27"/>
  <c r="F130" i="27" s="1"/>
  <c r="I130" i="27"/>
  <c r="I131" i="25"/>
  <c r="D131" i="25" s="1"/>
  <c r="E130" i="24"/>
  <c r="J131" i="24" s="1"/>
  <c r="F131" i="24" s="1"/>
  <c r="K131" i="25"/>
  <c r="G131" i="25" s="1"/>
  <c r="I129" i="26"/>
  <c r="J129" i="26"/>
  <c r="F129" i="26" s="1"/>
  <c r="K129" i="26"/>
  <c r="G129" i="26" s="1"/>
  <c r="J131" i="31"/>
  <c r="F131" i="31" s="1"/>
  <c r="K131" i="31"/>
  <c r="G131" i="31" s="1"/>
  <c r="I131" i="31"/>
  <c r="E129" i="29"/>
  <c r="K130" i="29" s="1"/>
  <c r="G130" i="29" s="1"/>
  <c r="J129" i="23"/>
  <c r="F129" i="23" s="1"/>
  <c r="K129" i="23"/>
  <c r="G129" i="23" s="1"/>
  <c r="I129" i="23"/>
  <c r="D129" i="23" s="1"/>
  <c r="J130" i="32"/>
  <c r="F130" i="32" s="1"/>
  <c r="I130" i="32"/>
  <c r="K130" i="32"/>
  <c r="G130" i="32" s="1"/>
  <c r="I134" i="30"/>
  <c r="D134" i="30" s="1"/>
  <c r="J134" i="30"/>
  <c r="F134" i="30" s="1"/>
  <c r="E130" i="28"/>
  <c r="D130" i="28"/>
  <c r="I132" i="22"/>
  <c r="J132" i="22"/>
  <c r="F132" i="22" s="1"/>
  <c r="K132" i="22"/>
  <c r="G132" i="22" s="1"/>
  <c r="E129" i="20"/>
  <c r="K129" i="21"/>
  <c r="G129" i="21" s="1"/>
  <c r="J129" i="21"/>
  <c r="F129" i="21" s="1"/>
  <c r="I129" i="21"/>
  <c r="D129" i="21" s="1"/>
  <c r="E128" i="1"/>
  <c r="J129" i="1" s="1"/>
  <c r="F129" i="1" s="1"/>
  <c r="D130" i="27" l="1"/>
  <c r="E130" i="27"/>
  <c r="I131" i="24"/>
  <c r="D131" i="24" s="1"/>
  <c r="K131" i="24"/>
  <c r="G131" i="24" s="1"/>
  <c r="E131" i="25"/>
  <c r="K132" i="25" s="1"/>
  <c r="G132" i="25" s="1"/>
  <c r="E131" i="31"/>
  <c r="E129" i="26"/>
  <c r="D129" i="26"/>
  <c r="D131" i="31"/>
  <c r="I130" i="29"/>
  <c r="D130" i="29" s="1"/>
  <c r="J130" i="29"/>
  <c r="F130" i="29" s="1"/>
  <c r="E129" i="23"/>
  <c r="D130" i="32"/>
  <c r="E130" i="32"/>
  <c r="E134" i="30"/>
  <c r="J135" i="30" s="1"/>
  <c r="F135" i="30" s="1"/>
  <c r="K131" i="28"/>
  <c r="G131" i="28" s="1"/>
  <c r="I131" i="28"/>
  <c r="J131" i="28"/>
  <c r="F131" i="28" s="1"/>
  <c r="D132" i="22"/>
  <c r="E132" i="22"/>
  <c r="I130" i="20"/>
  <c r="J130" i="20"/>
  <c r="F130" i="20" s="1"/>
  <c r="K130" i="20"/>
  <c r="G130" i="20" s="1"/>
  <c r="E129" i="21"/>
  <c r="I129" i="1"/>
  <c r="D129" i="1" s="1"/>
  <c r="K129" i="1"/>
  <c r="G129" i="1" s="1"/>
  <c r="I131" i="27" l="1"/>
  <c r="J131" i="27"/>
  <c r="F131" i="27" s="1"/>
  <c r="K131" i="27"/>
  <c r="G131" i="27" s="1"/>
  <c r="E131" i="24"/>
  <c r="K132" i="24" s="1"/>
  <c r="G132" i="24" s="1"/>
  <c r="I132" i="25"/>
  <c r="D132" i="25" s="1"/>
  <c r="J132" i="25"/>
  <c r="F132" i="25" s="1"/>
  <c r="I132" i="24"/>
  <c r="I132" i="31"/>
  <c r="D132" i="31" s="1"/>
  <c r="J132" i="31"/>
  <c r="F132" i="31" s="1"/>
  <c r="K132" i="31"/>
  <c r="G132" i="31" s="1"/>
  <c r="I130" i="26"/>
  <c r="K130" i="26"/>
  <c r="G130" i="26" s="1"/>
  <c r="J130" i="26"/>
  <c r="F130" i="26" s="1"/>
  <c r="E130" i="29"/>
  <c r="J131" i="29" s="1"/>
  <c r="F131" i="29" s="1"/>
  <c r="J130" i="23"/>
  <c r="F130" i="23" s="1"/>
  <c r="I130" i="23"/>
  <c r="D130" i="23" s="1"/>
  <c r="K130" i="23"/>
  <c r="G130" i="23" s="1"/>
  <c r="J131" i="32"/>
  <c r="F131" i="32" s="1"/>
  <c r="I131" i="32"/>
  <c r="K131" i="32"/>
  <c r="G131" i="32" s="1"/>
  <c r="I135" i="30"/>
  <c r="D135" i="30" s="1"/>
  <c r="K135" i="30"/>
  <c r="G135" i="30" s="1"/>
  <c r="D131" i="28"/>
  <c r="E131" i="28"/>
  <c r="I133" i="22"/>
  <c r="D133" i="22" s="1"/>
  <c r="K133" i="22"/>
  <c r="G133" i="22" s="1"/>
  <c r="J133" i="22"/>
  <c r="F133" i="22" s="1"/>
  <c r="D130" i="20"/>
  <c r="E130" i="20"/>
  <c r="I130" i="21"/>
  <c r="D130" i="21" s="1"/>
  <c r="K130" i="21"/>
  <c r="G130" i="21" s="1"/>
  <c r="J130" i="21"/>
  <c r="F130" i="21" s="1"/>
  <c r="E129" i="1"/>
  <c r="J130" i="1" s="1"/>
  <c r="F130" i="1" s="1"/>
  <c r="J132" i="24" l="1"/>
  <c r="F132" i="24" s="1"/>
  <c r="D131" i="27"/>
  <c r="E131" i="27"/>
  <c r="E132" i="25"/>
  <c r="J133" i="25" s="1"/>
  <c r="F133" i="25" s="1"/>
  <c r="D132" i="24"/>
  <c r="E132" i="24"/>
  <c r="E132" i="31"/>
  <c r="D130" i="26"/>
  <c r="E130" i="26"/>
  <c r="I131" i="29"/>
  <c r="K131" i="29"/>
  <c r="G131" i="29" s="1"/>
  <c r="E130" i="23"/>
  <c r="D131" i="32"/>
  <c r="E131" i="32"/>
  <c r="E135" i="30"/>
  <c r="I136" i="30" s="1"/>
  <c r="K132" i="28"/>
  <c r="G132" i="28" s="1"/>
  <c r="I132" i="28"/>
  <c r="D132" i="28" s="1"/>
  <c r="J132" i="28"/>
  <c r="F132" i="28" s="1"/>
  <c r="E133" i="22"/>
  <c r="I131" i="20"/>
  <c r="D131" i="20" s="1"/>
  <c r="K131" i="20"/>
  <c r="G131" i="20" s="1"/>
  <c r="J131" i="20"/>
  <c r="F131" i="20" s="1"/>
  <c r="E130" i="21"/>
  <c r="I130" i="1"/>
  <c r="D130" i="1" s="1"/>
  <c r="K130" i="1"/>
  <c r="G130" i="1" s="1"/>
  <c r="I133" i="25" l="1"/>
  <c r="K133" i="25"/>
  <c r="G133" i="25" s="1"/>
  <c r="K132" i="27"/>
  <c r="G132" i="27" s="1"/>
  <c r="J132" i="27"/>
  <c r="F132" i="27" s="1"/>
  <c r="I132" i="27"/>
  <c r="D132" i="27" s="1"/>
  <c r="K133" i="24"/>
  <c r="G133" i="24" s="1"/>
  <c r="I133" i="24"/>
  <c r="J133" i="24"/>
  <c r="F133" i="24" s="1"/>
  <c r="D133" i="25"/>
  <c r="K133" i="31"/>
  <c r="G133" i="31" s="1"/>
  <c r="I133" i="31"/>
  <c r="J133" i="31"/>
  <c r="F133" i="31" s="1"/>
  <c r="E131" i="29"/>
  <c r="J132" i="29" s="1"/>
  <c r="F132" i="29" s="1"/>
  <c r="K131" i="26"/>
  <c r="G131" i="26" s="1"/>
  <c r="J131" i="26"/>
  <c r="F131" i="26" s="1"/>
  <c r="I131" i="26"/>
  <c r="D131" i="29"/>
  <c r="J131" i="23"/>
  <c r="F131" i="23" s="1"/>
  <c r="K131" i="23"/>
  <c r="G131" i="23" s="1"/>
  <c r="I131" i="23"/>
  <c r="D131" i="23" s="1"/>
  <c r="J132" i="32"/>
  <c r="F132" i="32" s="1"/>
  <c r="I132" i="32"/>
  <c r="K132" i="32"/>
  <c r="G132" i="32" s="1"/>
  <c r="K136" i="30"/>
  <c r="G136" i="30" s="1"/>
  <c r="J136" i="30"/>
  <c r="F136" i="30" s="1"/>
  <c r="E132" i="28"/>
  <c r="D136" i="30"/>
  <c r="J134" i="22"/>
  <c r="F134" i="22" s="1"/>
  <c r="I134" i="22"/>
  <c r="K134" i="22"/>
  <c r="G134" i="22" s="1"/>
  <c r="E131" i="20"/>
  <c r="I131" i="21"/>
  <c r="D131" i="21" s="1"/>
  <c r="J131" i="21"/>
  <c r="F131" i="21" s="1"/>
  <c r="K131" i="21"/>
  <c r="G131" i="21" s="1"/>
  <c r="E130" i="1"/>
  <c r="J131" i="1" s="1"/>
  <c r="F131" i="1" s="1"/>
  <c r="E133" i="25" l="1"/>
  <c r="E132" i="27"/>
  <c r="D133" i="24"/>
  <c r="E133" i="24"/>
  <c r="I134" i="25"/>
  <c r="D134" i="25" s="1"/>
  <c r="K134" i="25"/>
  <c r="G134" i="25" s="1"/>
  <c r="J134" i="25"/>
  <c r="F134" i="25" s="1"/>
  <c r="K132" i="29"/>
  <c r="G132" i="29" s="1"/>
  <c r="I132" i="29"/>
  <c r="D133" i="31"/>
  <c r="E133" i="31"/>
  <c r="D131" i="26"/>
  <c r="E131" i="26"/>
  <c r="E131" i="23"/>
  <c r="D132" i="32"/>
  <c r="E132" i="32"/>
  <c r="E136" i="30"/>
  <c r="J137" i="30" s="1"/>
  <c r="F137" i="30" s="1"/>
  <c r="I133" i="28"/>
  <c r="J133" i="28"/>
  <c r="F133" i="28" s="1"/>
  <c r="K133" i="28"/>
  <c r="G133" i="28" s="1"/>
  <c r="D134" i="22"/>
  <c r="E134" i="22"/>
  <c r="J132" i="20"/>
  <c r="F132" i="20" s="1"/>
  <c r="I132" i="20"/>
  <c r="K132" i="20"/>
  <c r="G132" i="20" s="1"/>
  <c r="E131" i="21"/>
  <c r="K131" i="1"/>
  <c r="G131" i="1" s="1"/>
  <c r="I131" i="1"/>
  <c r="D131" i="1" s="1"/>
  <c r="I133" i="27" l="1"/>
  <c r="J133" i="27"/>
  <c r="F133" i="27" s="1"/>
  <c r="K133" i="27"/>
  <c r="G133" i="27" s="1"/>
  <c r="J134" i="24"/>
  <c r="F134" i="24" s="1"/>
  <c r="K134" i="24"/>
  <c r="G134" i="24" s="1"/>
  <c r="I134" i="24"/>
  <c r="E132" i="29"/>
  <c r="J133" i="29" s="1"/>
  <c r="F133" i="29" s="1"/>
  <c r="E134" i="25"/>
  <c r="D132" i="29"/>
  <c r="J134" i="31"/>
  <c r="F134" i="31" s="1"/>
  <c r="K134" i="31"/>
  <c r="G134" i="31" s="1"/>
  <c r="I134" i="31"/>
  <c r="I132" i="26"/>
  <c r="K132" i="26"/>
  <c r="G132" i="26" s="1"/>
  <c r="J132" i="26"/>
  <c r="F132" i="26" s="1"/>
  <c r="I137" i="30"/>
  <c r="D137" i="30" s="1"/>
  <c r="K137" i="30"/>
  <c r="G137" i="30" s="1"/>
  <c r="J132" i="23"/>
  <c r="F132" i="23" s="1"/>
  <c r="I132" i="23"/>
  <c r="D132" i="23" s="1"/>
  <c r="K132" i="23"/>
  <c r="G132" i="23" s="1"/>
  <c r="K133" i="32"/>
  <c r="G133" i="32" s="1"/>
  <c r="J133" i="32"/>
  <c r="F133" i="32" s="1"/>
  <c r="I133" i="32"/>
  <c r="D133" i="32" s="1"/>
  <c r="D133" i="28"/>
  <c r="E133" i="28"/>
  <c r="J135" i="22"/>
  <c r="F135" i="22" s="1"/>
  <c r="I135" i="22"/>
  <c r="K135" i="22"/>
  <c r="G135" i="22" s="1"/>
  <c r="D132" i="20"/>
  <c r="E132" i="20"/>
  <c r="I132" i="21"/>
  <c r="D132" i="21" s="1"/>
  <c r="J132" i="21"/>
  <c r="F132" i="21" s="1"/>
  <c r="K132" i="21"/>
  <c r="G132" i="21" s="1"/>
  <c r="E131" i="1"/>
  <c r="J132" i="1" s="1"/>
  <c r="F132" i="1" s="1"/>
  <c r="E133" i="27" l="1"/>
  <c r="D133" i="27"/>
  <c r="D134" i="24"/>
  <c r="E134" i="24"/>
  <c r="I133" i="29"/>
  <c r="D133" i="29" s="1"/>
  <c r="K133" i="29"/>
  <c r="G133" i="29" s="1"/>
  <c r="J135" i="25"/>
  <c r="F135" i="25" s="1"/>
  <c r="K135" i="25"/>
  <c r="G135" i="25" s="1"/>
  <c r="I135" i="25"/>
  <c r="D134" i="31"/>
  <c r="E134" i="31"/>
  <c r="E132" i="26"/>
  <c r="K133" i="26" s="1"/>
  <c r="G133" i="26" s="1"/>
  <c r="D132" i="26"/>
  <c r="E137" i="30"/>
  <c r="J138" i="30" s="1"/>
  <c r="F138" i="30" s="1"/>
  <c r="E132" i="23"/>
  <c r="I133" i="23" s="1"/>
  <c r="D133" i="23" s="1"/>
  <c r="E133" i="32"/>
  <c r="K134" i="28"/>
  <c r="G134" i="28" s="1"/>
  <c r="I134" i="28"/>
  <c r="D134" i="28" s="1"/>
  <c r="J134" i="28"/>
  <c r="F134" i="28" s="1"/>
  <c r="D135" i="22"/>
  <c r="E135" i="22"/>
  <c r="K133" i="20"/>
  <c r="G133" i="20" s="1"/>
  <c r="J133" i="20"/>
  <c r="F133" i="20" s="1"/>
  <c r="I133" i="20"/>
  <c r="D133" i="20" s="1"/>
  <c r="E132" i="21"/>
  <c r="K132" i="1"/>
  <c r="G132" i="1" s="1"/>
  <c r="I132" i="1"/>
  <c r="D132" i="1" s="1"/>
  <c r="K134" i="27" l="1"/>
  <c r="G134" i="27" s="1"/>
  <c r="J134" i="27"/>
  <c r="F134" i="27" s="1"/>
  <c r="I134" i="27"/>
  <c r="E133" i="29"/>
  <c r="I134" i="29" s="1"/>
  <c r="J135" i="24"/>
  <c r="F135" i="24" s="1"/>
  <c r="K135" i="24"/>
  <c r="G135" i="24" s="1"/>
  <c r="I135" i="24"/>
  <c r="D135" i="25"/>
  <c r="E135" i="25"/>
  <c r="I133" i="26"/>
  <c r="D133" i="26" s="1"/>
  <c r="I135" i="31"/>
  <c r="J135" i="31"/>
  <c r="F135" i="31" s="1"/>
  <c r="K135" i="31"/>
  <c r="G135" i="31" s="1"/>
  <c r="J133" i="26"/>
  <c r="F133" i="26" s="1"/>
  <c r="I138" i="30"/>
  <c r="D138" i="30" s="1"/>
  <c r="K138" i="30"/>
  <c r="G138" i="30" s="1"/>
  <c r="K133" i="23"/>
  <c r="G133" i="23" s="1"/>
  <c r="J133" i="23"/>
  <c r="F133" i="23" s="1"/>
  <c r="J134" i="32"/>
  <c r="F134" i="32" s="1"/>
  <c r="I134" i="32"/>
  <c r="D134" i="32" s="1"/>
  <c r="K134" i="32"/>
  <c r="G134" i="32" s="1"/>
  <c r="E134" i="28"/>
  <c r="K135" i="28" s="1"/>
  <c r="G135" i="28" s="1"/>
  <c r="J136" i="22"/>
  <c r="F136" i="22" s="1"/>
  <c r="K136" i="22"/>
  <c r="G136" i="22" s="1"/>
  <c r="I136" i="22"/>
  <c r="E133" i="20"/>
  <c r="J133" i="21"/>
  <c r="F133" i="21" s="1"/>
  <c r="K133" i="21"/>
  <c r="G133" i="21" s="1"/>
  <c r="I133" i="21"/>
  <c r="D133" i="21" s="1"/>
  <c r="E132" i="1"/>
  <c r="I133" i="1" s="1"/>
  <c r="D133" i="1" s="1"/>
  <c r="K134" i="29" l="1"/>
  <c r="G134" i="29" s="1"/>
  <c r="J134" i="29"/>
  <c r="F134" i="29" s="1"/>
  <c r="D134" i="27"/>
  <c r="E134" i="27"/>
  <c r="E135" i="24"/>
  <c r="D135" i="24"/>
  <c r="J136" i="25"/>
  <c r="F136" i="25" s="1"/>
  <c r="I136" i="25"/>
  <c r="D136" i="25" s="1"/>
  <c r="K136" i="25"/>
  <c r="G136" i="25" s="1"/>
  <c r="E133" i="26"/>
  <c r="D135" i="31"/>
  <c r="E135" i="31"/>
  <c r="E138" i="30"/>
  <c r="K139" i="30" s="1"/>
  <c r="G139" i="30" s="1"/>
  <c r="E134" i="29"/>
  <c r="D134" i="29"/>
  <c r="E133" i="23"/>
  <c r="K134" i="23" s="1"/>
  <c r="G134" i="23" s="1"/>
  <c r="E134" i="32"/>
  <c r="J135" i="28"/>
  <c r="F135" i="28" s="1"/>
  <c r="I135" i="28"/>
  <c r="D135" i="28" s="1"/>
  <c r="D136" i="22"/>
  <c r="E136" i="22"/>
  <c r="I134" i="20"/>
  <c r="D134" i="20" s="1"/>
  <c r="K134" i="20"/>
  <c r="G134" i="20" s="1"/>
  <c r="J134" i="20"/>
  <c r="F134" i="20" s="1"/>
  <c r="E133" i="21"/>
  <c r="K133" i="1"/>
  <c r="G133" i="1" s="1"/>
  <c r="J133" i="1"/>
  <c r="F133" i="1" s="1"/>
  <c r="J135" i="27" l="1"/>
  <c r="F135" i="27" s="1"/>
  <c r="I135" i="27"/>
  <c r="K135" i="27"/>
  <c r="G135" i="27" s="1"/>
  <c r="J136" i="24"/>
  <c r="F136" i="24" s="1"/>
  <c r="K136" i="24"/>
  <c r="G136" i="24" s="1"/>
  <c r="I136" i="24"/>
  <c r="I139" i="30"/>
  <c r="J139" i="30"/>
  <c r="F139" i="30" s="1"/>
  <c r="E136" i="25"/>
  <c r="K137" i="25" s="1"/>
  <c r="G137" i="25" s="1"/>
  <c r="J136" i="31"/>
  <c r="F136" i="31" s="1"/>
  <c r="I136" i="31"/>
  <c r="K136" i="31"/>
  <c r="G136" i="31" s="1"/>
  <c r="I134" i="26"/>
  <c r="K134" i="26"/>
  <c r="G134" i="26" s="1"/>
  <c r="J134" i="26"/>
  <c r="F134" i="26" s="1"/>
  <c r="K135" i="29"/>
  <c r="G135" i="29" s="1"/>
  <c r="J135" i="29"/>
  <c r="F135" i="29" s="1"/>
  <c r="I135" i="29"/>
  <c r="J134" i="23"/>
  <c r="F134" i="23" s="1"/>
  <c r="I134" i="23"/>
  <c r="D134" i="23" s="1"/>
  <c r="J135" i="32"/>
  <c r="F135" i="32" s="1"/>
  <c r="I135" i="32"/>
  <c r="D135" i="32" s="1"/>
  <c r="K135" i="32"/>
  <c r="G135" i="32" s="1"/>
  <c r="E135" i="28"/>
  <c r="I136" i="28" s="1"/>
  <c r="I137" i="22"/>
  <c r="K137" i="22"/>
  <c r="G137" i="22" s="1"/>
  <c r="J137" i="22"/>
  <c r="F137" i="22" s="1"/>
  <c r="E134" i="20"/>
  <c r="J134" i="21"/>
  <c r="F134" i="21" s="1"/>
  <c r="I134" i="21"/>
  <c r="D134" i="21" s="1"/>
  <c r="K134" i="21"/>
  <c r="G134" i="21" s="1"/>
  <c r="E133" i="1"/>
  <c r="K134" i="1" s="1"/>
  <c r="G134" i="1" s="1"/>
  <c r="D135" i="27" l="1"/>
  <c r="E135" i="27"/>
  <c r="E139" i="30"/>
  <c r="D139" i="30"/>
  <c r="D136" i="24"/>
  <c r="E136" i="24"/>
  <c r="J137" i="25"/>
  <c r="F137" i="25" s="1"/>
  <c r="I137" i="25"/>
  <c r="D137" i="25" s="1"/>
  <c r="D134" i="26"/>
  <c r="E134" i="26"/>
  <c r="D136" i="31"/>
  <c r="E136" i="31"/>
  <c r="D135" i="29"/>
  <c r="E135" i="29"/>
  <c r="E134" i="23"/>
  <c r="I135" i="23" s="1"/>
  <c r="D135" i="23" s="1"/>
  <c r="E135" i="32"/>
  <c r="K136" i="28"/>
  <c r="G136" i="28" s="1"/>
  <c r="J136" i="28"/>
  <c r="F136" i="28" s="1"/>
  <c r="D136" i="28"/>
  <c r="K140" i="30"/>
  <c r="G140" i="30" s="1"/>
  <c r="D137" i="22"/>
  <c r="E137" i="22"/>
  <c r="J135" i="20"/>
  <c r="F135" i="20" s="1"/>
  <c r="K135" i="20"/>
  <c r="G135" i="20" s="1"/>
  <c r="I135" i="20"/>
  <c r="E134" i="21"/>
  <c r="I134" i="1"/>
  <c r="D134" i="1" s="1"/>
  <c r="J134" i="1"/>
  <c r="F134" i="1" s="1"/>
  <c r="J136" i="27" l="1"/>
  <c r="F136" i="27" s="1"/>
  <c r="I136" i="27"/>
  <c r="K136" i="27"/>
  <c r="G136" i="27" s="1"/>
  <c r="I140" i="30"/>
  <c r="D140" i="30" s="1"/>
  <c r="J140" i="30"/>
  <c r="F140" i="30" s="1"/>
  <c r="J137" i="24"/>
  <c r="F137" i="24" s="1"/>
  <c r="I137" i="24"/>
  <c r="K137" i="24"/>
  <c r="G137" i="24" s="1"/>
  <c r="E137" i="25"/>
  <c r="J138" i="25" s="1"/>
  <c r="F138" i="25" s="1"/>
  <c r="K137" i="31"/>
  <c r="G137" i="31" s="1"/>
  <c r="I137" i="31"/>
  <c r="D137" i="31" s="1"/>
  <c r="J137" i="31"/>
  <c r="F137" i="31" s="1"/>
  <c r="J135" i="26"/>
  <c r="F135" i="26" s="1"/>
  <c r="I135" i="26"/>
  <c r="K135" i="26"/>
  <c r="G135" i="26" s="1"/>
  <c r="K135" i="23"/>
  <c r="G135" i="23" s="1"/>
  <c r="I136" i="29"/>
  <c r="J136" i="29"/>
  <c r="F136" i="29" s="1"/>
  <c r="K136" i="29"/>
  <c r="G136" i="29" s="1"/>
  <c r="J135" i="23"/>
  <c r="F135" i="23" s="1"/>
  <c r="J136" i="32"/>
  <c r="F136" i="32" s="1"/>
  <c r="I136" i="32"/>
  <c r="D136" i="32" s="1"/>
  <c r="K136" i="32"/>
  <c r="G136" i="32" s="1"/>
  <c r="E136" i="28"/>
  <c r="J137" i="28" s="1"/>
  <c r="F137" i="28" s="1"/>
  <c r="I138" i="22"/>
  <c r="K138" i="22"/>
  <c r="G138" i="22" s="1"/>
  <c r="J138" i="22"/>
  <c r="F138" i="22" s="1"/>
  <c r="E135" i="20"/>
  <c r="D135" i="20"/>
  <c r="I135" i="21"/>
  <c r="D135" i="21" s="1"/>
  <c r="J135" i="21"/>
  <c r="F135" i="21" s="1"/>
  <c r="K135" i="21"/>
  <c r="G135" i="21" s="1"/>
  <c r="E134" i="1"/>
  <c r="J135" i="1" s="1"/>
  <c r="F135" i="1" s="1"/>
  <c r="E140" i="30" l="1"/>
  <c r="D136" i="27"/>
  <c r="E136" i="27"/>
  <c r="D137" i="24"/>
  <c r="E137" i="24"/>
  <c r="I138" i="25"/>
  <c r="D138" i="25" s="1"/>
  <c r="K138" i="25"/>
  <c r="G138" i="25" s="1"/>
  <c r="E137" i="31"/>
  <c r="D135" i="26"/>
  <c r="E135" i="26"/>
  <c r="E136" i="29"/>
  <c r="D136" i="29"/>
  <c r="E135" i="23"/>
  <c r="E136" i="32"/>
  <c r="I137" i="28"/>
  <c r="D137" i="28" s="1"/>
  <c r="K137" i="28"/>
  <c r="G137" i="28" s="1"/>
  <c r="K141" i="30"/>
  <c r="G141" i="30" s="1"/>
  <c r="J141" i="30"/>
  <c r="F141" i="30" s="1"/>
  <c r="I141" i="30"/>
  <c r="D138" i="22"/>
  <c r="E138" i="22"/>
  <c r="K136" i="20"/>
  <c r="G136" i="20" s="1"/>
  <c r="I136" i="20"/>
  <c r="J136" i="20"/>
  <c r="F136" i="20" s="1"/>
  <c r="E135" i="21"/>
  <c r="K135" i="1"/>
  <c r="G135" i="1" s="1"/>
  <c r="I135" i="1"/>
  <c r="D135" i="1" s="1"/>
  <c r="J137" i="27" l="1"/>
  <c r="F137" i="27" s="1"/>
  <c r="K137" i="27"/>
  <c r="G137" i="27" s="1"/>
  <c r="I137" i="27"/>
  <c r="K138" i="24"/>
  <c r="G138" i="24" s="1"/>
  <c r="I138" i="24"/>
  <c r="J138" i="24"/>
  <c r="F138" i="24" s="1"/>
  <c r="E138" i="25"/>
  <c r="J139" i="25" s="1"/>
  <c r="F139" i="25" s="1"/>
  <c r="J136" i="26"/>
  <c r="F136" i="26" s="1"/>
  <c r="K136" i="26"/>
  <c r="G136" i="26" s="1"/>
  <c r="I136" i="26"/>
  <c r="D136" i="26" s="1"/>
  <c r="I138" i="31"/>
  <c r="J138" i="31"/>
  <c r="F138" i="31" s="1"/>
  <c r="K138" i="31"/>
  <c r="G138" i="31" s="1"/>
  <c r="I137" i="29"/>
  <c r="J137" i="29"/>
  <c r="F137" i="29" s="1"/>
  <c r="K137" i="29"/>
  <c r="G137" i="29" s="1"/>
  <c r="J136" i="23"/>
  <c r="F136" i="23" s="1"/>
  <c r="I136" i="23"/>
  <c r="D136" i="23" s="1"/>
  <c r="K136" i="23"/>
  <c r="G136" i="23" s="1"/>
  <c r="K137" i="32"/>
  <c r="G137" i="32" s="1"/>
  <c r="J137" i="32"/>
  <c r="F137" i="32" s="1"/>
  <c r="I137" i="32"/>
  <c r="D137" i="32" s="1"/>
  <c r="E137" i="28"/>
  <c r="J138" i="28" s="1"/>
  <c r="F138" i="28" s="1"/>
  <c r="D141" i="30"/>
  <c r="E141" i="30"/>
  <c r="J139" i="22"/>
  <c r="F139" i="22" s="1"/>
  <c r="I139" i="22"/>
  <c r="D139" i="22" s="1"/>
  <c r="K139" i="22"/>
  <c r="G139" i="22" s="1"/>
  <c r="D136" i="20"/>
  <c r="E136" i="20"/>
  <c r="E135" i="1"/>
  <c r="J136" i="1" s="1"/>
  <c r="F136" i="1" s="1"/>
  <c r="I136" i="21"/>
  <c r="D136" i="21" s="1"/>
  <c r="J136" i="21"/>
  <c r="F136" i="21" s="1"/>
  <c r="K136" i="21"/>
  <c r="G136" i="21" s="1"/>
  <c r="D137" i="27" l="1"/>
  <c r="E137" i="27"/>
  <c r="E138" i="24"/>
  <c r="D138" i="24"/>
  <c r="I139" i="25"/>
  <c r="D139" i="25" s="1"/>
  <c r="K139" i="25"/>
  <c r="G139" i="25" s="1"/>
  <c r="D138" i="31"/>
  <c r="E138" i="31"/>
  <c r="E136" i="26"/>
  <c r="D137" i="29"/>
  <c r="E137" i="29"/>
  <c r="E136" i="23"/>
  <c r="E137" i="32"/>
  <c r="K138" i="28"/>
  <c r="G138" i="28" s="1"/>
  <c r="I138" i="28"/>
  <c r="D138" i="28" s="1"/>
  <c r="J142" i="30"/>
  <c r="F142" i="30" s="1"/>
  <c r="K142" i="30"/>
  <c r="G142" i="30" s="1"/>
  <c r="I142" i="30"/>
  <c r="E139" i="22"/>
  <c r="J137" i="20"/>
  <c r="F137" i="20" s="1"/>
  <c r="I137" i="20"/>
  <c r="K137" i="20"/>
  <c r="G137" i="20" s="1"/>
  <c r="E136" i="21"/>
  <c r="K137" i="21" s="1"/>
  <c r="G137" i="21" s="1"/>
  <c r="K136" i="1"/>
  <c r="G136" i="1" s="1"/>
  <c r="I136" i="1"/>
  <c r="D136" i="1" s="1"/>
  <c r="K138" i="27" l="1"/>
  <c r="G138" i="27" s="1"/>
  <c r="J138" i="27"/>
  <c r="F138" i="27" s="1"/>
  <c r="I138" i="27"/>
  <c r="J139" i="24"/>
  <c r="F139" i="24" s="1"/>
  <c r="I139" i="24"/>
  <c r="K139" i="24"/>
  <c r="G139" i="24" s="1"/>
  <c r="E139" i="25"/>
  <c r="K140" i="25" s="1"/>
  <c r="G140" i="25" s="1"/>
  <c r="J137" i="26"/>
  <c r="F137" i="26" s="1"/>
  <c r="I137" i="26"/>
  <c r="D137" i="26" s="1"/>
  <c r="K137" i="26"/>
  <c r="G137" i="26" s="1"/>
  <c r="I139" i="31"/>
  <c r="D139" i="31" s="1"/>
  <c r="J139" i="31"/>
  <c r="F139" i="31" s="1"/>
  <c r="K139" i="31"/>
  <c r="G139" i="31" s="1"/>
  <c r="I138" i="29"/>
  <c r="K138" i="29"/>
  <c r="G138" i="29" s="1"/>
  <c r="J138" i="29"/>
  <c r="F138" i="29" s="1"/>
  <c r="K137" i="23"/>
  <c r="G137" i="23" s="1"/>
  <c r="J137" i="23"/>
  <c r="F137" i="23" s="1"/>
  <c r="I137" i="23"/>
  <c r="D137" i="23" s="1"/>
  <c r="I138" i="32"/>
  <c r="D138" i="32" s="1"/>
  <c r="K138" i="32"/>
  <c r="G138" i="32" s="1"/>
  <c r="J138" i="32"/>
  <c r="F138" i="32" s="1"/>
  <c r="E138" i="28"/>
  <c r="I139" i="28" s="1"/>
  <c r="D142" i="30"/>
  <c r="E142" i="30"/>
  <c r="K140" i="22"/>
  <c r="G140" i="22" s="1"/>
  <c r="I140" i="22"/>
  <c r="D140" i="22" s="1"/>
  <c r="J140" i="22"/>
  <c r="F140" i="22" s="1"/>
  <c r="D137" i="20"/>
  <c r="E137" i="20"/>
  <c r="I137" i="21"/>
  <c r="D137" i="21" s="1"/>
  <c r="J137" i="21"/>
  <c r="F137" i="21" s="1"/>
  <c r="E136" i="1"/>
  <c r="K137" i="1" s="1"/>
  <c r="G137" i="1" s="1"/>
  <c r="D138" i="27" l="1"/>
  <c r="E138" i="27"/>
  <c r="D139" i="24"/>
  <c r="E139" i="24"/>
  <c r="I140" i="25"/>
  <c r="D140" i="25" s="1"/>
  <c r="J140" i="25"/>
  <c r="F140" i="25" s="1"/>
  <c r="E139" i="31"/>
  <c r="E137" i="26"/>
  <c r="J139" i="28"/>
  <c r="F139" i="28" s="1"/>
  <c r="D138" i="29"/>
  <c r="E138" i="29"/>
  <c r="E137" i="23"/>
  <c r="E138" i="32"/>
  <c r="K139" i="28"/>
  <c r="G139" i="28" s="1"/>
  <c r="D139" i="28"/>
  <c r="J143" i="30"/>
  <c r="F143" i="30" s="1"/>
  <c r="K143" i="30"/>
  <c r="G143" i="30" s="1"/>
  <c r="I143" i="30"/>
  <c r="E140" i="22"/>
  <c r="J138" i="20"/>
  <c r="F138" i="20" s="1"/>
  <c r="K138" i="20"/>
  <c r="G138" i="20" s="1"/>
  <c r="I138" i="20"/>
  <c r="D138" i="20" s="1"/>
  <c r="E137" i="21"/>
  <c r="I138" i="21" s="1"/>
  <c r="D138" i="21" s="1"/>
  <c r="J137" i="1"/>
  <c r="F137" i="1" s="1"/>
  <c r="I137" i="1"/>
  <c r="D137" i="1" s="1"/>
  <c r="K139" i="27" l="1"/>
  <c r="G139" i="27" s="1"/>
  <c r="J139" i="27"/>
  <c r="F139" i="27" s="1"/>
  <c r="I139" i="27"/>
  <c r="I140" i="24"/>
  <c r="D140" i="24" s="1"/>
  <c r="J140" i="24"/>
  <c r="F140" i="24" s="1"/>
  <c r="K140" i="24"/>
  <c r="G140" i="24" s="1"/>
  <c r="E140" i="25"/>
  <c r="I141" i="25" s="1"/>
  <c r="J140" i="31"/>
  <c r="F140" i="31" s="1"/>
  <c r="K140" i="31"/>
  <c r="G140" i="31" s="1"/>
  <c r="I140" i="31"/>
  <c r="I138" i="26"/>
  <c r="K138" i="26"/>
  <c r="G138" i="26" s="1"/>
  <c r="J138" i="26"/>
  <c r="F138" i="26" s="1"/>
  <c r="E139" i="28"/>
  <c r="K140" i="28" s="1"/>
  <c r="G140" i="28" s="1"/>
  <c r="I139" i="29"/>
  <c r="K139" i="29"/>
  <c r="G139" i="29" s="1"/>
  <c r="J139" i="29"/>
  <c r="F139" i="29" s="1"/>
  <c r="I138" i="23"/>
  <c r="D138" i="23" s="1"/>
  <c r="K138" i="23"/>
  <c r="G138" i="23" s="1"/>
  <c r="J138" i="23"/>
  <c r="F138" i="23" s="1"/>
  <c r="K139" i="32"/>
  <c r="G139" i="32" s="1"/>
  <c r="J139" i="32"/>
  <c r="F139" i="32" s="1"/>
  <c r="I139" i="32"/>
  <c r="D139" i="32" s="1"/>
  <c r="D143" i="30"/>
  <c r="E143" i="30"/>
  <c r="I141" i="22"/>
  <c r="D141" i="22" s="1"/>
  <c r="K141" i="22"/>
  <c r="G141" i="22" s="1"/>
  <c r="J141" i="22"/>
  <c r="F141" i="22" s="1"/>
  <c r="J138" i="21"/>
  <c r="F138" i="21" s="1"/>
  <c r="E138" i="20"/>
  <c r="K138" i="21"/>
  <c r="G138" i="21" s="1"/>
  <c r="E137" i="1"/>
  <c r="K138" i="1" s="1"/>
  <c r="G138" i="1" s="1"/>
  <c r="D139" i="27" l="1"/>
  <c r="E139" i="27"/>
  <c r="E140" i="24"/>
  <c r="K141" i="25"/>
  <c r="G141" i="25" s="1"/>
  <c r="J141" i="25"/>
  <c r="F141" i="25" s="1"/>
  <c r="J140" i="28"/>
  <c r="F140" i="28" s="1"/>
  <c r="D141" i="25"/>
  <c r="D140" i="31"/>
  <c r="E140" i="31"/>
  <c r="D138" i="26"/>
  <c r="E138" i="26"/>
  <c r="I140" i="28"/>
  <c r="D140" i="28" s="1"/>
  <c r="D139" i="29"/>
  <c r="E139" i="29"/>
  <c r="E138" i="23"/>
  <c r="E139" i="32"/>
  <c r="I144" i="30"/>
  <c r="D144" i="30" s="1"/>
  <c r="K144" i="30"/>
  <c r="G144" i="30" s="1"/>
  <c r="J144" i="30"/>
  <c r="F144" i="30" s="1"/>
  <c r="E141" i="22"/>
  <c r="E138" i="21"/>
  <c r="K139" i="21" s="1"/>
  <c r="G139" i="21" s="1"/>
  <c r="I139" i="20"/>
  <c r="K139" i="20"/>
  <c r="G139" i="20" s="1"/>
  <c r="J139" i="20"/>
  <c r="F139" i="20" s="1"/>
  <c r="I138" i="1"/>
  <c r="D138" i="1" s="1"/>
  <c r="J138" i="1"/>
  <c r="F138" i="1" s="1"/>
  <c r="K140" i="27" l="1"/>
  <c r="G140" i="27" s="1"/>
  <c r="J140" i="27"/>
  <c r="F140" i="27" s="1"/>
  <c r="I140" i="27"/>
  <c r="E141" i="25"/>
  <c r="I142" i="25" s="1"/>
  <c r="K141" i="24"/>
  <c r="G141" i="24" s="1"/>
  <c r="I141" i="24"/>
  <c r="J141" i="24"/>
  <c r="F141" i="24" s="1"/>
  <c r="J141" i="31"/>
  <c r="F141" i="31" s="1"/>
  <c r="K141" i="31"/>
  <c r="G141" i="31" s="1"/>
  <c r="I141" i="31"/>
  <c r="K139" i="26"/>
  <c r="G139" i="26" s="1"/>
  <c r="I139" i="26"/>
  <c r="J139" i="26"/>
  <c r="F139" i="26" s="1"/>
  <c r="E140" i="28"/>
  <c r="I141" i="28" s="1"/>
  <c r="D141" i="28" s="1"/>
  <c r="J140" i="29"/>
  <c r="F140" i="29" s="1"/>
  <c r="I140" i="29"/>
  <c r="K140" i="29"/>
  <c r="G140" i="29" s="1"/>
  <c r="J139" i="23"/>
  <c r="F139" i="23" s="1"/>
  <c r="I139" i="23"/>
  <c r="D139" i="23" s="1"/>
  <c r="K139" i="23"/>
  <c r="G139" i="23" s="1"/>
  <c r="K140" i="32"/>
  <c r="G140" i="32" s="1"/>
  <c r="J140" i="32"/>
  <c r="F140" i="32" s="1"/>
  <c r="I140" i="32"/>
  <c r="D140" i="32" s="1"/>
  <c r="E144" i="30"/>
  <c r="I142" i="22"/>
  <c r="D142" i="22" s="1"/>
  <c r="K142" i="22"/>
  <c r="G142" i="22" s="1"/>
  <c r="J142" i="22"/>
  <c r="F142" i="22" s="1"/>
  <c r="I139" i="21"/>
  <c r="D139" i="21" s="1"/>
  <c r="J139" i="21"/>
  <c r="F139" i="21" s="1"/>
  <c r="D139" i="20"/>
  <c r="E139" i="20"/>
  <c r="E138" i="1"/>
  <c r="K139" i="1" s="1"/>
  <c r="G139" i="1" s="1"/>
  <c r="J142" i="25" l="1"/>
  <c r="F142" i="25" s="1"/>
  <c r="E140" i="27"/>
  <c r="D140" i="27"/>
  <c r="K142" i="25"/>
  <c r="G142" i="25" s="1"/>
  <c r="D141" i="24"/>
  <c r="E141" i="24"/>
  <c r="J141" i="28"/>
  <c r="F141" i="28" s="1"/>
  <c r="K141" i="28"/>
  <c r="G141" i="28" s="1"/>
  <c r="D142" i="25"/>
  <c r="D141" i="31"/>
  <c r="E141" i="31"/>
  <c r="E139" i="26"/>
  <c r="D139" i="26"/>
  <c r="D140" i="29"/>
  <c r="E140" i="29"/>
  <c r="E139" i="23"/>
  <c r="E140" i="32"/>
  <c r="K145" i="30"/>
  <c r="G145" i="30" s="1"/>
  <c r="J145" i="30"/>
  <c r="F145" i="30" s="1"/>
  <c r="I145" i="30"/>
  <c r="D145" i="30" s="1"/>
  <c r="E142" i="22"/>
  <c r="E139" i="21"/>
  <c r="K140" i="21" s="1"/>
  <c r="G140" i="21" s="1"/>
  <c r="K140" i="20"/>
  <c r="G140" i="20" s="1"/>
  <c r="I140" i="20"/>
  <c r="D140" i="20" s="1"/>
  <c r="J140" i="20"/>
  <c r="F140" i="20" s="1"/>
  <c r="I139" i="1"/>
  <c r="D139" i="1" s="1"/>
  <c r="J139" i="1"/>
  <c r="F139" i="1" s="1"/>
  <c r="E142" i="25" l="1"/>
  <c r="J141" i="27"/>
  <c r="F141" i="27" s="1"/>
  <c r="I141" i="27"/>
  <c r="K141" i="27"/>
  <c r="G141" i="27" s="1"/>
  <c r="E141" i="28"/>
  <c r="K142" i="24"/>
  <c r="G142" i="24" s="1"/>
  <c r="I142" i="24"/>
  <c r="J142" i="24"/>
  <c r="F142" i="24" s="1"/>
  <c r="I143" i="25"/>
  <c r="K143" i="25"/>
  <c r="G143" i="25" s="1"/>
  <c r="J143" i="25"/>
  <c r="F143" i="25" s="1"/>
  <c r="K142" i="31"/>
  <c r="G142" i="31" s="1"/>
  <c r="I142" i="31"/>
  <c r="D142" i="31" s="1"/>
  <c r="J142" i="31"/>
  <c r="F142" i="31" s="1"/>
  <c r="J140" i="26"/>
  <c r="F140" i="26" s="1"/>
  <c r="I140" i="26"/>
  <c r="K140" i="26"/>
  <c r="G140" i="26" s="1"/>
  <c r="I141" i="29"/>
  <c r="K141" i="29"/>
  <c r="G141" i="29" s="1"/>
  <c r="J141" i="29"/>
  <c r="F141" i="29" s="1"/>
  <c r="J140" i="23"/>
  <c r="F140" i="23" s="1"/>
  <c r="K140" i="23"/>
  <c r="G140" i="23" s="1"/>
  <c r="I140" i="23"/>
  <c r="D140" i="23" s="1"/>
  <c r="J141" i="32"/>
  <c r="F141" i="32" s="1"/>
  <c r="K141" i="32"/>
  <c r="G141" i="32" s="1"/>
  <c r="I141" i="32"/>
  <c r="D141" i="32" s="1"/>
  <c r="I142" i="28"/>
  <c r="J142" i="28"/>
  <c r="F142" i="28" s="1"/>
  <c r="K142" i="28"/>
  <c r="G142" i="28" s="1"/>
  <c r="E145" i="30"/>
  <c r="J143" i="22"/>
  <c r="F143" i="22" s="1"/>
  <c r="I143" i="22"/>
  <c r="D143" i="22" s="1"/>
  <c r="K143" i="22"/>
  <c r="G143" i="22" s="1"/>
  <c r="I140" i="21"/>
  <c r="D140" i="21" s="1"/>
  <c r="J140" i="21"/>
  <c r="F140" i="21" s="1"/>
  <c r="E140" i="20"/>
  <c r="E139" i="1"/>
  <c r="J140" i="1" s="1"/>
  <c r="F140" i="1" s="1"/>
  <c r="D141" i="27" l="1"/>
  <c r="E141" i="27"/>
  <c r="D142" i="24"/>
  <c r="E142" i="24"/>
  <c r="D143" i="25"/>
  <c r="E143" i="25"/>
  <c r="E140" i="26"/>
  <c r="J141" i="26" s="1"/>
  <c r="F141" i="26" s="1"/>
  <c r="E142" i="31"/>
  <c r="D140" i="26"/>
  <c r="D141" i="29"/>
  <c r="E141" i="29"/>
  <c r="E140" i="23"/>
  <c r="E141" i="32"/>
  <c r="D142" i="28"/>
  <c r="E142" i="28"/>
  <c r="K146" i="30"/>
  <c r="G146" i="30" s="1"/>
  <c r="I146" i="30"/>
  <c r="D146" i="30" s="1"/>
  <c r="J146" i="30"/>
  <c r="F146" i="30" s="1"/>
  <c r="E143" i="22"/>
  <c r="E140" i="21"/>
  <c r="J141" i="21" s="1"/>
  <c r="F141" i="21" s="1"/>
  <c r="I140" i="1"/>
  <c r="D140" i="1" s="1"/>
  <c r="J141" i="20"/>
  <c r="F141" i="20" s="1"/>
  <c r="K141" i="20"/>
  <c r="G141" i="20" s="1"/>
  <c r="I141" i="20"/>
  <c r="D141" i="20" s="1"/>
  <c r="K140" i="1"/>
  <c r="G140" i="1" s="1"/>
  <c r="I142" i="27" l="1"/>
  <c r="K142" i="27"/>
  <c r="G142" i="27" s="1"/>
  <c r="J142" i="27"/>
  <c r="F142" i="27" s="1"/>
  <c r="K143" i="24"/>
  <c r="G143" i="24" s="1"/>
  <c r="J143" i="24"/>
  <c r="F143" i="24" s="1"/>
  <c r="I143" i="24"/>
  <c r="I141" i="26"/>
  <c r="J144" i="25"/>
  <c r="F144" i="25" s="1"/>
  <c r="K144" i="25"/>
  <c r="G144" i="25" s="1"/>
  <c r="I144" i="25"/>
  <c r="K141" i="26"/>
  <c r="G141" i="26" s="1"/>
  <c r="I143" i="31"/>
  <c r="D143" i="31" s="1"/>
  <c r="K143" i="31"/>
  <c r="G143" i="31" s="1"/>
  <c r="J143" i="31"/>
  <c r="F143" i="31" s="1"/>
  <c r="D141" i="26"/>
  <c r="J142" i="29"/>
  <c r="F142" i="29" s="1"/>
  <c r="K142" i="29"/>
  <c r="G142" i="29" s="1"/>
  <c r="I142" i="29"/>
  <c r="K141" i="23"/>
  <c r="G141" i="23" s="1"/>
  <c r="I141" i="23"/>
  <c r="D141" i="23" s="1"/>
  <c r="J141" i="23"/>
  <c r="F141" i="23" s="1"/>
  <c r="J142" i="32"/>
  <c r="F142" i="32" s="1"/>
  <c r="I142" i="32"/>
  <c r="D142" i="32" s="1"/>
  <c r="K142" i="32"/>
  <c r="G142" i="32" s="1"/>
  <c r="I143" i="28"/>
  <c r="J143" i="28"/>
  <c r="F143" i="28" s="1"/>
  <c r="K143" i="28"/>
  <c r="G143" i="28" s="1"/>
  <c r="E146" i="30"/>
  <c r="I144" i="22"/>
  <c r="D144" i="22" s="1"/>
  <c r="J144" i="22"/>
  <c r="F144" i="22" s="1"/>
  <c r="K144" i="22"/>
  <c r="G144" i="22" s="1"/>
  <c r="I141" i="21"/>
  <c r="D141" i="21" s="1"/>
  <c r="K141" i="21"/>
  <c r="G141" i="21" s="1"/>
  <c r="E141" i="20"/>
  <c r="E140" i="1"/>
  <c r="K141" i="1" s="1"/>
  <c r="G141" i="1" s="1"/>
  <c r="D142" i="27" l="1"/>
  <c r="E142" i="27"/>
  <c r="D143" i="24"/>
  <c r="E143" i="24"/>
  <c r="D144" i="25"/>
  <c r="E144" i="25"/>
  <c r="E141" i="26"/>
  <c r="E143" i="31"/>
  <c r="D142" i="29"/>
  <c r="E142" i="29"/>
  <c r="E141" i="23"/>
  <c r="E142" i="32"/>
  <c r="E143" i="28"/>
  <c r="D143" i="28"/>
  <c r="I147" i="30"/>
  <c r="D147" i="30" s="1"/>
  <c r="K147" i="30"/>
  <c r="G147" i="30" s="1"/>
  <c r="J147" i="30"/>
  <c r="F147" i="30" s="1"/>
  <c r="E144" i="22"/>
  <c r="E141" i="21"/>
  <c r="J142" i="21" s="1"/>
  <c r="F142" i="21" s="1"/>
  <c r="I141" i="1"/>
  <c r="D141" i="1" s="1"/>
  <c r="J142" i="20"/>
  <c r="F142" i="20" s="1"/>
  <c r="I142" i="20"/>
  <c r="D142" i="20" s="1"/>
  <c r="K142" i="20"/>
  <c r="G142" i="20" s="1"/>
  <c r="J141" i="1"/>
  <c r="F141" i="1" s="1"/>
  <c r="I143" i="27" l="1"/>
  <c r="J143" i="27"/>
  <c r="F143" i="27" s="1"/>
  <c r="K143" i="27"/>
  <c r="G143" i="27" s="1"/>
  <c r="K144" i="24"/>
  <c r="G144" i="24" s="1"/>
  <c r="I144" i="24"/>
  <c r="J144" i="24"/>
  <c r="F144" i="24" s="1"/>
  <c r="K142" i="26"/>
  <c r="G142" i="26" s="1"/>
  <c r="J142" i="26"/>
  <c r="F142" i="26" s="1"/>
  <c r="I142" i="26"/>
  <c r="J145" i="25"/>
  <c r="F145" i="25" s="1"/>
  <c r="I145" i="25"/>
  <c r="K145" i="25"/>
  <c r="G145" i="25" s="1"/>
  <c r="I144" i="31"/>
  <c r="D144" i="31" s="1"/>
  <c r="J144" i="31"/>
  <c r="F144" i="31" s="1"/>
  <c r="K144" i="31"/>
  <c r="G144" i="31" s="1"/>
  <c r="J143" i="29"/>
  <c r="F143" i="29" s="1"/>
  <c r="I143" i="29"/>
  <c r="K143" i="29"/>
  <c r="G143" i="29" s="1"/>
  <c r="I142" i="23"/>
  <c r="D142" i="23" s="1"/>
  <c r="K142" i="23"/>
  <c r="G142" i="23" s="1"/>
  <c r="J142" i="23"/>
  <c r="F142" i="23" s="1"/>
  <c r="I143" i="32"/>
  <c r="D143" i="32" s="1"/>
  <c r="J143" i="32"/>
  <c r="F143" i="32" s="1"/>
  <c r="K143" i="32"/>
  <c r="G143" i="32" s="1"/>
  <c r="I144" i="28"/>
  <c r="D144" i="28" s="1"/>
  <c r="J144" i="28"/>
  <c r="F144" i="28" s="1"/>
  <c r="K144" i="28"/>
  <c r="G144" i="28" s="1"/>
  <c r="E147" i="30"/>
  <c r="K145" i="22"/>
  <c r="G145" i="22" s="1"/>
  <c r="I145" i="22"/>
  <c r="D145" i="22" s="1"/>
  <c r="J145" i="22"/>
  <c r="F145" i="22" s="1"/>
  <c r="I142" i="21"/>
  <c r="D142" i="21" s="1"/>
  <c r="K142" i="21"/>
  <c r="G142" i="21" s="1"/>
  <c r="E142" i="20"/>
  <c r="E141" i="1"/>
  <c r="K142" i="1" s="1"/>
  <c r="G142" i="1" s="1"/>
  <c r="D143" i="27" l="1"/>
  <c r="E143" i="27"/>
  <c r="D144" i="24"/>
  <c r="E144" i="24"/>
  <c r="D142" i="26"/>
  <c r="E142" i="26"/>
  <c r="D145" i="25"/>
  <c r="E145" i="25"/>
  <c r="E144" i="31"/>
  <c r="J145" i="31" s="1"/>
  <c r="F145" i="31" s="1"/>
  <c r="E142" i="23"/>
  <c r="I143" i="23" s="1"/>
  <c r="D143" i="29"/>
  <c r="E143" i="29"/>
  <c r="E143" i="32"/>
  <c r="E144" i="28"/>
  <c r="K148" i="30"/>
  <c r="G148" i="30" s="1"/>
  <c r="I148" i="30"/>
  <c r="D148" i="30" s="1"/>
  <c r="J148" i="30"/>
  <c r="F148" i="30" s="1"/>
  <c r="E142" i="21"/>
  <c r="K143" i="21" s="1"/>
  <c r="G143" i="21" s="1"/>
  <c r="E145" i="22"/>
  <c r="I143" i="20"/>
  <c r="D143" i="20" s="1"/>
  <c r="J143" i="20"/>
  <c r="F143" i="20" s="1"/>
  <c r="K143" i="20"/>
  <c r="G143" i="20" s="1"/>
  <c r="J142" i="1"/>
  <c r="F142" i="1" s="1"/>
  <c r="I142" i="1"/>
  <c r="D142" i="1" s="1"/>
  <c r="K144" i="27" l="1"/>
  <c r="G144" i="27" s="1"/>
  <c r="I144" i="27"/>
  <c r="J144" i="27"/>
  <c r="F144" i="27" s="1"/>
  <c r="I145" i="24"/>
  <c r="D145" i="24" s="1"/>
  <c r="J145" i="24"/>
  <c r="F145" i="24" s="1"/>
  <c r="K145" i="24"/>
  <c r="G145" i="24" s="1"/>
  <c r="J146" i="25"/>
  <c r="F146" i="25" s="1"/>
  <c r="K146" i="25"/>
  <c r="G146" i="25" s="1"/>
  <c r="I146" i="25"/>
  <c r="I145" i="31"/>
  <c r="J143" i="26"/>
  <c r="F143" i="26" s="1"/>
  <c r="K143" i="26"/>
  <c r="G143" i="26" s="1"/>
  <c r="I143" i="26"/>
  <c r="K145" i="31"/>
  <c r="G145" i="31" s="1"/>
  <c r="J144" i="29"/>
  <c r="F144" i="29" s="1"/>
  <c r="K144" i="29"/>
  <c r="G144" i="29" s="1"/>
  <c r="I144" i="29"/>
  <c r="J143" i="23"/>
  <c r="F143" i="23" s="1"/>
  <c r="K143" i="23"/>
  <c r="G143" i="23" s="1"/>
  <c r="D143" i="23"/>
  <c r="K144" i="32"/>
  <c r="G144" i="32" s="1"/>
  <c r="J144" i="32"/>
  <c r="F144" i="32" s="1"/>
  <c r="I144" i="32"/>
  <c r="D144" i="32" s="1"/>
  <c r="J145" i="28"/>
  <c r="F145" i="28" s="1"/>
  <c r="K145" i="28"/>
  <c r="G145" i="28" s="1"/>
  <c r="I145" i="28"/>
  <c r="J143" i="21"/>
  <c r="F143" i="21" s="1"/>
  <c r="I143" i="21"/>
  <c r="D143" i="21" s="1"/>
  <c r="E148" i="30"/>
  <c r="J146" i="22"/>
  <c r="F146" i="22" s="1"/>
  <c r="I146" i="22"/>
  <c r="D146" i="22" s="1"/>
  <c r="K146" i="22"/>
  <c r="G146" i="22" s="1"/>
  <c r="E143" i="20"/>
  <c r="E142" i="1"/>
  <c r="K143" i="1" s="1"/>
  <c r="G143" i="1" s="1"/>
  <c r="D144" i="27" l="1"/>
  <c r="E144" i="27"/>
  <c r="E145" i="24"/>
  <c r="E145" i="31"/>
  <c r="J146" i="31" s="1"/>
  <c r="F146" i="31" s="1"/>
  <c r="D145" i="31"/>
  <c r="D143" i="26"/>
  <c r="E143" i="26"/>
  <c r="D146" i="25"/>
  <c r="E146" i="25"/>
  <c r="D144" i="29"/>
  <c r="E144" i="29"/>
  <c r="E143" i="23"/>
  <c r="I144" i="23" s="1"/>
  <c r="D144" i="23" s="1"/>
  <c r="E144" i="32"/>
  <c r="D145" i="28"/>
  <c r="E145" i="28"/>
  <c r="E143" i="21"/>
  <c r="K144" i="21" s="1"/>
  <c r="G144" i="21" s="1"/>
  <c r="J149" i="30"/>
  <c r="F149" i="30" s="1"/>
  <c r="K149" i="30"/>
  <c r="G149" i="30" s="1"/>
  <c r="I149" i="30"/>
  <c r="D149" i="30" s="1"/>
  <c r="E146" i="22"/>
  <c r="I144" i="20"/>
  <c r="D144" i="20" s="1"/>
  <c r="K144" i="20"/>
  <c r="G144" i="20" s="1"/>
  <c r="J144" i="20"/>
  <c r="F144" i="20" s="1"/>
  <c r="J143" i="1"/>
  <c r="F143" i="1" s="1"/>
  <c r="I143" i="1"/>
  <c r="D143" i="1" s="1"/>
  <c r="J145" i="27" l="1"/>
  <c r="F145" i="27" s="1"/>
  <c r="K145" i="27"/>
  <c r="G145" i="27" s="1"/>
  <c r="I145" i="27"/>
  <c r="J146" i="24"/>
  <c r="F146" i="24" s="1"/>
  <c r="K146" i="24"/>
  <c r="G146" i="24" s="1"/>
  <c r="I146" i="24"/>
  <c r="D146" i="24" s="1"/>
  <c r="I146" i="31"/>
  <c r="D146" i="31" s="1"/>
  <c r="K146" i="31"/>
  <c r="G146" i="31" s="1"/>
  <c r="J147" i="25"/>
  <c r="F147" i="25" s="1"/>
  <c r="K147" i="25"/>
  <c r="G147" i="25" s="1"/>
  <c r="I147" i="25"/>
  <c r="D147" i="25" s="1"/>
  <c r="K144" i="26"/>
  <c r="G144" i="26" s="1"/>
  <c r="I144" i="26"/>
  <c r="J144" i="26"/>
  <c r="F144" i="26" s="1"/>
  <c r="J144" i="23"/>
  <c r="F144" i="23" s="1"/>
  <c r="K144" i="23"/>
  <c r="G144" i="23" s="1"/>
  <c r="J145" i="29"/>
  <c r="F145" i="29" s="1"/>
  <c r="K145" i="29"/>
  <c r="G145" i="29" s="1"/>
  <c r="I145" i="29"/>
  <c r="I145" i="32"/>
  <c r="D145" i="32" s="1"/>
  <c r="K145" i="32"/>
  <c r="G145" i="32" s="1"/>
  <c r="J145" i="32"/>
  <c r="F145" i="32" s="1"/>
  <c r="J144" i="21"/>
  <c r="F144" i="21" s="1"/>
  <c r="I144" i="21"/>
  <c r="D144" i="21" s="1"/>
  <c r="K146" i="28"/>
  <c r="G146" i="28" s="1"/>
  <c r="J146" i="28"/>
  <c r="F146" i="28" s="1"/>
  <c r="I146" i="28"/>
  <c r="E149" i="30"/>
  <c r="J147" i="22"/>
  <c r="F147" i="22" s="1"/>
  <c r="K147" i="22"/>
  <c r="G147" i="22" s="1"/>
  <c r="I147" i="22"/>
  <c r="D147" i="22" s="1"/>
  <c r="E144" i="20"/>
  <c r="E143" i="1"/>
  <c r="J144" i="1" s="1"/>
  <c r="F144" i="1" s="1"/>
  <c r="E146" i="31" l="1"/>
  <c r="J147" i="31" s="1"/>
  <c r="F147" i="31" s="1"/>
  <c r="D145" i="27"/>
  <c r="E145" i="27"/>
  <c r="E146" i="24"/>
  <c r="E147" i="25"/>
  <c r="K148" i="25" s="1"/>
  <c r="G148" i="25" s="1"/>
  <c r="D144" i="26"/>
  <c r="E144" i="26"/>
  <c r="I147" i="31"/>
  <c r="K147" i="31"/>
  <c r="G147" i="31" s="1"/>
  <c r="E144" i="23"/>
  <c r="J145" i="23" s="1"/>
  <c r="F145" i="23" s="1"/>
  <c r="D145" i="29"/>
  <c r="E145" i="29"/>
  <c r="E145" i="32"/>
  <c r="E144" i="21"/>
  <c r="I145" i="21" s="1"/>
  <c r="D145" i="21" s="1"/>
  <c r="D146" i="28"/>
  <c r="E146" i="28"/>
  <c r="I150" i="30"/>
  <c r="D150" i="30" s="1"/>
  <c r="J150" i="30"/>
  <c r="F150" i="30" s="1"/>
  <c r="K150" i="30"/>
  <c r="G150" i="30" s="1"/>
  <c r="E147" i="22"/>
  <c r="I144" i="1"/>
  <c r="D144" i="1" s="1"/>
  <c r="I145" i="20"/>
  <c r="D145" i="20" s="1"/>
  <c r="K145" i="20"/>
  <c r="G145" i="20" s="1"/>
  <c r="J145" i="20"/>
  <c r="F145" i="20" s="1"/>
  <c r="K144" i="1"/>
  <c r="G144" i="1" s="1"/>
  <c r="K146" i="27" l="1"/>
  <c r="G146" i="27" s="1"/>
  <c r="I146" i="27"/>
  <c r="J146" i="27"/>
  <c r="F146" i="27" s="1"/>
  <c r="J147" i="24"/>
  <c r="F147" i="24" s="1"/>
  <c r="K147" i="24"/>
  <c r="G147" i="24" s="1"/>
  <c r="I147" i="24"/>
  <c r="D147" i="24" s="1"/>
  <c r="J148" i="25"/>
  <c r="F148" i="25" s="1"/>
  <c r="I148" i="25"/>
  <c r="J145" i="26"/>
  <c r="F145" i="26" s="1"/>
  <c r="K145" i="26"/>
  <c r="G145" i="26" s="1"/>
  <c r="I145" i="26"/>
  <c r="D147" i="31"/>
  <c r="E147" i="31"/>
  <c r="I145" i="23"/>
  <c r="D145" i="23" s="1"/>
  <c r="K145" i="23"/>
  <c r="G145" i="23" s="1"/>
  <c r="K146" i="29"/>
  <c r="G146" i="29" s="1"/>
  <c r="J146" i="29"/>
  <c r="F146" i="29" s="1"/>
  <c r="I146" i="29"/>
  <c r="D146" i="29" s="1"/>
  <c r="I146" i="32"/>
  <c r="D146" i="32" s="1"/>
  <c r="K146" i="32"/>
  <c r="G146" i="32" s="1"/>
  <c r="J146" i="32"/>
  <c r="F146" i="32" s="1"/>
  <c r="J145" i="21"/>
  <c r="F145" i="21" s="1"/>
  <c r="K145" i="21"/>
  <c r="G145" i="21" s="1"/>
  <c r="J147" i="28"/>
  <c r="F147" i="28" s="1"/>
  <c r="K147" i="28"/>
  <c r="G147" i="28" s="1"/>
  <c r="I147" i="28"/>
  <c r="E150" i="30"/>
  <c r="I148" i="22"/>
  <c r="D148" i="22" s="1"/>
  <c r="J148" i="22"/>
  <c r="F148" i="22" s="1"/>
  <c r="K148" i="22"/>
  <c r="G148" i="22" s="1"/>
  <c r="E145" i="20"/>
  <c r="E144" i="1"/>
  <c r="I145" i="1" s="1"/>
  <c r="D145" i="1" s="1"/>
  <c r="D146" i="27" l="1"/>
  <c r="E146" i="27"/>
  <c r="E147" i="24"/>
  <c r="D148" i="25"/>
  <c r="E148" i="25"/>
  <c r="E145" i="26"/>
  <c r="K146" i="26" s="1"/>
  <c r="G146" i="26" s="1"/>
  <c r="D145" i="26"/>
  <c r="K148" i="31"/>
  <c r="G148" i="31" s="1"/>
  <c r="J148" i="31"/>
  <c r="F148" i="31" s="1"/>
  <c r="I148" i="31"/>
  <c r="E145" i="23"/>
  <c r="E146" i="29"/>
  <c r="E146" i="32"/>
  <c r="I147" i="32" s="1"/>
  <c r="D147" i="32" s="1"/>
  <c r="E145" i="21"/>
  <c r="J146" i="21" s="1"/>
  <c r="F146" i="21" s="1"/>
  <c r="D147" i="28"/>
  <c r="E147" i="28"/>
  <c r="K151" i="30"/>
  <c r="G151" i="30" s="1"/>
  <c r="I151" i="30"/>
  <c r="D151" i="30" s="1"/>
  <c r="J151" i="30"/>
  <c r="F151" i="30" s="1"/>
  <c r="E148" i="22"/>
  <c r="K145" i="1"/>
  <c r="G145" i="1" s="1"/>
  <c r="K146" i="20"/>
  <c r="G146" i="20" s="1"/>
  <c r="I146" i="20"/>
  <c r="D146" i="20" s="1"/>
  <c r="J146" i="20"/>
  <c r="F146" i="20" s="1"/>
  <c r="J145" i="1"/>
  <c r="F145" i="1" s="1"/>
  <c r="I147" i="27" l="1"/>
  <c r="K147" i="27"/>
  <c r="G147" i="27" s="1"/>
  <c r="J147" i="27"/>
  <c r="F147" i="27" s="1"/>
  <c r="J148" i="24"/>
  <c r="F148" i="24" s="1"/>
  <c r="K148" i="24"/>
  <c r="G148" i="24" s="1"/>
  <c r="I148" i="24"/>
  <c r="D148" i="24" s="1"/>
  <c r="J149" i="25"/>
  <c r="F149" i="25" s="1"/>
  <c r="I149" i="25"/>
  <c r="K149" i="25"/>
  <c r="G149" i="25" s="1"/>
  <c r="I146" i="26"/>
  <c r="D146" i="26" s="1"/>
  <c r="J146" i="26"/>
  <c r="F146" i="26" s="1"/>
  <c r="D148" i="31"/>
  <c r="E148" i="31"/>
  <c r="K146" i="23"/>
  <c r="G146" i="23" s="1"/>
  <c r="I146" i="23"/>
  <c r="J146" i="23"/>
  <c r="F146" i="23" s="1"/>
  <c r="J147" i="29"/>
  <c r="F147" i="29" s="1"/>
  <c r="I147" i="29"/>
  <c r="K147" i="29"/>
  <c r="G147" i="29" s="1"/>
  <c r="J147" i="32"/>
  <c r="F147" i="32" s="1"/>
  <c r="K147" i="32"/>
  <c r="G147" i="32" s="1"/>
  <c r="I146" i="21"/>
  <c r="D146" i="21" s="1"/>
  <c r="K146" i="21"/>
  <c r="G146" i="21" s="1"/>
  <c r="K148" i="28"/>
  <c r="G148" i="28" s="1"/>
  <c r="J148" i="28"/>
  <c r="F148" i="28" s="1"/>
  <c r="I148" i="28"/>
  <c r="E151" i="30"/>
  <c r="I149" i="22"/>
  <c r="D149" i="22" s="1"/>
  <c r="J149" i="22"/>
  <c r="F149" i="22" s="1"/>
  <c r="K149" i="22"/>
  <c r="G149" i="22" s="1"/>
  <c r="E146" i="20"/>
  <c r="E145" i="1"/>
  <c r="K146" i="1" s="1"/>
  <c r="G146" i="1" s="1"/>
  <c r="D147" i="27" l="1"/>
  <c r="E147" i="27"/>
  <c r="E148" i="24"/>
  <c r="D149" i="25"/>
  <c r="E149" i="25"/>
  <c r="E146" i="26"/>
  <c r="J149" i="31"/>
  <c r="F149" i="31" s="1"/>
  <c r="K149" i="31"/>
  <c r="G149" i="31" s="1"/>
  <c r="I149" i="31"/>
  <c r="E146" i="23"/>
  <c r="D146" i="23"/>
  <c r="E147" i="32"/>
  <c r="J148" i="32" s="1"/>
  <c r="F148" i="32" s="1"/>
  <c r="D147" i="29"/>
  <c r="E147" i="29"/>
  <c r="E146" i="21"/>
  <c r="J147" i="21" s="1"/>
  <c r="F147" i="21" s="1"/>
  <c r="D148" i="28"/>
  <c r="E148" i="28"/>
  <c r="I152" i="30"/>
  <c r="D152" i="30" s="1"/>
  <c r="K152" i="30"/>
  <c r="G152" i="30" s="1"/>
  <c r="J152" i="30"/>
  <c r="F152" i="30" s="1"/>
  <c r="E149" i="22"/>
  <c r="K150" i="22" s="1"/>
  <c r="G150" i="22" s="1"/>
  <c r="J146" i="1"/>
  <c r="F146" i="1" s="1"/>
  <c r="K147" i="20"/>
  <c r="G147" i="20" s="1"/>
  <c r="I147" i="20"/>
  <c r="D147" i="20" s="1"/>
  <c r="J147" i="20"/>
  <c r="F147" i="20" s="1"/>
  <c r="I146" i="1"/>
  <c r="D146" i="1" s="1"/>
  <c r="J148" i="27" l="1"/>
  <c r="F148" i="27" s="1"/>
  <c r="I148" i="27"/>
  <c r="K148" i="27"/>
  <c r="G148" i="27" s="1"/>
  <c r="I149" i="24"/>
  <c r="D149" i="24" s="1"/>
  <c r="K149" i="24"/>
  <c r="G149" i="24" s="1"/>
  <c r="J149" i="24"/>
  <c r="F149" i="24" s="1"/>
  <c r="J150" i="25"/>
  <c r="F150" i="25" s="1"/>
  <c r="K150" i="25"/>
  <c r="G150" i="25" s="1"/>
  <c r="I150" i="25"/>
  <c r="J147" i="26"/>
  <c r="F147" i="26" s="1"/>
  <c r="I147" i="26"/>
  <c r="K147" i="26"/>
  <c r="G147" i="26" s="1"/>
  <c r="D149" i="31"/>
  <c r="E149" i="31"/>
  <c r="I148" i="32"/>
  <c r="D148" i="32" s="1"/>
  <c r="K148" i="32"/>
  <c r="G148" i="32" s="1"/>
  <c r="K147" i="23"/>
  <c r="G147" i="23" s="1"/>
  <c r="J147" i="23"/>
  <c r="F147" i="23" s="1"/>
  <c r="I147" i="23"/>
  <c r="I148" i="29"/>
  <c r="D148" i="29" s="1"/>
  <c r="K148" i="29"/>
  <c r="G148" i="29" s="1"/>
  <c r="J148" i="29"/>
  <c r="F148" i="29" s="1"/>
  <c r="K147" i="21"/>
  <c r="G147" i="21" s="1"/>
  <c r="I147" i="21"/>
  <c r="D147" i="21" s="1"/>
  <c r="J149" i="28"/>
  <c r="F149" i="28" s="1"/>
  <c r="I149" i="28"/>
  <c r="D149" i="28" s="1"/>
  <c r="K149" i="28"/>
  <c r="G149" i="28" s="1"/>
  <c r="E152" i="30"/>
  <c r="I153" i="30" s="1"/>
  <c r="D153" i="30" s="1"/>
  <c r="I150" i="22"/>
  <c r="D150" i="22" s="1"/>
  <c r="J150" i="22"/>
  <c r="F150" i="22" s="1"/>
  <c r="E147" i="20"/>
  <c r="E146" i="1"/>
  <c r="K147" i="1" s="1"/>
  <c r="G147" i="1" s="1"/>
  <c r="D148" i="27" l="1"/>
  <c r="E148" i="27"/>
  <c r="E149" i="24"/>
  <c r="D150" i="25"/>
  <c r="E150" i="25"/>
  <c r="D147" i="26"/>
  <c r="E147" i="26"/>
  <c r="J150" i="31"/>
  <c r="F150" i="31" s="1"/>
  <c r="I150" i="31"/>
  <c r="K150" i="31"/>
  <c r="G150" i="31" s="1"/>
  <c r="E148" i="32"/>
  <c r="J149" i="32" s="1"/>
  <c r="F149" i="32" s="1"/>
  <c r="E148" i="29"/>
  <c r="K149" i="29" s="1"/>
  <c r="G149" i="29" s="1"/>
  <c r="D147" i="23"/>
  <c r="E147" i="23"/>
  <c r="E147" i="21"/>
  <c r="I148" i="21" s="1"/>
  <c r="D148" i="21" s="1"/>
  <c r="E149" i="28"/>
  <c r="J153" i="30"/>
  <c r="F153" i="30" s="1"/>
  <c r="K153" i="30"/>
  <c r="G153" i="30" s="1"/>
  <c r="E150" i="22"/>
  <c r="K151" i="22" s="1"/>
  <c r="G151" i="22" s="1"/>
  <c r="J147" i="1"/>
  <c r="F147" i="1" s="1"/>
  <c r="I147" i="1"/>
  <c r="D147" i="1" s="1"/>
  <c r="J148" i="20"/>
  <c r="F148" i="20" s="1"/>
  <c r="I148" i="20"/>
  <c r="D148" i="20" s="1"/>
  <c r="K148" i="20"/>
  <c r="G148" i="20" s="1"/>
  <c r="J149" i="27" l="1"/>
  <c r="F149" i="27" s="1"/>
  <c r="K149" i="27"/>
  <c r="G149" i="27" s="1"/>
  <c r="I149" i="27"/>
  <c r="I150" i="24"/>
  <c r="D150" i="24" s="1"/>
  <c r="K150" i="24"/>
  <c r="G150" i="24" s="1"/>
  <c r="J150" i="24"/>
  <c r="F150" i="24" s="1"/>
  <c r="I151" i="25"/>
  <c r="D151" i="25" s="1"/>
  <c r="K151" i="25"/>
  <c r="G151" i="25" s="1"/>
  <c r="J151" i="25"/>
  <c r="F151" i="25" s="1"/>
  <c r="J148" i="26"/>
  <c r="F148" i="26" s="1"/>
  <c r="I148" i="26"/>
  <c r="K148" i="26"/>
  <c r="G148" i="26" s="1"/>
  <c r="D150" i="31"/>
  <c r="E150" i="31"/>
  <c r="K149" i="32"/>
  <c r="G149" i="32" s="1"/>
  <c r="I149" i="32"/>
  <c r="D149" i="32" s="1"/>
  <c r="J149" i="29"/>
  <c r="F149" i="29" s="1"/>
  <c r="I149" i="29"/>
  <c r="I148" i="23"/>
  <c r="D148" i="23" s="1"/>
  <c r="K148" i="23"/>
  <c r="G148" i="23" s="1"/>
  <c r="J148" i="23"/>
  <c r="F148" i="23" s="1"/>
  <c r="K148" i="21"/>
  <c r="G148" i="21" s="1"/>
  <c r="J148" i="21"/>
  <c r="F148" i="21" s="1"/>
  <c r="K150" i="28"/>
  <c r="G150" i="28" s="1"/>
  <c r="J150" i="28"/>
  <c r="F150" i="28" s="1"/>
  <c r="I150" i="28"/>
  <c r="I151" i="22"/>
  <c r="D151" i="22" s="1"/>
  <c r="E153" i="30"/>
  <c r="J154" i="30" s="1"/>
  <c r="F154" i="30" s="1"/>
  <c r="J151" i="22"/>
  <c r="F151" i="22" s="1"/>
  <c r="E147" i="1"/>
  <c r="K148" i="1" s="1"/>
  <c r="G148" i="1" s="1"/>
  <c r="E148" i="20"/>
  <c r="D149" i="27" l="1"/>
  <c r="E149" i="27"/>
  <c r="E150" i="24"/>
  <c r="E151" i="25"/>
  <c r="D148" i="26"/>
  <c r="E148" i="26"/>
  <c r="I151" i="31"/>
  <c r="K151" i="31"/>
  <c r="G151" i="31" s="1"/>
  <c r="J151" i="31"/>
  <c r="F151" i="31" s="1"/>
  <c r="E149" i="32"/>
  <c r="J150" i="32" s="1"/>
  <c r="F150" i="32" s="1"/>
  <c r="E149" i="29"/>
  <c r="J150" i="29" s="1"/>
  <c r="F150" i="29" s="1"/>
  <c r="D149" i="29"/>
  <c r="E148" i="23"/>
  <c r="E148" i="21"/>
  <c r="J149" i="21" s="1"/>
  <c r="F149" i="21" s="1"/>
  <c r="E151" i="22"/>
  <c r="I152" i="22" s="1"/>
  <c r="D152" i="22" s="1"/>
  <c r="D150" i="28"/>
  <c r="E150" i="28"/>
  <c r="K154" i="30"/>
  <c r="G154" i="30" s="1"/>
  <c r="I154" i="30"/>
  <c r="D154" i="30" s="1"/>
  <c r="I148" i="1"/>
  <c r="D148" i="1" s="1"/>
  <c r="J148" i="1"/>
  <c r="F148" i="1" s="1"/>
  <c r="I149" i="20"/>
  <c r="D149" i="20" s="1"/>
  <c r="J149" i="20"/>
  <c r="F149" i="20" s="1"/>
  <c r="K149" i="20"/>
  <c r="G149" i="20" s="1"/>
  <c r="I150" i="27" l="1"/>
  <c r="J150" i="27"/>
  <c r="F150" i="27" s="1"/>
  <c r="K150" i="27"/>
  <c r="G150" i="27" s="1"/>
  <c r="I151" i="24"/>
  <c r="D151" i="24" s="1"/>
  <c r="J151" i="24"/>
  <c r="F151" i="24" s="1"/>
  <c r="K151" i="24"/>
  <c r="G151" i="24" s="1"/>
  <c r="I152" i="25"/>
  <c r="J152" i="25"/>
  <c r="F152" i="25" s="1"/>
  <c r="K152" i="25"/>
  <c r="G152" i="25" s="1"/>
  <c r="J149" i="26"/>
  <c r="F149" i="26" s="1"/>
  <c r="I149" i="26"/>
  <c r="K149" i="26"/>
  <c r="G149" i="26" s="1"/>
  <c r="D151" i="31"/>
  <c r="E151" i="31"/>
  <c r="K150" i="29"/>
  <c r="G150" i="29" s="1"/>
  <c r="I150" i="32"/>
  <c r="D150" i="32" s="1"/>
  <c r="K150" i="32"/>
  <c r="G150" i="32" s="1"/>
  <c r="I150" i="29"/>
  <c r="K149" i="23"/>
  <c r="G149" i="23" s="1"/>
  <c r="J149" i="23"/>
  <c r="F149" i="23" s="1"/>
  <c r="I149" i="23"/>
  <c r="I149" i="21"/>
  <c r="K149" i="21"/>
  <c r="G149" i="21" s="1"/>
  <c r="J152" i="22"/>
  <c r="F152" i="22" s="1"/>
  <c r="K152" i="22"/>
  <c r="G152" i="22" s="1"/>
  <c r="I151" i="28"/>
  <c r="J151" i="28"/>
  <c r="F151" i="28" s="1"/>
  <c r="K151" i="28"/>
  <c r="G151" i="28" s="1"/>
  <c r="E154" i="30"/>
  <c r="J155" i="30" s="1"/>
  <c r="F155" i="30" s="1"/>
  <c r="E148" i="1"/>
  <c r="I149" i="1" s="1"/>
  <c r="D149" i="1" s="1"/>
  <c r="E149" i="20"/>
  <c r="D150" i="27" l="1"/>
  <c r="E150" i="27"/>
  <c r="E151" i="24"/>
  <c r="D152" i="25"/>
  <c r="E152" i="25"/>
  <c r="D149" i="26"/>
  <c r="E149" i="26"/>
  <c r="E150" i="32"/>
  <c r="K151" i="32" s="1"/>
  <c r="G151" i="32" s="1"/>
  <c r="I152" i="31"/>
  <c r="J152" i="31"/>
  <c r="F152" i="31" s="1"/>
  <c r="K152" i="31"/>
  <c r="G152" i="31" s="1"/>
  <c r="E150" i="29"/>
  <c r="J151" i="29" s="1"/>
  <c r="F151" i="29" s="1"/>
  <c r="D150" i="29"/>
  <c r="D149" i="23"/>
  <c r="E149" i="23"/>
  <c r="D149" i="21"/>
  <c r="E149" i="21"/>
  <c r="K155" i="30"/>
  <c r="G155" i="30" s="1"/>
  <c r="E152" i="22"/>
  <c r="I153" i="22" s="1"/>
  <c r="D153" i="22" s="1"/>
  <c r="I155" i="30"/>
  <c r="D155" i="30" s="1"/>
  <c r="D151" i="28"/>
  <c r="E151" i="28"/>
  <c r="J149" i="1"/>
  <c r="F149" i="1" s="1"/>
  <c r="K149" i="1"/>
  <c r="G149" i="1" s="1"/>
  <c r="I150" i="20"/>
  <c r="D150" i="20" s="1"/>
  <c r="K150" i="20"/>
  <c r="G150" i="20" s="1"/>
  <c r="J150" i="20"/>
  <c r="F150" i="20" s="1"/>
  <c r="K151" i="27" l="1"/>
  <c r="G151" i="27" s="1"/>
  <c r="I151" i="27"/>
  <c r="J151" i="27"/>
  <c r="F151" i="27" s="1"/>
  <c r="K152" i="24"/>
  <c r="G152" i="24" s="1"/>
  <c r="J152" i="24"/>
  <c r="F152" i="24" s="1"/>
  <c r="I152" i="24"/>
  <c r="D152" i="24" s="1"/>
  <c r="I153" i="25"/>
  <c r="K153" i="25"/>
  <c r="G153" i="25" s="1"/>
  <c r="J153" i="25"/>
  <c r="F153" i="25" s="1"/>
  <c r="I151" i="32"/>
  <c r="D151" i="32" s="1"/>
  <c r="J151" i="32"/>
  <c r="F151" i="32" s="1"/>
  <c r="J150" i="26"/>
  <c r="F150" i="26" s="1"/>
  <c r="K150" i="26"/>
  <c r="G150" i="26" s="1"/>
  <c r="I150" i="26"/>
  <c r="I151" i="29"/>
  <c r="K151" i="29"/>
  <c r="G151" i="29" s="1"/>
  <c r="D152" i="31"/>
  <c r="E152" i="31"/>
  <c r="J150" i="23"/>
  <c r="F150" i="23" s="1"/>
  <c r="K150" i="23"/>
  <c r="G150" i="23" s="1"/>
  <c r="I150" i="23"/>
  <c r="D150" i="23" s="1"/>
  <c r="I150" i="21"/>
  <c r="J150" i="21"/>
  <c r="F150" i="21" s="1"/>
  <c r="K150" i="21"/>
  <c r="G150" i="21" s="1"/>
  <c r="J153" i="22"/>
  <c r="F153" i="22" s="1"/>
  <c r="K153" i="22"/>
  <c r="G153" i="22" s="1"/>
  <c r="E155" i="30"/>
  <c r="K156" i="30" s="1"/>
  <c r="G156" i="30" s="1"/>
  <c r="K152" i="28"/>
  <c r="G152" i="28" s="1"/>
  <c r="J152" i="28"/>
  <c r="F152" i="28" s="1"/>
  <c r="I152" i="28"/>
  <c r="E149" i="1"/>
  <c r="K150" i="1" s="1"/>
  <c r="G150" i="1" s="1"/>
  <c r="E150" i="20"/>
  <c r="D151" i="27" l="1"/>
  <c r="E151" i="27"/>
  <c r="E152" i="24"/>
  <c r="D153" i="25"/>
  <c r="E153" i="25"/>
  <c r="E151" i="29"/>
  <c r="J152" i="29" s="1"/>
  <c r="F152" i="29" s="1"/>
  <c r="D151" i="29"/>
  <c r="E151" i="32"/>
  <c r="K152" i="32" s="1"/>
  <c r="G152" i="32" s="1"/>
  <c r="D150" i="26"/>
  <c r="E150" i="26"/>
  <c r="I153" i="31"/>
  <c r="J153" i="31"/>
  <c r="F153" i="31" s="1"/>
  <c r="K153" i="31"/>
  <c r="G153" i="31" s="1"/>
  <c r="E150" i="23"/>
  <c r="D150" i="21"/>
  <c r="E150" i="21"/>
  <c r="E153" i="22"/>
  <c r="I154" i="22" s="1"/>
  <c r="D154" i="22" s="1"/>
  <c r="J156" i="30"/>
  <c r="F156" i="30" s="1"/>
  <c r="I156" i="30"/>
  <c r="D156" i="30" s="1"/>
  <c r="I150" i="1"/>
  <c r="D150" i="1" s="1"/>
  <c r="D152" i="28"/>
  <c r="E152" i="28"/>
  <c r="J150" i="1"/>
  <c r="F150" i="1" s="1"/>
  <c r="J151" i="20"/>
  <c r="F151" i="20" s="1"/>
  <c r="I151" i="20"/>
  <c r="D151" i="20" s="1"/>
  <c r="K151" i="20"/>
  <c r="G151" i="20" s="1"/>
  <c r="K152" i="27" l="1"/>
  <c r="G152" i="27" s="1"/>
  <c r="I152" i="27"/>
  <c r="J152" i="27"/>
  <c r="F152" i="27" s="1"/>
  <c r="J152" i="32"/>
  <c r="F152" i="32" s="1"/>
  <c r="I152" i="29"/>
  <c r="D152" i="29" s="1"/>
  <c r="K152" i="29"/>
  <c r="G152" i="29" s="1"/>
  <c r="J153" i="24"/>
  <c r="F153" i="24" s="1"/>
  <c r="K153" i="24"/>
  <c r="G153" i="24" s="1"/>
  <c r="I153" i="24"/>
  <c r="D153" i="24" s="1"/>
  <c r="K154" i="25"/>
  <c r="G154" i="25" s="1"/>
  <c r="J154" i="25"/>
  <c r="F154" i="25" s="1"/>
  <c r="I154" i="25"/>
  <c r="D154" i="25" s="1"/>
  <c r="I152" i="32"/>
  <c r="D152" i="32" s="1"/>
  <c r="I151" i="26"/>
  <c r="J151" i="26"/>
  <c r="F151" i="26" s="1"/>
  <c r="K151" i="26"/>
  <c r="G151" i="26" s="1"/>
  <c r="E153" i="31"/>
  <c r="D153" i="31"/>
  <c r="K151" i="23"/>
  <c r="G151" i="23" s="1"/>
  <c r="J151" i="23"/>
  <c r="F151" i="23" s="1"/>
  <c r="I151" i="23"/>
  <c r="E152" i="29"/>
  <c r="J154" i="22"/>
  <c r="F154" i="22" s="1"/>
  <c r="K154" i="22"/>
  <c r="G154" i="22" s="1"/>
  <c r="I151" i="21"/>
  <c r="J151" i="21"/>
  <c r="F151" i="21" s="1"/>
  <c r="K151" i="21"/>
  <c r="G151" i="21" s="1"/>
  <c r="E156" i="30"/>
  <c r="I157" i="30" s="1"/>
  <c r="D157" i="30" s="1"/>
  <c r="E150" i="1"/>
  <c r="I151" i="1" s="1"/>
  <c r="D151" i="1" s="1"/>
  <c r="I153" i="28"/>
  <c r="J153" i="28"/>
  <c r="F153" i="28" s="1"/>
  <c r="K153" i="28"/>
  <c r="G153" i="28" s="1"/>
  <c r="E151" i="20"/>
  <c r="D152" i="27" l="1"/>
  <c r="E152" i="27"/>
  <c r="E152" i="32"/>
  <c r="J153" i="32" s="1"/>
  <c r="F153" i="32" s="1"/>
  <c r="E153" i="24"/>
  <c r="J154" i="24" s="1"/>
  <c r="F154" i="24" s="1"/>
  <c r="E154" i="25"/>
  <c r="J155" i="25" s="1"/>
  <c r="F155" i="25" s="1"/>
  <c r="D151" i="26"/>
  <c r="E151" i="26"/>
  <c r="K154" i="31"/>
  <c r="G154" i="31" s="1"/>
  <c r="J154" i="31"/>
  <c r="F154" i="31" s="1"/>
  <c r="I154" i="31"/>
  <c r="D151" i="23"/>
  <c r="E151" i="23"/>
  <c r="K153" i="29"/>
  <c r="G153" i="29" s="1"/>
  <c r="J153" i="29"/>
  <c r="F153" i="29" s="1"/>
  <c r="I153" i="29"/>
  <c r="E154" i="22"/>
  <c r="I155" i="22" s="1"/>
  <c r="D155" i="22" s="1"/>
  <c r="J157" i="30"/>
  <c r="F157" i="30" s="1"/>
  <c r="D151" i="21"/>
  <c r="E151" i="21"/>
  <c r="K151" i="1"/>
  <c r="G151" i="1" s="1"/>
  <c r="K157" i="30"/>
  <c r="G157" i="30" s="1"/>
  <c r="J151" i="1"/>
  <c r="F151" i="1" s="1"/>
  <c r="D153" i="28"/>
  <c r="E153" i="28"/>
  <c r="J152" i="20"/>
  <c r="F152" i="20" s="1"/>
  <c r="K152" i="20"/>
  <c r="G152" i="20" s="1"/>
  <c r="I152" i="20"/>
  <c r="D152" i="20" s="1"/>
  <c r="K155" i="22" l="1"/>
  <c r="G155" i="22" s="1"/>
  <c r="K153" i="32"/>
  <c r="G153" i="32" s="1"/>
  <c r="I153" i="32"/>
  <c r="K153" i="27"/>
  <c r="G153" i="27" s="1"/>
  <c r="J153" i="27"/>
  <c r="F153" i="27" s="1"/>
  <c r="I153" i="27"/>
  <c r="K155" i="25"/>
  <c r="G155" i="25" s="1"/>
  <c r="I154" i="24"/>
  <c r="D154" i="24" s="1"/>
  <c r="K154" i="24"/>
  <c r="G154" i="24" s="1"/>
  <c r="I155" i="25"/>
  <c r="D155" i="25" s="1"/>
  <c r="J152" i="26"/>
  <c r="F152" i="26" s="1"/>
  <c r="I152" i="26"/>
  <c r="K152" i="26"/>
  <c r="G152" i="26" s="1"/>
  <c r="J155" i="22"/>
  <c r="F155" i="22" s="1"/>
  <c r="D154" i="31"/>
  <c r="E154" i="31"/>
  <c r="J152" i="23"/>
  <c r="F152" i="23" s="1"/>
  <c r="K152" i="23"/>
  <c r="G152" i="23" s="1"/>
  <c r="I152" i="23"/>
  <c r="D153" i="29"/>
  <c r="E153" i="29"/>
  <c r="D153" i="32"/>
  <c r="J152" i="21"/>
  <c r="F152" i="21" s="1"/>
  <c r="I152" i="21"/>
  <c r="K152" i="21"/>
  <c r="G152" i="21" s="1"/>
  <c r="E157" i="30"/>
  <c r="J158" i="30" s="1"/>
  <c r="F158" i="30" s="1"/>
  <c r="E151" i="1"/>
  <c r="J152" i="1" s="1"/>
  <c r="F152" i="1" s="1"/>
  <c r="I154" i="28"/>
  <c r="J154" i="28"/>
  <c r="F154" i="28" s="1"/>
  <c r="K154" i="28"/>
  <c r="G154" i="28" s="1"/>
  <c r="E152" i="20"/>
  <c r="E153" i="32" l="1"/>
  <c r="D153" i="27"/>
  <c r="E153" i="27"/>
  <c r="E155" i="25"/>
  <c r="J156" i="25" s="1"/>
  <c r="F156" i="25" s="1"/>
  <c r="E154" i="24"/>
  <c r="K155" i="24" s="1"/>
  <c r="G155" i="24" s="1"/>
  <c r="E152" i="26"/>
  <c r="D152" i="26"/>
  <c r="E155" i="22"/>
  <c r="J156" i="22" s="1"/>
  <c r="F156" i="22" s="1"/>
  <c r="J155" i="31"/>
  <c r="F155" i="31" s="1"/>
  <c r="K155" i="31"/>
  <c r="G155" i="31" s="1"/>
  <c r="I155" i="31"/>
  <c r="I158" i="30"/>
  <c r="D158" i="30" s="1"/>
  <c r="K158" i="30"/>
  <c r="G158" i="30" s="1"/>
  <c r="D152" i="23"/>
  <c r="E152" i="23"/>
  <c r="K154" i="29"/>
  <c r="G154" i="29" s="1"/>
  <c r="J154" i="29"/>
  <c r="F154" i="29" s="1"/>
  <c r="I154" i="29"/>
  <c r="I154" i="32"/>
  <c r="K154" i="32"/>
  <c r="G154" i="32" s="1"/>
  <c r="J154" i="32"/>
  <c r="F154" i="32" s="1"/>
  <c r="K152" i="1"/>
  <c r="G152" i="1" s="1"/>
  <c r="D152" i="21"/>
  <c r="E152" i="21"/>
  <c r="I152" i="1"/>
  <c r="D152" i="1" s="1"/>
  <c r="D154" i="28"/>
  <c r="E154" i="28"/>
  <c r="I156" i="22"/>
  <c r="D156" i="22" s="1"/>
  <c r="K153" i="20"/>
  <c r="G153" i="20" s="1"/>
  <c r="J153" i="20"/>
  <c r="F153" i="20" s="1"/>
  <c r="I153" i="20"/>
  <c r="D153" i="20" s="1"/>
  <c r="I156" i="25" l="1"/>
  <c r="K156" i="25"/>
  <c r="G156" i="25" s="1"/>
  <c r="J154" i="27"/>
  <c r="F154" i="27" s="1"/>
  <c r="I154" i="27"/>
  <c r="K154" i="27"/>
  <c r="G154" i="27" s="1"/>
  <c r="J155" i="24"/>
  <c r="F155" i="24" s="1"/>
  <c r="I155" i="24"/>
  <c r="D155" i="24" s="1"/>
  <c r="D156" i="25"/>
  <c r="K156" i="22"/>
  <c r="G156" i="22" s="1"/>
  <c r="I153" i="26"/>
  <c r="D153" i="26" s="1"/>
  <c r="K153" i="26"/>
  <c r="G153" i="26" s="1"/>
  <c r="J153" i="26"/>
  <c r="F153" i="26" s="1"/>
  <c r="E155" i="31"/>
  <c r="D155" i="31"/>
  <c r="E158" i="30"/>
  <c r="I159" i="30" s="1"/>
  <c r="D159" i="30" s="1"/>
  <c r="I153" i="23"/>
  <c r="K153" i="23"/>
  <c r="G153" i="23" s="1"/>
  <c r="J153" i="23"/>
  <c r="F153" i="23" s="1"/>
  <c r="D154" i="29"/>
  <c r="E154" i="29"/>
  <c r="D154" i="32"/>
  <c r="E154" i="32"/>
  <c r="E152" i="1"/>
  <c r="J153" i="1" s="1"/>
  <c r="F153" i="1" s="1"/>
  <c r="J153" i="21"/>
  <c r="F153" i="21" s="1"/>
  <c r="K153" i="21"/>
  <c r="G153" i="21" s="1"/>
  <c r="I153" i="21"/>
  <c r="I155" i="28"/>
  <c r="J155" i="28"/>
  <c r="F155" i="28" s="1"/>
  <c r="K155" i="28"/>
  <c r="G155" i="28" s="1"/>
  <c r="E156" i="22"/>
  <c r="J157" i="22" s="1"/>
  <c r="F157" i="22" s="1"/>
  <c r="E153" i="20"/>
  <c r="E156" i="25" l="1"/>
  <c r="I157" i="25" s="1"/>
  <c r="D154" i="27"/>
  <c r="E154" i="27"/>
  <c r="E155" i="24"/>
  <c r="K156" i="24" s="1"/>
  <c r="G156" i="24" s="1"/>
  <c r="K157" i="25"/>
  <c r="G157" i="25" s="1"/>
  <c r="J157" i="25"/>
  <c r="F157" i="25" s="1"/>
  <c r="E153" i="26"/>
  <c r="K159" i="30"/>
  <c r="G159" i="30" s="1"/>
  <c r="J159" i="30"/>
  <c r="F159" i="30" s="1"/>
  <c r="K156" i="31"/>
  <c r="G156" i="31" s="1"/>
  <c r="I156" i="31"/>
  <c r="J156" i="31"/>
  <c r="F156" i="31" s="1"/>
  <c r="I153" i="1"/>
  <c r="D153" i="1" s="1"/>
  <c r="K153" i="1"/>
  <c r="G153" i="1" s="1"/>
  <c r="D153" i="23"/>
  <c r="E153" i="23"/>
  <c r="K155" i="29"/>
  <c r="G155" i="29" s="1"/>
  <c r="J155" i="29"/>
  <c r="F155" i="29" s="1"/>
  <c r="I155" i="29"/>
  <c r="D155" i="29" s="1"/>
  <c r="J155" i="32"/>
  <c r="F155" i="32" s="1"/>
  <c r="K155" i="32"/>
  <c r="G155" i="32" s="1"/>
  <c r="I155" i="32"/>
  <c r="D155" i="32" s="1"/>
  <c r="D153" i="21"/>
  <c r="E153" i="21"/>
  <c r="E155" i="28"/>
  <c r="D155" i="28"/>
  <c r="K157" i="22"/>
  <c r="G157" i="22" s="1"/>
  <c r="I157" i="22"/>
  <c r="D157" i="22" s="1"/>
  <c r="J154" i="20"/>
  <c r="F154" i="20" s="1"/>
  <c r="K154" i="20"/>
  <c r="G154" i="20" s="1"/>
  <c r="I154" i="20"/>
  <c r="D154" i="20" s="1"/>
  <c r="I156" i="24" l="1"/>
  <c r="K155" i="27"/>
  <c r="G155" i="27" s="1"/>
  <c r="J155" i="27"/>
  <c r="F155" i="27" s="1"/>
  <c r="I155" i="27"/>
  <c r="J156" i="24"/>
  <c r="F156" i="24" s="1"/>
  <c r="D156" i="24"/>
  <c r="D157" i="25"/>
  <c r="E157" i="25"/>
  <c r="E159" i="30"/>
  <c r="J154" i="26"/>
  <c r="F154" i="26" s="1"/>
  <c r="I154" i="26"/>
  <c r="D154" i="26" s="1"/>
  <c r="K154" i="26"/>
  <c r="G154" i="26" s="1"/>
  <c r="E156" i="31"/>
  <c r="D156" i="31"/>
  <c r="E153" i="1"/>
  <c r="K154" i="1" s="1"/>
  <c r="G154" i="1" s="1"/>
  <c r="E155" i="29"/>
  <c r="I156" i="29" s="1"/>
  <c r="D156" i="29" s="1"/>
  <c r="I154" i="23"/>
  <c r="J154" i="23"/>
  <c r="F154" i="23" s="1"/>
  <c r="K154" i="23"/>
  <c r="G154" i="23" s="1"/>
  <c r="E155" i="32"/>
  <c r="I154" i="21"/>
  <c r="J154" i="21"/>
  <c r="F154" i="21" s="1"/>
  <c r="K154" i="21"/>
  <c r="G154" i="21" s="1"/>
  <c r="K156" i="28"/>
  <c r="G156" i="28" s="1"/>
  <c r="J156" i="28"/>
  <c r="F156" i="28" s="1"/>
  <c r="I156" i="28"/>
  <c r="E157" i="22"/>
  <c r="I158" i="22" s="1"/>
  <c r="D158" i="22" s="1"/>
  <c r="I160" i="30"/>
  <c r="D160" i="30" s="1"/>
  <c r="K160" i="30"/>
  <c r="G160" i="30" s="1"/>
  <c r="J160" i="30"/>
  <c r="F160" i="30" s="1"/>
  <c r="E154" i="20"/>
  <c r="D155" i="27" l="1"/>
  <c r="E155" i="27"/>
  <c r="E156" i="24"/>
  <c r="J158" i="25"/>
  <c r="F158" i="25" s="1"/>
  <c r="I158" i="25"/>
  <c r="K158" i="25"/>
  <c r="G158" i="25" s="1"/>
  <c r="E154" i="26"/>
  <c r="I155" i="26" s="1"/>
  <c r="D155" i="26" s="1"/>
  <c r="K156" i="29"/>
  <c r="G156" i="29" s="1"/>
  <c r="J154" i="1"/>
  <c r="F154" i="1" s="1"/>
  <c r="I154" i="1"/>
  <c r="D154" i="1" s="1"/>
  <c r="K157" i="31"/>
  <c r="G157" i="31" s="1"/>
  <c r="J157" i="31"/>
  <c r="F157" i="31" s="1"/>
  <c r="I157" i="31"/>
  <c r="J156" i="29"/>
  <c r="F156" i="29" s="1"/>
  <c r="D154" i="23"/>
  <c r="E154" i="23"/>
  <c r="J156" i="32"/>
  <c r="F156" i="32" s="1"/>
  <c r="K156" i="32"/>
  <c r="G156" i="32" s="1"/>
  <c r="I156" i="32"/>
  <c r="D154" i="21"/>
  <c r="E154" i="21"/>
  <c r="J158" i="22"/>
  <c r="F158" i="22" s="1"/>
  <c r="K158" i="22"/>
  <c r="G158" i="22" s="1"/>
  <c r="D156" i="28"/>
  <c r="E156" i="28"/>
  <c r="E160" i="30"/>
  <c r="I155" i="20"/>
  <c r="D155" i="20" s="1"/>
  <c r="K155" i="20"/>
  <c r="G155" i="20" s="1"/>
  <c r="J155" i="20"/>
  <c r="F155" i="20" s="1"/>
  <c r="I156" i="27" l="1"/>
  <c r="J156" i="27"/>
  <c r="F156" i="27" s="1"/>
  <c r="K156" i="27"/>
  <c r="G156" i="27" s="1"/>
  <c r="K157" i="24"/>
  <c r="G157" i="24" s="1"/>
  <c r="I157" i="24"/>
  <c r="J157" i="24"/>
  <c r="F157" i="24" s="1"/>
  <c r="D158" i="25"/>
  <c r="E158" i="25"/>
  <c r="K155" i="26"/>
  <c r="G155" i="26" s="1"/>
  <c r="J155" i="26"/>
  <c r="F155" i="26" s="1"/>
  <c r="E154" i="1"/>
  <c r="K155" i="1" s="1"/>
  <c r="G155" i="1" s="1"/>
  <c r="E157" i="31"/>
  <c r="D157" i="31"/>
  <c r="E156" i="29"/>
  <c r="K157" i="29" s="1"/>
  <c r="G157" i="29" s="1"/>
  <c r="J155" i="23"/>
  <c r="F155" i="23" s="1"/>
  <c r="I155" i="23"/>
  <c r="D155" i="23" s="1"/>
  <c r="K155" i="23"/>
  <c r="G155" i="23" s="1"/>
  <c r="D156" i="32"/>
  <c r="E156" i="32"/>
  <c r="J155" i="21"/>
  <c r="F155" i="21" s="1"/>
  <c r="K155" i="21"/>
  <c r="G155" i="21" s="1"/>
  <c r="I155" i="21"/>
  <c r="E158" i="22"/>
  <c r="I159" i="22" s="1"/>
  <c r="D159" i="22" s="1"/>
  <c r="I157" i="28"/>
  <c r="J157" i="28"/>
  <c r="F157" i="28" s="1"/>
  <c r="K157" i="28"/>
  <c r="G157" i="28" s="1"/>
  <c r="J161" i="30"/>
  <c r="F161" i="30" s="1"/>
  <c r="I161" i="30"/>
  <c r="D161" i="30" s="1"/>
  <c r="K161" i="30"/>
  <c r="G161" i="30" s="1"/>
  <c r="E155" i="20"/>
  <c r="D156" i="27" l="1"/>
  <c r="E156" i="27"/>
  <c r="D157" i="24"/>
  <c r="E157" i="24"/>
  <c r="I155" i="1"/>
  <c r="D155" i="1" s="1"/>
  <c r="J155" i="1"/>
  <c r="F155" i="1" s="1"/>
  <c r="J159" i="25"/>
  <c r="F159" i="25" s="1"/>
  <c r="K159" i="25"/>
  <c r="G159" i="25" s="1"/>
  <c r="I159" i="25"/>
  <c r="E155" i="26"/>
  <c r="I156" i="26" s="1"/>
  <c r="D156" i="26" s="1"/>
  <c r="I157" i="29"/>
  <c r="D157" i="29" s="1"/>
  <c r="K158" i="31"/>
  <c r="G158" i="31" s="1"/>
  <c r="J158" i="31"/>
  <c r="F158" i="31" s="1"/>
  <c r="I158" i="31"/>
  <c r="J157" i="29"/>
  <c r="F157" i="29" s="1"/>
  <c r="E155" i="23"/>
  <c r="J157" i="32"/>
  <c r="F157" i="32" s="1"/>
  <c r="K157" i="32"/>
  <c r="G157" i="32" s="1"/>
  <c r="I157" i="32"/>
  <c r="D157" i="32" s="1"/>
  <c r="D155" i="21"/>
  <c r="E155" i="21"/>
  <c r="K159" i="22"/>
  <c r="G159" i="22" s="1"/>
  <c r="J159" i="22"/>
  <c r="F159" i="22" s="1"/>
  <c r="D157" i="28"/>
  <c r="E157" i="28"/>
  <c r="E161" i="30"/>
  <c r="K162" i="30" s="1"/>
  <c r="G162" i="30" s="1"/>
  <c r="I156" i="20"/>
  <c r="D156" i="20" s="1"/>
  <c r="J156" i="20"/>
  <c r="F156" i="20" s="1"/>
  <c r="K156" i="20"/>
  <c r="G156" i="20" s="1"/>
  <c r="E155" i="1"/>
  <c r="J156" i="1" s="1"/>
  <c r="F156" i="1" s="1"/>
  <c r="J157" i="27" l="1"/>
  <c r="F157" i="27" s="1"/>
  <c r="I157" i="27"/>
  <c r="K157" i="27"/>
  <c r="G157" i="27" s="1"/>
  <c r="K158" i="24"/>
  <c r="G158" i="24" s="1"/>
  <c r="J158" i="24"/>
  <c r="F158" i="24" s="1"/>
  <c r="I158" i="24"/>
  <c r="D159" i="25"/>
  <c r="E159" i="25"/>
  <c r="J156" i="26"/>
  <c r="F156" i="26" s="1"/>
  <c r="K156" i="26"/>
  <c r="G156" i="26" s="1"/>
  <c r="D158" i="31"/>
  <c r="E158" i="31"/>
  <c r="E157" i="29"/>
  <c r="K158" i="29" s="1"/>
  <c r="G158" i="29" s="1"/>
  <c r="J156" i="23"/>
  <c r="F156" i="23" s="1"/>
  <c r="I156" i="23"/>
  <c r="K156" i="23"/>
  <c r="G156" i="23" s="1"/>
  <c r="E157" i="32"/>
  <c r="I158" i="32" s="1"/>
  <c r="D158" i="32" s="1"/>
  <c r="I156" i="21"/>
  <c r="K156" i="21"/>
  <c r="G156" i="21" s="1"/>
  <c r="J156" i="21"/>
  <c r="F156" i="21" s="1"/>
  <c r="E159" i="22"/>
  <c r="I160" i="22" s="1"/>
  <c r="D160" i="22" s="1"/>
  <c r="I158" i="28"/>
  <c r="K158" i="28"/>
  <c r="G158" i="28" s="1"/>
  <c r="J158" i="28"/>
  <c r="F158" i="28" s="1"/>
  <c r="J162" i="30"/>
  <c r="F162" i="30" s="1"/>
  <c r="I162" i="30"/>
  <c r="D162" i="30" s="1"/>
  <c r="E156" i="20"/>
  <c r="I156" i="1"/>
  <c r="D156" i="1" s="1"/>
  <c r="K156" i="1"/>
  <c r="G156" i="1" s="1"/>
  <c r="D157" i="27" l="1"/>
  <c r="E157" i="27"/>
  <c r="D158" i="24"/>
  <c r="E158" i="24"/>
  <c r="I160" i="25"/>
  <c r="K160" i="25"/>
  <c r="G160" i="25" s="1"/>
  <c r="J160" i="25"/>
  <c r="F160" i="25" s="1"/>
  <c r="E156" i="26"/>
  <c r="I157" i="26" s="1"/>
  <c r="D157" i="26" s="1"/>
  <c r="K159" i="31"/>
  <c r="G159" i="31" s="1"/>
  <c r="J159" i="31"/>
  <c r="F159" i="31" s="1"/>
  <c r="I159" i="31"/>
  <c r="I158" i="29"/>
  <c r="D158" i="29" s="1"/>
  <c r="J158" i="29"/>
  <c r="F158" i="29" s="1"/>
  <c r="J158" i="32"/>
  <c r="F158" i="32" s="1"/>
  <c r="K158" i="32"/>
  <c r="G158" i="32" s="1"/>
  <c r="D156" i="23"/>
  <c r="E156" i="23"/>
  <c r="D156" i="21"/>
  <c r="E156" i="21"/>
  <c r="K160" i="22"/>
  <c r="G160" i="22" s="1"/>
  <c r="J160" i="22"/>
  <c r="F160" i="22" s="1"/>
  <c r="D158" i="28"/>
  <c r="E158" i="28"/>
  <c r="E162" i="30"/>
  <c r="I163" i="30" s="1"/>
  <c r="D163" i="30" s="1"/>
  <c r="I157" i="20"/>
  <c r="D157" i="20" s="1"/>
  <c r="K157" i="20"/>
  <c r="G157" i="20" s="1"/>
  <c r="J157" i="20"/>
  <c r="F157" i="20" s="1"/>
  <c r="E156" i="1"/>
  <c r="I157" i="1" s="1"/>
  <c r="D157" i="1" s="1"/>
  <c r="J158" i="27" l="1"/>
  <c r="F158" i="27" s="1"/>
  <c r="I158" i="27"/>
  <c r="K158" i="27"/>
  <c r="G158" i="27" s="1"/>
  <c r="I159" i="24"/>
  <c r="J159" i="24"/>
  <c r="F159" i="24" s="1"/>
  <c r="K159" i="24"/>
  <c r="G159" i="24" s="1"/>
  <c r="D160" i="25"/>
  <c r="E160" i="25"/>
  <c r="K157" i="26"/>
  <c r="G157" i="26" s="1"/>
  <c r="J157" i="26"/>
  <c r="F157" i="26" s="1"/>
  <c r="E158" i="29"/>
  <c r="J159" i="29" s="1"/>
  <c r="F159" i="29" s="1"/>
  <c r="D159" i="31"/>
  <c r="E159" i="31"/>
  <c r="E158" i="32"/>
  <c r="I159" i="32" s="1"/>
  <c r="I157" i="23"/>
  <c r="J157" i="23"/>
  <c r="F157" i="23" s="1"/>
  <c r="K157" i="23"/>
  <c r="G157" i="23" s="1"/>
  <c r="I157" i="21"/>
  <c r="K157" i="21"/>
  <c r="G157" i="21" s="1"/>
  <c r="J157" i="21"/>
  <c r="F157" i="21" s="1"/>
  <c r="E160" i="22"/>
  <c r="I161" i="22" s="1"/>
  <c r="D161" i="22" s="1"/>
  <c r="J163" i="30"/>
  <c r="F163" i="30" s="1"/>
  <c r="K163" i="30"/>
  <c r="G163" i="30" s="1"/>
  <c r="K159" i="28"/>
  <c r="G159" i="28" s="1"/>
  <c r="I159" i="28"/>
  <c r="D159" i="28" s="1"/>
  <c r="J159" i="28"/>
  <c r="F159" i="28" s="1"/>
  <c r="E157" i="20"/>
  <c r="J157" i="1"/>
  <c r="F157" i="1" s="1"/>
  <c r="K157" i="1"/>
  <c r="G157" i="1" s="1"/>
  <c r="D158" i="27" l="1"/>
  <c r="E158" i="27"/>
  <c r="D159" i="24"/>
  <c r="E159" i="24"/>
  <c r="K159" i="29"/>
  <c r="G159" i="29" s="1"/>
  <c r="I161" i="25"/>
  <c r="J161" i="25"/>
  <c r="F161" i="25" s="1"/>
  <c r="K161" i="25"/>
  <c r="G161" i="25" s="1"/>
  <c r="E157" i="26"/>
  <c r="I158" i="26" s="1"/>
  <c r="D158" i="26" s="1"/>
  <c r="I159" i="29"/>
  <c r="D159" i="29" s="1"/>
  <c r="I160" i="31"/>
  <c r="K160" i="31"/>
  <c r="G160" i="31" s="1"/>
  <c r="J160" i="31"/>
  <c r="F160" i="31" s="1"/>
  <c r="E157" i="23"/>
  <c r="J158" i="23" s="1"/>
  <c r="F158" i="23" s="1"/>
  <c r="J159" i="32"/>
  <c r="F159" i="32" s="1"/>
  <c r="K159" i="32"/>
  <c r="G159" i="32" s="1"/>
  <c r="D157" i="23"/>
  <c r="D159" i="32"/>
  <c r="D157" i="21"/>
  <c r="E157" i="21"/>
  <c r="K161" i="22"/>
  <c r="G161" i="22" s="1"/>
  <c r="J161" i="22"/>
  <c r="F161" i="22" s="1"/>
  <c r="E163" i="30"/>
  <c r="K164" i="30" s="1"/>
  <c r="G164" i="30" s="1"/>
  <c r="E159" i="28"/>
  <c r="K160" i="28" s="1"/>
  <c r="G160" i="28" s="1"/>
  <c r="K158" i="20"/>
  <c r="G158" i="20" s="1"/>
  <c r="I158" i="20"/>
  <c r="D158" i="20" s="1"/>
  <c r="J158" i="20"/>
  <c r="F158" i="20" s="1"/>
  <c r="E157" i="1"/>
  <c r="I158" i="1" s="1"/>
  <c r="D158" i="1" s="1"/>
  <c r="K159" i="27" l="1"/>
  <c r="G159" i="27" s="1"/>
  <c r="J159" i="27"/>
  <c r="F159" i="27" s="1"/>
  <c r="I159" i="27"/>
  <c r="K160" i="24"/>
  <c r="G160" i="24" s="1"/>
  <c r="I160" i="24"/>
  <c r="J160" i="24"/>
  <c r="F160" i="24" s="1"/>
  <c r="K158" i="26"/>
  <c r="G158" i="26" s="1"/>
  <c r="D161" i="25"/>
  <c r="E161" i="25"/>
  <c r="J158" i="26"/>
  <c r="F158" i="26" s="1"/>
  <c r="E159" i="29"/>
  <c r="I160" i="29" s="1"/>
  <c r="D160" i="31"/>
  <c r="E160" i="31"/>
  <c r="K158" i="23"/>
  <c r="G158" i="23" s="1"/>
  <c r="I158" i="23"/>
  <c r="D158" i="23" s="1"/>
  <c r="E159" i="32"/>
  <c r="J160" i="32" s="1"/>
  <c r="F160" i="32" s="1"/>
  <c r="I158" i="21"/>
  <c r="J158" i="21"/>
  <c r="F158" i="21" s="1"/>
  <c r="K158" i="21"/>
  <c r="G158" i="21" s="1"/>
  <c r="E161" i="22"/>
  <c r="I162" i="22" s="1"/>
  <c r="D162" i="22" s="1"/>
  <c r="I164" i="30"/>
  <c r="D164" i="30" s="1"/>
  <c r="J164" i="30"/>
  <c r="F164" i="30" s="1"/>
  <c r="J160" i="28"/>
  <c r="F160" i="28" s="1"/>
  <c r="I160" i="28"/>
  <c r="D160" i="28" s="1"/>
  <c r="E158" i="20"/>
  <c r="J158" i="1"/>
  <c r="F158" i="1" s="1"/>
  <c r="K158" i="1"/>
  <c r="G158" i="1" s="1"/>
  <c r="D159" i="27" l="1"/>
  <c r="E159" i="27"/>
  <c r="E160" i="24"/>
  <c r="D160" i="24"/>
  <c r="K160" i="29"/>
  <c r="G160" i="29" s="1"/>
  <c r="K162" i="25"/>
  <c r="G162" i="25" s="1"/>
  <c r="J162" i="25"/>
  <c r="F162" i="25" s="1"/>
  <c r="I162" i="25"/>
  <c r="J160" i="29"/>
  <c r="F160" i="29" s="1"/>
  <c r="E158" i="26"/>
  <c r="J159" i="26" s="1"/>
  <c r="F159" i="26" s="1"/>
  <c r="I161" i="31"/>
  <c r="J161" i="31"/>
  <c r="F161" i="31" s="1"/>
  <c r="K161" i="31"/>
  <c r="G161" i="31" s="1"/>
  <c r="K160" i="32"/>
  <c r="G160" i="32" s="1"/>
  <c r="E158" i="23"/>
  <c r="J159" i="23" s="1"/>
  <c r="F159" i="23" s="1"/>
  <c r="I160" i="32"/>
  <c r="D160" i="29"/>
  <c r="D158" i="21"/>
  <c r="E158" i="21"/>
  <c r="J162" i="22"/>
  <c r="F162" i="22" s="1"/>
  <c r="K162" i="22"/>
  <c r="G162" i="22" s="1"/>
  <c r="E164" i="30"/>
  <c r="K165" i="30" s="1"/>
  <c r="G165" i="30" s="1"/>
  <c r="E160" i="28"/>
  <c r="K161" i="28" s="1"/>
  <c r="G161" i="28" s="1"/>
  <c r="I159" i="20"/>
  <c r="D159" i="20" s="1"/>
  <c r="K159" i="20"/>
  <c r="G159" i="20" s="1"/>
  <c r="J159" i="20"/>
  <c r="F159" i="20" s="1"/>
  <c r="E158" i="1"/>
  <c r="I159" i="1" s="1"/>
  <c r="D159" i="1" s="1"/>
  <c r="J160" i="27" l="1"/>
  <c r="F160" i="27" s="1"/>
  <c r="K160" i="27"/>
  <c r="G160" i="27" s="1"/>
  <c r="I160" i="27"/>
  <c r="J161" i="24"/>
  <c r="F161" i="24" s="1"/>
  <c r="K161" i="24"/>
  <c r="G161" i="24" s="1"/>
  <c r="I161" i="24"/>
  <c r="E160" i="29"/>
  <c r="I161" i="29" s="1"/>
  <c r="I159" i="26"/>
  <c r="D159" i="26" s="1"/>
  <c r="K159" i="26"/>
  <c r="G159" i="26" s="1"/>
  <c r="D162" i="25"/>
  <c r="E162" i="25"/>
  <c r="E160" i="32"/>
  <c r="J161" i="32" s="1"/>
  <c r="F161" i="32" s="1"/>
  <c r="E161" i="31"/>
  <c r="D161" i="31"/>
  <c r="K159" i="23"/>
  <c r="G159" i="23" s="1"/>
  <c r="I159" i="23"/>
  <c r="D159" i="23" s="1"/>
  <c r="D160" i="32"/>
  <c r="K159" i="21"/>
  <c r="G159" i="21" s="1"/>
  <c r="I159" i="21"/>
  <c r="J159" i="21"/>
  <c r="F159" i="21" s="1"/>
  <c r="E162" i="22"/>
  <c r="I163" i="22" s="1"/>
  <c r="D163" i="22" s="1"/>
  <c r="I165" i="30"/>
  <c r="D165" i="30" s="1"/>
  <c r="J165" i="30"/>
  <c r="F165" i="30" s="1"/>
  <c r="J161" i="28"/>
  <c r="F161" i="28" s="1"/>
  <c r="I161" i="28"/>
  <c r="D161" i="28" s="1"/>
  <c r="E159" i="20"/>
  <c r="J159" i="1"/>
  <c r="F159" i="1" s="1"/>
  <c r="K159" i="1"/>
  <c r="G159" i="1" s="1"/>
  <c r="K161" i="29" l="1"/>
  <c r="G161" i="29" s="1"/>
  <c r="D160" i="27"/>
  <c r="E160" i="27"/>
  <c r="J161" i="29"/>
  <c r="F161" i="29" s="1"/>
  <c r="E161" i="24"/>
  <c r="D161" i="24"/>
  <c r="E159" i="26"/>
  <c r="J160" i="26" s="1"/>
  <c r="F160" i="26" s="1"/>
  <c r="I163" i="25"/>
  <c r="J163" i="25"/>
  <c r="F163" i="25" s="1"/>
  <c r="K163" i="25"/>
  <c r="G163" i="25" s="1"/>
  <c r="K161" i="32"/>
  <c r="G161" i="32" s="1"/>
  <c r="I161" i="32"/>
  <c r="J162" i="31"/>
  <c r="F162" i="31" s="1"/>
  <c r="I162" i="31"/>
  <c r="K162" i="31"/>
  <c r="G162" i="31" s="1"/>
  <c r="E159" i="23"/>
  <c r="D161" i="29"/>
  <c r="J163" i="22"/>
  <c r="F163" i="22" s="1"/>
  <c r="D159" i="21"/>
  <c r="E159" i="21"/>
  <c r="K163" i="22"/>
  <c r="G163" i="22" s="1"/>
  <c r="E165" i="30"/>
  <c r="I166" i="30" s="1"/>
  <c r="D166" i="30" s="1"/>
  <c r="E161" i="28"/>
  <c r="I162" i="28" s="1"/>
  <c r="I160" i="20"/>
  <c r="D160" i="20" s="1"/>
  <c r="J160" i="20"/>
  <c r="F160" i="20" s="1"/>
  <c r="K160" i="20"/>
  <c r="G160" i="20" s="1"/>
  <c r="E159" i="1"/>
  <c r="I160" i="1" s="1"/>
  <c r="D160" i="1" s="1"/>
  <c r="E161" i="29" l="1"/>
  <c r="E161" i="32"/>
  <c r="D161" i="32"/>
  <c r="I161" i="27"/>
  <c r="K161" i="27"/>
  <c r="G161" i="27" s="1"/>
  <c r="J161" i="27"/>
  <c r="F161" i="27" s="1"/>
  <c r="I160" i="26"/>
  <c r="D160" i="26" s="1"/>
  <c r="K162" i="24"/>
  <c r="G162" i="24" s="1"/>
  <c r="I162" i="24"/>
  <c r="D162" i="24" s="1"/>
  <c r="J162" i="24"/>
  <c r="F162" i="24" s="1"/>
  <c r="K160" i="26"/>
  <c r="G160" i="26" s="1"/>
  <c r="D163" i="25"/>
  <c r="E163" i="25"/>
  <c r="D162" i="31"/>
  <c r="E162" i="31"/>
  <c r="I160" i="23"/>
  <c r="K160" i="23"/>
  <c r="G160" i="23" s="1"/>
  <c r="J160" i="23"/>
  <c r="F160" i="23" s="1"/>
  <c r="I162" i="29"/>
  <c r="J162" i="29"/>
  <c r="F162" i="29" s="1"/>
  <c r="K162" i="29"/>
  <c r="G162" i="29" s="1"/>
  <c r="I162" i="32"/>
  <c r="K162" i="32"/>
  <c r="G162" i="32" s="1"/>
  <c r="J162" i="32"/>
  <c r="F162" i="32" s="1"/>
  <c r="K160" i="21"/>
  <c r="G160" i="21" s="1"/>
  <c r="J160" i="21"/>
  <c r="F160" i="21" s="1"/>
  <c r="I160" i="21"/>
  <c r="E163" i="22"/>
  <c r="J166" i="30"/>
  <c r="F166" i="30" s="1"/>
  <c r="K162" i="28"/>
  <c r="G162" i="28" s="1"/>
  <c r="J162" i="28"/>
  <c r="F162" i="28" s="1"/>
  <c r="K166" i="30"/>
  <c r="G166" i="30" s="1"/>
  <c r="D162" i="28"/>
  <c r="E160" i="20"/>
  <c r="K160" i="1"/>
  <c r="G160" i="1" s="1"/>
  <c r="J160" i="1"/>
  <c r="F160" i="1" s="1"/>
  <c r="D161" i="27" l="1"/>
  <c r="E161" i="27"/>
  <c r="E162" i="24"/>
  <c r="E160" i="26"/>
  <c r="I161" i="26" s="1"/>
  <c r="D161" i="26" s="1"/>
  <c r="K164" i="25"/>
  <c r="G164" i="25" s="1"/>
  <c r="I164" i="25"/>
  <c r="J164" i="25"/>
  <c r="F164" i="25" s="1"/>
  <c r="I163" i="31"/>
  <c r="J163" i="31"/>
  <c r="F163" i="31" s="1"/>
  <c r="K163" i="31"/>
  <c r="G163" i="31" s="1"/>
  <c r="E160" i="23"/>
  <c r="D160" i="23"/>
  <c r="D162" i="29"/>
  <c r="E162" i="29"/>
  <c r="D162" i="32"/>
  <c r="E162" i="32"/>
  <c r="D160" i="21"/>
  <c r="E160" i="21"/>
  <c r="J164" i="22"/>
  <c r="F164" i="22" s="1"/>
  <c r="K164" i="22"/>
  <c r="G164" i="22" s="1"/>
  <c r="I164" i="22"/>
  <c r="E166" i="30"/>
  <c r="K167" i="30" s="1"/>
  <c r="G167" i="30" s="1"/>
  <c r="E162" i="28"/>
  <c r="I163" i="28" s="1"/>
  <c r="I161" i="20"/>
  <c r="D161" i="20" s="1"/>
  <c r="J161" i="20"/>
  <c r="F161" i="20" s="1"/>
  <c r="K161" i="20"/>
  <c r="G161" i="20" s="1"/>
  <c r="E160" i="1"/>
  <c r="K161" i="1" s="1"/>
  <c r="G161" i="1" s="1"/>
  <c r="J162" i="27" l="1"/>
  <c r="F162" i="27" s="1"/>
  <c r="K162" i="27"/>
  <c r="G162" i="27" s="1"/>
  <c r="I162" i="27"/>
  <c r="J161" i="26"/>
  <c r="F161" i="26" s="1"/>
  <c r="I163" i="24"/>
  <c r="K163" i="24"/>
  <c r="G163" i="24" s="1"/>
  <c r="J163" i="24"/>
  <c r="F163" i="24" s="1"/>
  <c r="K161" i="26"/>
  <c r="G161" i="26" s="1"/>
  <c r="D164" i="25"/>
  <c r="E164" i="25"/>
  <c r="D163" i="31"/>
  <c r="E163" i="31"/>
  <c r="I161" i="23"/>
  <c r="K161" i="23"/>
  <c r="G161" i="23" s="1"/>
  <c r="J161" i="23"/>
  <c r="F161" i="23" s="1"/>
  <c r="I163" i="29"/>
  <c r="K163" i="29"/>
  <c r="G163" i="29" s="1"/>
  <c r="J163" i="29"/>
  <c r="F163" i="29" s="1"/>
  <c r="J163" i="32"/>
  <c r="F163" i="32" s="1"/>
  <c r="K163" i="32"/>
  <c r="G163" i="32" s="1"/>
  <c r="I163" i="32"/>
  <c r="D164" i="22"/>
  <c r="E164" i="22"/>
  <c r="K161" i="21"/>
  <c r="G161" i="21" s="1"/>
  <c r="J161" i="21"/>
  <c r="F161" i="21" s="1"/>
  <c r="I161" i="21"/>
  <c r="I167" i="30"/>
  <c r="D167" i="30" s="1"/>
  <c r="J167" i="30"/>
  <c r="F167" i="30" s="1"/>
  <c r="J163" i="28"/>
  <c r="F163" i="28" s="1"/>
  <c r="K163" i="28"/>
  <c r="G163" i="28" s="1"/>
  <c r="D163" i="28"/>
  <c r="E161" i="20"/>
  <c r="I161" i="1"/>
  <c r="D161" i="1" s="1"/>
  <c r="J161" i="1"/>
  <c r="F161" i="1" s="1"/>
  <c r="E161" i="26" l="1"/>
  <c r="D162" i="27"/>
  <c r="E162" i="27"/>
  <c r="D163" i="24"/>
  <c r="E163" i="24"/>
  <c r="K165" i="25"/>
  <c r="G165" i="25" s="1"/>
  <c r="I165" i="25"/>
  <c r="J165" i="25"/>
  <c r="F165" i="25" s="1"/>
  <c r="K162" i="26"/>
  <c r="G162" i="26" s="1"/>
  <c r="I162" i="26"/>
  <c r="D162" i="26" s="1"/>
  <c r="J162" i="26"/>
  <c r="F162" i="26" s="1"/>
  <c r="K164" i="31"/>
  <c r="G164" i="31" s="1"/>
  <c r="I164" i="31"/>
  <c r="J164" i="31"/>
  <c r="F164" i="31" s="1"/>
  <c r="D161" i="23"/>
  <c r="E161" i="23"/>
  <c r="D163" i="29"/>
  <c r="E163" i="29"/>
  <c r="D163" i="32"/>
  <c r="E163" i="32"/>
  <c r="J165" i="22"/>
  <c r="F165" i="22" s="1"/>
  <c r="I165" i="22"/>
  <c r="K165" i="22"/>
  <c r="G165" i="22" s="1"/>
  <c r="D161" i="21"/>
  <c r="E161" i="21"/>
  <c r="E167" i="30"/>
  <c r="I168" i="30" s="1"/>
  <c r="D168" i="30" s="1"/>
  <c r="E163" i="28"/>
  <c r="I164" i="28" s="1"/>
  <c r="K162" i="20"/>
  <c r="G162" i="20" s="1"/>
  <c r="I162" i="20"/>
  <c r="D162" i="20" s="1"/>
  <c r="J162" i="20"/>
  <c r="F162" i="20" s="1"/>
  <c r="E161" i="1"/>
  <c r="J162" i="1" s="1"/>
  <c r="F162" i="1" s="1"/>
  <c r="J163" i="27" l="1"/>
  <c r="F163" i="27" s="1"/>
  <c r="I163" i="27"/>
  <c r="K163" i="27"/>
  <c r="G163" i="27" s="1"/>
  <c r="K164" i="24"/>
  <c r="G164" i="24" s="1"/>
  <c r="J164" i="24"/>
  <c r="F164" i="24" s="1"/>
  <c r="I164" i="24"/>
  <c r="D164" i="24" s="1"/>
  <c r="D165" i="25"/>
  <c r="E165" i="25"/>
  <c r="E162" i="26"/>
  <c r="E164" i="31"/>
  <c r="D164" i="31"/>
  <c r="J162" i="23"/>
  <c r="F162" i="23" s="1"/>
  <c r="K162" i="23"/>
  <c r="G162" i="23" s="1"/>
  <c r="I162" i="23"/>
  <c r="J168" i="30"/>
  <c r="F168" i="30" s="1"/>
  <c r="K164" i="29"/>
  <c r="G164" i="29" s="1"/>
  <c r="I164" i="29"/>
  <c r="J164" i="29"/>
  <c r="F164" i="29" s="1"/>
  <c r="I164" i="32"/>
  <c r="J164" i="32"/>
  <c r="F164" i="32" s="1"/>
  <c r="K164" i="32"/>
  <c r="G164" i="32" s="1"/>
  <c r="K168" i="30"/>
  <c r="G168" i="30" s="1"/>
  <c r="D165" i="22"/>
  <c r="E165" i="22"/>
  <c r="I162" i="21"/>
  <c r="K162" i="21"/>
  <c r="G162" i="21" s="1"/>
  <c r="J162" i="21"/>
  <c r="F162" i="21" s="1"/>
  <c r="K164" i="28"/>
  <c r="G164" i="28" s="1"/>
  <c r="J164" i="28"/>
  <c r="F164" i="28" s="1"/>
  <c r="D164" i="28"/>
  <c r="E162" i="20"/>
  <c r="I162" i="1"/>
  <c r="D162" i="1" s="1"/>
  <c r="K162" i="1"/>
  <c r="G162" i="1" s="1"/>
  <c r="D163" i="27" l="1"/>
  <c r="E163" i="27"/>
  <c r="E164" i="24"/>
  <c r="K166" i="25"/>
  <c r="G166" i="25" s="1"/>
  <c r="J166" i="25"/>
  <c r="F166" i="25" s="1"/>
  <c r="I166" i="25"/>
  <c r="J163" i="26"/>
  <c r="F163" i="26" s="1"/>
  <c r="I163" i="26"/>
  <c r="D163" i="26" s="1"/>
  <c r="K163" i="26"/>
  <c r="G163" i="26" s="1"/>
  <c r="J165" i="31"/>
  <c r="F165" i="31" s="1"/>
  <c r="K165" i="31"/>
  <c r="G165" i="31" s="1"/>
  <c r="I165" i="31"/>
  <c r="E162" i="23"/>
  <c r="D162" i="23"/>
  <c r="D164" i="29"/>
  <c r="E164" i="29"/>
  <c r="E168" i="30"/>
  <c r="I169" i="30" s="1"/>
  <c r="E164" i="32"/>
  <c r="D164" i="32"/>
  <c r="D162" i="21"/>
  <c r="E162" i="21"/>
  <c r="I166" i="22"/>
  <c r="K166" i="22"/>
  <c r="G166" i="22" s="1"/>
  <c r="J166" i="22"/>
  <c r="F166" i="22" s="1"/>
  <c r="E164" i="28"/>
  <c r="I165" i="28" s="1"/>
  <c r="D165" i="28" s="1"/>
  <c r="K163" i="20"/>
  <c r="G163" i="20" s="1"/>
  <c r="I163" i="20"/>
  <c r="D163" i="20" s="1"/>
  <c r="J163" i="20"/>
  <c r="F163" i="20" s="1"/>
  <c r="E162" i="1"/>
  <c r="J163" i="1" s="1"/>
  <c r="F163" i="1" s="1"/>
  <c r="J164" i="27" l="1"/>
  <c r="F164" i="27" s="1"/>
  <c r="I164" i="27"/>
  <c r="K164" i="27"/>
  <c r="G164" i="27" s="1"/>
  <c r="I165" i="24"/>
  <c r="D165" i="24" s="1"/>
  <c r="J165" i="24"/>
  <c r="F165" i="24" s="1"/>
  <c r="K165" i="24"/>
  <c r="G165" i="24" s="1"/>
  <c r="D166" i="25"/>
  <c r="E166" i="25"/>
  <c r="E163" i="26"/>
  <c r="K169" i="30"/>
  <c r="G169" i="30" s="1"/>
  <c r="D165" i="31"/>
  <c r="E165" i="31"/>
  <c r="J169" i="30"/>
  <c r="F169" i="30" s="1"/>
  <c r="J163" i="23"/>
  <c r="F163" i="23" s="1"/>
  <c r="K163" i="23"/>
  <c r="G163" i="23" s="1"/>
  <c r="I163" i="23"/>
  <c r="J165" i="28"/>
  <c r="F165" i="28" s="1"/>
  <c r="J165" i="29"/>
  <c r="F165" i="29" s="1"/>
  <c r="I165" i="29"/>
  <c r="K165" i="29"/>
  <c r="G165" i="29" s="1"/>
  <c r="K165" i="32"/>
  <c r="G165" i="32" s="1"/>
  <c r="I165" i="32"/>
  <c r="J165" i="32"/>
  <c r="F165" i="32" s="1"/>
  <c r="D166" i="22"/>
  <c r="E166" i="22"/>
  <c r="J163" i="21"/>
  <c r="F163" i="21" s="1"/>
  <c r="K163" i="21"/>
  <c r="G163" i="21" s="1"/>
  <c r="I163" i="21"/>
  <c r="K165" i="28"/>
  <c r="G165" i="28" s="1"/>
  <c r="D169" i="30"/>
  <c r="E163" i="20"/>
  <c r="K163" i="1"/>
  <c r="G163" i="1" s="1"/>
  <c r="I163" i="1"/>
  <c r="D163" i="1" s="1"/>
  <c r="D164" i="27" l="1"/>
  <c r="E164" i="27"/>
  <c r="E165" i="24"/>
  <c r="E169" i="30"/>
  <c r="K170" i="30" s="1"/>
  <c r="G170" i="30" s="1"/>
  <c r="J167" i="25"/>
  <c r="F167" i="25" s="1"/>
  <c r="K167" i="25"/>
  <c r="G167" i="25" s="1"/>
  <c r="I167" i="25"/>
  <c r="K164" i="26"/>
  <c r="G164" i="26" s="1"/>
  <c r="I164" i="26"/>
  <c r="D164" i="26" s="1"/>
  <c r="J164" i="26"/>
  <c r="F164" i="26" s="1"/>
  <c r="I166" i="31"/>
  <c r="J166" i="31"/>
  <c r="F166" i="31" s="1"/>
  <c r="K166" i="31"/>
  <c r="G166" i="31" s="1"/>
  <c r="E163" i="23"/>
  <c r="D163" i="23"/>
  <c r="E165" i="28"/>
  <c r="I166" i="28" s="1"/>
  <c r="D165" i="29"/>
  <c r="E165" i="29"/>
  <c r="E165" i="32"/>
  <c r="D165" i="32"/>
  <c r="K167" i="22"/>
  <c r="G167" i="22" s="1"/>
  <c r="J167" i="22"/>
  <c r="F167" i="22" s="1"/>
  <c r="I167" i="22"/>
  <c r="D163" i="21"/>
  <c r="E163" i="21"/>
  <c r="I164" i="20"/>
  <c r="D164" i="20" s="1"/>
  <c r="J164" i="20"/>
  <c r="F164" i="20" s="1"/>
  <c r="K164" i="20"/>
  <c r="G164" i="20" s="1"/>
  <c r="E163" i="1"/>
  <c r="I164" i="1" s="1"/>
  <c r="D164" i="1" s="1"/>
  <c r="I170" i="30" l="1"/>
  <c r="J170" i="30"/>
  <c r="F170" i="30" s="1"/>
  <c r="J165" i="27"/>
  <c r="F165" i="27" s="1"/>
  <c r="K165" i="27"/>
  <c r="G165" i="27" s="1"/>
  <c r="I165" i="27"/>
  <c r="K166" i="24"/>
  <c r="G166" i="24" s="1"/>
  <c r="I166" i="24"/>
  <c r="J166" i="24"/>
  <c r="F166" i="24" s="1"/>
  <c r="D167" i="25"/>
  <c r="E167" i="25"/>
  <c r="E164" i="26"/>
  <c r="K166" i="28"/>
  <c r="G166" i="28" s="1"/>
  <c r="J166" i="28"/>
  <c r="F166" i="28" s="1"/>
  <c r="D166" i="31"/>
  <c r="E166" i="31"/>
  <c r="I164" i="23"/>
  <c r="D164" i="23" s="1"/>
  <c r="J164" i="23"/>
  <c r="F164" i="23" s="1"/>
  <c r="K164" i="23"/>
  <c r="G164" i="23" s="1"/>
  <c r="K166" i="29"/>
  <c r="G166" i="29" s="1"/>
  <c r="J166" i="29"/>
  <c r="F166" i="29" s="1"/>
  <c r="I166" i="29"/>
  <c r="J166" i="32"/>
  <c r="F166" i="32" s="1"/>
  <c r="K166" i="32"/>
  <c r="G166" i="32" s="1"/>
  <c r="I166" i="32"/>
  <c r="D167" i="22"/>
  <c r="E167" i="22"/>
  <c r="K164" i="21"/>
  <c r="G164" i="21" s="1"/>
  <c r="I164" i="21"/>
  <c r="J164" i="21"/>
  <c r="F164" i="21" s="1"/>
  <c r="D170" i="30"/>
  <c r="E170" i="30"/>
  <c r="D166" i="28"/>
  <c r="E164" i="20"/>
  <c r="J164" i="1"/>
  <c r="F164" i="1" s="1"/>
  <c r="K164" i="1"/>
  <c r="G164" i="1" s="1"/>
  <c r="D165" i="27" l="1"/>
  <c r="E165" i="27"/>
  <c r="D166" i="24"/>
  <c r="E166" i="24"/>
  <c r="J168" i="25"/>
  <c r="F168" i="25" s="1"/>
  <c r="I168" i="25"/>
  <c r="K168" i="25"/>
  <c r="G168" i="25" s="1"/>
  <c r="E166" i="28"/>
  <c r="J167" i="28" s="1"/>
  <c r="F167" i="28" s="1"/>
  <c r="K165" i="26"/>
  <c r="G165" i="26" s="1"/>
  <c r="J165" i="26"/>
  <c r="F165" i="26" s="1"/>
  <c r="I165" i="26"/>
  <c r="D165" i="26" s="1"/>
  <c r="J167" i="31"/>
  <c r="F167" i="31" s="1"/>
  <c r="I167" i="31"/>
  <c r="K167" i="31"/>
  <c r="G167" i="31" s="1"/>
  <c r="E164" i="23"/>
  <c r="E166" i="29"/>
  <c r="D166" i="29"/>
  <c r="D166" i="32"/>
  <c r="E166" i="32"/>
  <c r="D164" i="21"/>
  <c r="E164" i="21"/>
  <c r="K168" i="22"/>
  <c r="G168" i="22" s="1"/>
  <c r="I168" i="22"/>
  <c r="J168" i="22"/>
  <c r="F168" i="22" s="1"/>
  <c r="J171" i="30"/>
  <c r="F171" i="30" s="1"/>
  <c r="I171" i="30"/>
  <c r="K171" i="30"/>
  <c r="G171" i="30" s="1"/>
  <c r="I167" i="28"/>
  <c r="D167" i="28" s="1"/>
  <c r="K165" i="20"/>
  <c r="G165" i="20" s="1"/>
  <c r="I165" i="20"/>
  <c r="D165" i="20" s="1"/>
  <c r="J165" i="20"/>
  <c r="F165" i="20" s="1"/>
  <c r="E164" i="1"/>
  <c r="J165" i="1" s="1"/>
  <c r="F165" i="1" s="1"/>
  <c r="K167" i="28" l="1"/>
  <c r="G167" i="28" s="1"/>
  <c r="J166" i="27"/>
  <c r="F166" i="27" s="1"/>
  <c r="K166" i="27"/>
  <c r="G166" i="27" s="1"/>
  <c r="I166" i="27"/>
  <c r="K167" i="24"/>
  <c r="G167" i="24" s="1"/>
  <c r="J167" i="24"/>
  <c r="F167" i="24" s="1"/>
  <c r="I167" i="24"/>
  <c r="D168" i="25"/>
  <c r="E168" i="25"/>
  <c r="E165" i="26"/>
  <c r="D167" i="31"/>
  <c r="E167" i="31"/>
  <c r="I165" i="23"/>
  <c r="D165" i="23" s="1"/>
  <c r="J165" i="23"/>
  <c r="F165" i="23" s="1"/>
  <c r="K165" i="23"/>
  <c r="G165" i="23" s="1"/>
  <c r="K167" i="29"/>
  <c r="G167" i="29" s="1"/>
  <c r="J167" i="29"/>
  <c r="F167" i="29" s="1"/>
  <c r="I167" i="29"/>
  <c r="J167" i="32"/>
  <c r="F167" i="32" s="1"/>
  <c r="K167" i="32"/>
  <c r="G167" i="32" s="1"/>
  <c r="I167" i="32"/>
  <c r="D168" i="22"/>
  <c r="E168" i="22"/>
  <c r="J165" i="21"/>
  <c r="F165" i="21" s="1"/>
  <c r="K165" i="21"/>
  <c r="G165" i="21" s="1"/>
  <c r="I165" i="21"/>
  <c r="D171" i="30"/>
  <c r="E171" i="30"/>
  <c r="E167" i="28"/>
  <c r="E165" i="20"/>
  <c r="I165" i="1"/>
  <c r="D165" i="1" s="1"/>
  <c r="K165" i="1"/>
  <c r="G165" i="1" s="1"/>
  <c r="D166" i="27" l="1"/>
  <c r="E166" i="27"/>
  <c r="D167" i="24"/>
  <c r="E167" i="24"/>
  <c r="J169" i="25"/>
  <c r="F169" i="25" s="1"/>
  <c r="I169" i="25"/>
  <c r="K169" i="25"/>
  <c r="G169" i="25" s="1"/>
  <c r="K166" i="26"/>
  <c r="G166" i="26" s="1"/>
  <c r="J166" i="26"/>
  <c r="F166" i="26" s="1"/>
  <c r="I166" i="26"/>
  <c r="D166" i="26" s="1"/>
  <c r="I168" i="31"/>
  <c r="J168" i="31"/>
  <c r="F168" i="31" s="1"/>
  <c r="K168" i="31"/>
  <c r="G168" i="31" s="1"/>
  <c r="E165" i="23"/>
  <c r="E167" i="29"/>
  <c r="D167" i="29"/>
  <c r="D167" i="32"/>
  <c r="E167" i="32"/>
  <c r="J169" i="22"/>
  <c r="F169" i="22" s="1"/>
  <c r="K169" i="22"/>
  <c r="G169" i="22" s="1"/>
  <c r="I169" i="22"/>
  <c r="D165" i="21"/>
  <c r="E165" i="21"/>
  <c r="I172" i="30"/>
  <c r="K172" i="30"/>
  <c r="G172" i="30" s="1"/>
  <c r="J172" i="30"/>
  <c r="F172" i="30" s="1"/>
  <c r="I168" i="28"/>
  <c r="K168" i="28"/>
  <c r="G168" i="28" s="1"/>
  <c r="J168" i="28"/>
  <c r="F168" i="28" s="1"/>
  <c r="J166" i="20"/>
  <c r="F166" i="20" s="1"/>
  <c r="I166" i="20"/>
  <c r="D166" i="20" s="1"/>
  <c r="K166" i="20"/>
  <c r="G166" i="20" s="1"/>
  <c r="E165" i="1"/>
  <c r="I166" i="1" s="1"/>
  <c r="I167" i="27" l="1"/>
  <c r="J167" i="27"/>
  <c r="F167" i="27" s="1"/>
  <c r="K167" i="27"/>
  <c r="G167" i="27" s="1"/>
  <c r="J168" i="24"/>
  <c r="F168" i="24" s="1"/>
  <c r="K168" i="24"/>
  <c r="G168" i="24" s="1"/>
  <c r="I168" i="24"/>
  <c r="D168" i="24" s="1"/>
  <c r="D169" i="25"/>
  <c r="E169" i="25"/>
  <c r="E166" i="26"/>
  <c r="D168" i="31"/>
  <c r="E168" i="31"/>
  <c r="K166" i="23"/>
  <c r="G166" i="23" s="1"/>
  <c r="J166" i="23"/>
  <c r="F166" i="23" s="1"/>
  <c r="I166" i="23"/>
  <c r="K168" i="29"/>
  <c r="G168" i="29" s="1"/>
  <c r="I168" i="29"/>
  <c r="J168" i="29"/>
  <c r="F168" i="29" s="1"/>
  <c r="K168" i="32"/>
  <c r="G168" i="32" s="1"/>
  <c r="I168" i="32"/>
  <c r="J168" i="32"/>
  <c r="F168" i="32" s="1"/>
  <c r="D169" i="22"/>
  <c r="E169" i="22"/>
  <c r="K166" i="21"/>
  <c r="G166" i="21" s="1"/>
  <c r="J166" i="21"/>
  <c r="F166" i="21" s="1"/>
  <c r="I166" i="21"/>
  <c r="D172" i="30"/>
  <c r="E172" i="30"/>
  <c r="D168" i="28"/>
  <c r="E168" i="28"/>
  <c r="E166" i="20"/>
  <c r="K166" i="1"/>
  <c r="G166" i="1" s="1"/>
  <c r="J166" i="1"/>
  <c r="F166" i="1" s="1"/>
  <c r="D166" i="1"/>
  <c r="E167" i="27" l="1"/>
  <c r="K168" i="27" s="1"/>
  <c r="G168" i="27" s="1"/>
  <c r="D167" i="27"/>
  <c r="I168" i="27" s="1"/>
  <c r="J168" i="27"/>
  <c r="F168" i="27" s="1"/>
  <c r="E168" i="24"/>
  <c r="I170" i="25"/>
  <c r="J170" i="25"/>
  <c r="F170" i="25" s="1"/>
  <c r="K170" i="25"/>
  <c r="G170" i="25" s="1"/>
  <c r="I167" i="26"/>
  <c r="D167" i="26" s="1"/>
  <c r="J167" i="26"/>
  <c r="F167" i="26" s="1"/>
  <c r="K167" i="26"/>
  <c r="G167" i="26" s="1"/>
  <c r="K169" i="31"/>
  <c r="G169" i="31" s="1"/>
  <c r="J169" i="31"/>
  <c r="F169" i="31" s="1"/>
  <c r="I169" i="31"/>
  <c r="D166" i="23"/>
  <c r="E166" i="23"/>
  <c r="E168" i="29"/>
  <c r="D168" i="29"/>
  <c r="D168" i="32"/>
  <c r="E168" i="32"/>
  <c r="J170" i="22"/>
  <c r="F170" i="22" s="1"/>
  <c r="I170" i="22"/>
  <c r="K170" i="22"/>
  <c r="G170" i="22" s="1"/>
  <c r="D166" i="21"/>
  <c r="E166" i="21"/>
  <c r="I173" i="30"/>
  <c r="J173" i="30"/>
  <c r="F173" i="30" s="1"/>
  <c r="K173" i="30"/>
  <c r="G173" i="30" s="1"/>
  <c r="I169" i="28"/>
  <c r="D169" i="28" s="1"/>
  <c r="K169" i="28"/>
  <c r="G169" i="28" s="1"/>
  <c r="J169" i="28"/>
  <c r="F169" i="28" s="1"/>
  <c r="J167" i="20"/>
  <c r="F167" i="20" s="1"/>
  <c r="I167" i="20"/>
  <c r="D167" i="20" s="1"/>
  <c r="K167" i="20"/>
  <c r="G167" i="20" s="1"/>
  <c r="E166" i="1"/>
  <c r="K167" i="1" s="1"/>
  <c r="G167" i="1" s="1"/>
  <c r="D168" i="27" l="1"/>
  <c r="E168" i="27"/>
  <c r="J169" i="27" s="1"/>
  <c r="F169" i="27" s="1"/>
  <c r="J169" i="24"/>
  <c r="F169" i="24" s="1"/>
  <c r="K169" i="24"/>
  <c r="G169" i="24" s="1"/>
  <c r="I169" i="24"/>
  <c r="D170" i="25"/>
  <c r="E170" i="25"/>
  <c r="E167" i="26"/>
  <c r="D169" i="31"/>
  <c r="E169" i="31"/>
  <c r="I167" i="23"/>
  <c r="J167" i="23"/>
  <c r="F167" i="23" s="1"/>
  <c r="K167" i="23"/>
  <c r="G167" i="23" s="1"/>
  <c r="J169" i="29"/>
  <c r="F169" i="29" s="1"/>
  <c r="K169" i="29"/>
  <c r="G169" i="29" s="1"/>
  <c r="I169" i="29"/>
  <c r="J169" i="32"/>
  <c r="F169" i="32" s="1"/>
  <c r="I169" i="32"/>
  <c r="K169" i="32"/>
  <c r="G169" i="32" s="1"/>
  <c r="D170" i="22"/>
  <c r="E170" i="22"/>
  <c r="K167" i="21"/>
  <c r="G167" i="21" s="1"/>
  <c r="I167" i="21"/>
  <c r="J167" i="21"/>
  <c r="F167" i="21" s="1"/>
  <c r="K169" i="27"/>
  <c r="G169" i="27" s="1"/>
  <c r="I169" i="27"/>
  <c r="D173" i="30"/>
  <c r="E173" i="30"/>
  <c r="E169" i="28"/>
  <c r="E167" i="20"/>
  <c r="I168" i="20" s="1"/>
  <c r="D168" i="20" s="1"/>
  <c r="I167" i="1"/>
  <c r="D167" i="1" s="1"/>
  <c r="J167" i="1"/>
  <c r="F167" i="1" s="1"/>
  <c r="D169" i="24" l="1"/>
  <c r="E169" i="24"/>
  <c r="K171" i="25"/>
  <c r="G171" i="25" s="1"/>
  <c r="J171" i="25"/>
  <c r="F171" i="25" s="1"/>
  <c r="I171" i="25"/>
  <c r="K168" i="26"/>
  <c r="G168" i="26" s="1"/>
  <c r="J168" i="26"/>
  <c r="F168" i="26" s="1"/>
  <c r="I168" i="26"/>
  <c r="D168" i="26" s="1"/>
  <c r="J170" i="31"/>
  <c r="F170" i="31" s="1"/>
  <c r="I170" i="31"/>
  <c r="K170" i="31"/>
  <c r="G170" i="31" s="1"/>
  <c r="E167" i="23"/>
  <c r="D167" i="23"/>
  <c r="D169" i="29"/>
  <c r="E169" i="29"/>
  <c r="D169" i="32"/>
  <c r="E169" i="32"/>
  <c r="D167" i="21"/>
  <c r="E167" i="21"/>
  <c r="J171" i="22"/>
  <c r="F171" i="22" s="1"/>
  <c r="K171" i="22"/>
  <c r="G171" i="22" s="1"/>
  <c r="I171" i="22"/>
  <c r="D169" i="27"/>
  <c r="E169" i="27"/>
  <c r="J174" i="30"/>
  <c r="F174" i="30" s="1"/>
  <c r="I174" i="30"/>
  <c r="K174" i="30"/>
  <c r="G174" i="30" s="1"/>
  <c r="I170" i="28"/>
  <c r="D170" i="28" s="1"/>
  <c r="K170" i="28"/>
  <c r="G170" i="28" s="1"/>
  <c r="J170" i="28"/>
  <c r="F170" i="28" s="1"/>
  <c r="J168" i="20"/>
  <c r="F168" i="20" s="1"/>
  <c r="K168" i="20"/>
  <c r="G168" i="20" s="1"/>
  <c r="E167" i="1"/>
  <c r="I168" i="1" s="1"/>
  <c r="D168" i="1" s="1"/>
  <c r="K170" i="24" l="1"/>
  <c r="G170" i="24" s="1"/>
  <c r="J170" i="24"/>
  <c r="F170" i="24" s="1"/>
  <c r="I170" i="24"/>
  <c r="D170" i="24" s="1"/>
  <c r="D171" i="25"/>
  <c r="E171" i="25"/>
  <c r="E168" i="26"/>
  <c r="J169" i="26" s="1"/>
  <c r="F169" i="26" s="1"/>
  <c r="D170" i="31"/>
  <c r="E170" i="31"/>
  <c r="K168" i="23"/>
  <c r="G168" i="23" s="1"/>
  <c r="J168" i="23"/>
  <c r="F168" i="23" s="1"/>
  <c r="I168" i="23"/>
  <c r="K170" i="29"/>
  <c r="G170" i="29" s="1"/>
  <c r="I170" i="29"/>
  <c r="J170" i="29"/>
  <c r="F170" i="29" s="1"/>
  <c r="J170" i="32"/>
  <c r="F170" i="32" s="1"/>
  <c r="I170" i="32"/>
  <c r="K170" i="32"/>
  <c r="G170" i="32" s="1"/>
  <c r="K168" i="21"/>
  <c r="G168" i="21" s="1"/>
  <c r="I168" i="21"/>
  <c r="J168" i="21"/>
  <c r="F168" i="21" s="1"/>
  <c r="D171" i="22"/>
  <c r="E171" i="22"/>
  <c r="J170" i="27"/>
  <c r="F170" i="27" s="1"/>
  <c r="I170" i="27"/>
  <c r="K170" i="27"/>
  <c r="G170" i="27" s="1"/>
  <c r="D174" i="30"/>
  <c r="E174" i="30"/>
  <c r="E170" i="28"/>
  <c r="E168" i="20"/>
  <c r="J169" i="20" s="1"/>
  <c r="F169" i="20" s="1"/>
  <c r="K168" i="1"/>
  <c r="G168" i="1" s="1"/>
  <c r="J168" i="1"/>
  <c r="F168" i="1" s="1"/>
  <c r="E170" i="24" l="1"/>
  <c r="K172" i="25"/>
  <c r="G172" i="25" s="1"/>
  <c r="J172" i="25"/>
  <c r="F172" i="25" s="1"/>
  <c r="I172" i="25"/>
  <c r="K169" i="26"/>
  <c r="G169" i="26" s="1"/>
  <c r="I169" i="26"/>
  <c r="J171" i="31"/>
  <c r="F171" i="31" s="1"/>
  <c r="I171" i="31"/>
  <c r="K171" i="31"/>
  <c r="G171" i="31" s="1"/>
  <c r="D168" i="23"/>
  <c r="E168" i="23"/>
  <c r="E170" i="29"/>
  <c r="D170" i="29"/>
  <c r="D170" i="32"/>
  <c r="E170" i="32"/>
  <c r="D168" i="21"/>
  <c r="E168" i="21"/>
  <c r="I172" i="22"/>
  <c r="D172" i="22" s="1"/>
  <c r="J172" i="22"/>
  <c r="F172" i="22" s="1"/>
  <c r="K172" i="22"/>
  <c r="G172" i="22" s="1"/>
  <c r="D170" i="27"/>
  <c r="E170" i="27"/>
  <c r="I175" i="30"/>
  <c r="J175" i="30"/>
  <c r="F175" i="30" s="1"/>
  <c r="K175" i="30"/>
  <c r="G175" i="30" s="1"/>
  <c r="K171" i="28"/>
  <c r="G171" i="28" s="1"/>
  <c r="I171" i="28"/>
  <c r="D171" i="28" s="1"/>
  <c r="J171" i="28"/>
  <c r="F171" i="28" s="1"/>
  <c r="I169" i="20"/>
  <c r="D169" i="20" s="1"/>
  <c r="K169" i="20"/>
  <c r="G169" i="20" s="1"/>
  <c r="E168" i="1"/>
  <c r="I169" i="1" s="1"/>
  <c r="K171" i="24" l="1"/>
  <c r="G171" i="24" s="1"/>
  <c r="I171" i="24"/>
  <c r="D171" i="24" s="1"/>
  <c r="J171" i="24"/>
  <c r="F171" i="24" s="1"/>
  <c r="D172" i="25"/>
  <c r="E172" i="25"/>
  <c r="D169" i="26"/>
  <c r="E169" i="26"/>
  <c r="D171" i="31"/>
  <c r="E171" i="31"/>
  <c r="J169" i="23"/>
  <c r="F169" i="23" s="1"/>
  <c r="K169" i="23"/>
  <c r="G169" i="23" s="1"/>
  <c r="I169" i="23"/>
  <c r="D169" i="23" s="1"/>
  <c r="I171" i="29"/>
  <c r="K171" i="29"/>
  <c r="G171" i="29" s="1"/>
  <c r="J171" i="29"/>
  <c r="F171" i="29" s="1"/>
  <c r="I171" i="32"/>
  <c r="K171" i="32"/>
  <c r="G171" i="32" s="1"/>
  <c r="J171" i="32"/>
  <c r="F171" i="32" s="1"/>
  <c r="I169" i="21"/>
  <c r="D169" i="21" s="1"/>
  <c r="K169" i="21"/>
  <c r="G169" i="21" s="1"/>
  <c r="J169" i="21"/>
  <c r="F169" i="21" s="1"/>
  <c r="E172" i="22"/>
  <c r="K171" i="27"/>
  <c r="G171" i="27" s="1"/>
  <c r="J171" i="27"/>
  <c r="F171" i="27" s="1"/>
  <c r="I171" i="27"/>
  <c r="D175" i="30"/>
  <c r="E175" i="30"/>
  <c r="E171" i="28"/>
  <c r="E169" i="20"/>
  <c r="K170" i="20" s="1"/>
  <c r="G170" i="20" s="1"/>
  <c r="K169" i="1"/>
  <c r="G169" i="1" s="1"/>
  <c r="J169" i="1"/>
  <c r="F169" i="1" s="1"/>
  <c r="D169" i="1"/>
  <c r="E171" i="24" l="1"/>
  <c r="K173" i="25"/>
  <c r="G173" i="25" s="1"/>
  <c r="J173" i="25"/>
  <c r="F173" i="25" s="1"/>
  <c r="I173" i="25"/>
  <c r="K170" i="26"/>
  <c r="G170" i="26" s="1"/>
  <c r="J170" i="26"/>
  <c r="F170" i="26" s="1"/>
  <c r="I170" i="26"/>
  <c r="D170" i="26" s="1"/>
  <c r="K172" i="31"/>
  <c r="G172" i="31" s="1"/>
  <c r="I172" i="31"/>
  <c r="J172" i="31"/>
  <c r="F172" i="31" s="1"/>
  <c r="E169" i="23"/>
  <c r="D171" i="29"/>
  <c r="E171" i="29"/>
  <c r="D171" i="32"/>
  <c r="E171" i="32"/>
  <c r="K173" i="22"/>
  <c r="G173" i="22" s="1"/>
  <c r="J173" i="22"/>
  <c r="F173" i="22" s="1"/>
  <c r="I173" i="22"/>
  <c r="D173" i="22" s="1"/>
  <c r="E169" i="21"/>
  <c r="D171" i="27"/>
  <c r="E171" i="27"/>
  <c r="K176" i="30"/>
  <c r="G176" i="30" s="1"/>
  <c r="I176" i="30"/>
  <c r="D176" i="30" s="1"/>
  <c r="J176" i="30"/>
  <c r="F176" i="30" s="1"/>
  <c r="K172" i="28"/>
  <c r="G172" i="28" s="1"/>
  <c r="J172" i="28"/>
  <c r="F172" i="28" s="1"/>
  <c r="I172" i="28"/>
  <c r="D172" i="28" s="1"/>
  <c r="I170" i="20"/>
  <c r="D170" i="20" s="1"/>
  <c r="J170" i="20"/>
  <c r="F170" i="20" s="1"/>
  <c r="E169" i="1"/>
  <c r="I170" i="1" s="1"/>
  <c r="D170" i="1" s="1"/>
  <c r="K172" i="24" l="1"/>
  <c r="G172" i="24" s="1"/>
  <c r="I172" i="24"/>
  <c r="J172" i="24"/>
  <c r="F172" i="24" s="1"/>
  <c r="E173" i="25"/>
  <c r="D173" i="25"/>
  <c r="E170" i="26"/>
  <c r="D172" i="31"/>
  <c r="E172" i="31"/>
  <c r="K170" i="23"/>
  <c r="G170" i="23" s="1"/>
  <c r="I170" i="23"/>
  <c r="J170" i="23"/>
  <c r="F170" i="23" s="1"/>
  <c r="J172" i="29"/>
  <c r="F172" i="29" s="1"/>
  <c r="K172" i="29"/>
  <c r="G172" i="29" s="1"/>
  <c r="I172" i="29"/>
  <c r="K172" i="32"/>
  <c r="G172" i="32" s="1"/>
  <c r="I172" i="32"/>
  <c r="J172" i="32"/>
  <c r="F172" i="32" s="1"/>
  <c r="E173" i="22"/>
  <c r="I170" i="21"/>
  <c r="D170" i="21" s="1"/>
  <c r="K170" i="21"/>
  <c r="G170" i="21" s="1"/>
  <c r="J170" i="21"/>
  <c r="F170" i="21" s="1"/>
  <c r="K172" i="27"/>
  <c r="G172" i="27" s="1"/>
  <c r="I172" i="27"/>
  <c r="J172" i="27"/>
  <c r="F172" i="27" s="1"/>
  <c r="E172" i="28"/>
  <c r="I173" i="28" s="1"/>
  <c r="E176" i="30"/>
  <c r="E170" i="20"/>
  <c r="I171" i="20" s="1"/>
  <c r="D171" i="20" s="1"/>
  <c r="K170" i="1"/>
  <c r="G170" i="1" s="1"/>
  <c r="J170" i="1"/>
  <c r="F170" i="1" s="1"/>
  <c r="E172" i="24" l="1"/>
  <c r="D172" i="24"/>
  <c r="K174" i="25"/>
  <c r="G174" i="25" s="1"/>
  <c r="I174" i="25"/>
  <c r="J174" i="25"/>
  <c r="F174" i="25" s="1"/>
  <c r="J171" i="26"/>
  <c r="F171" i="26" s="1"/>
  <c r="I171" i="26"/>
  <c r="D171" i="26" s="1"/>
  <c r="K171" i="26"/>
  <c r="G171" i="26" s="1"/>
  <c r="I173" i="31"/>
  <c r="K173" i="31"/>
  <c r="G173" i="31" s="1"/>
  <c r="J173" i="31"/>
  <c r="F173" i="31" s="1"/>
  <c r="E170" i="23"/>
  <c r="D170" i="23"/>
  <c r="E172" i="29"/>
  <c r="D172" i="29"/>
  <c r="D172" i="32"/>
  <c r="E172" i="32"/>
  <c r="E170" i="21"/>
  <c r="I174" i="22"/>
  <c r="D174" i="22" s="1"/>
  <c r="K174" i="22"/>
  <c r="G174" i="22" s="1"/>
  <c r="J174" i="22"/>
  <c r="F174" i="22" s="1"/>
  <c r="D172" i="27"/>
  <c r="E172" i="27"/>
  <c r="K173" i="28"/>
  <c r="G173" i="28" s="1"/>
  <c r="J173" i="28"/>
  <c r="F173" i="28" s="1"/>
  <c r="K177" i="30"/>
  <c r="G177" i="30" s="1"/>
  <c r="J177" i="30"/>
  <c r="F177" i="30" s="1"/>
  <c r="I177" i="30"/>
  <c r="D177" i="30" s="1"/>
  <c r="J171" i="20"/>
  <c r="F171" i="20" s="1"/>
  <c r="D173" i="28"/>
  <c r="K171" i="20"/>
  <c r="G171" i="20" s="1"/>
  <c r="E170" i="1"/>
  <c r="K171" i="1" s="1"/>
  <c r="G171" i="1" s="1"/>
  <c r="K173" i="24" l="1"/>
  <c r="G173" i="24" s="1"/>
  <c r="I173" i="24"/>
  <c r="J173" i="24"/>
  <c r="F173" i="24" s="1"/>
  <c r="D174" i="25"/>
  <c r="E174" i="25"/>
  <c r="E171" i="26"/>
  <c r="D173" i="31"/>
  <c r="E173" i="31"/>
  <c r="K171" i="23"/>
  <c r="G171" i="23" s="1"/>
  <c r="J171" i="23"/>
  <c r="F171" i="23" s="1"/>
  <c r="I171" i="23"/>
  <c r="I173" i="29"/>
  <c r="J173" i="29"/>
  <c r="F173" i="29" s="1"/>
  <c r="K173" i="29"/>
  <c r="G173" i="29" s="1"/>
  <c r="I173" i="32"/>
  <c r="K173" i="32"/>
  <c r="G173" i="32" s="1"/>
  <c r="J173" i="32"/>
  <c r="F173" i="32" s="1"/>
  <c r="E174" i="22"/>
  <c r="K171" i="21"/>
  <c r="G171" i="21" s="1"/>
  <c r="J171" i="21"/>
  <c r="F171" i="21" s="1"/>
  <c r="I171" i="21"/>
  <c r="D171" i="21" s="1"/>
  <c r="J173" i="27"/>
  <c r="F173" i="27" s="1"/>
  <c r="K173" i="27"/>
  <c r="G173" i="27" s="1"/>
  <c r="I173" i="27"/>
  <c r="D173" i="27" s="1"/>
  <c r="E171" i="20"/>
  <c r="J172" i="20" s="1"/>
  <c r="F172" i="20" s="1"/>
  <c r="E173" i="28"/>
  <c r="I174" i="28" s="1"/>
  <c r="E177" i="30"/>
  <c r="I178" i="30" s="1"/>
  <c r="I171" i="1"/>
  <c r="D171" i="1" s="1"/>
  <c r="J171" i="1"/>
  <c r="F171" i="1" s="1"/>
  <c r="E173" i="24" l="1"/>
  <c r="D173" i="24"/>
  <c r="I175" i="25"/>
  <c r="K175" i="25"/>
  <c r="G175" i="25" s="1"/>
  <c r="J175" i="25"/>
  <c r="F175" i="25" s="1"/>
  <c r="J172" i="26"/>
  <c r="F172" i="26" s="1"/>
  <c r="K172" i="26"/>
  <c r="G172" i="26" s="1"/>
  <c r="I172" i="26"/>
  <c r="D172" i="26" s="1"/>
  <c r="J174" i="31"/>
  <c r="F174" i="31" s="1"/>
  <c r="K174" i="31"/>
  <c r="G174" i="31" s="1"/>
  <c r="I174" i="31"/>
  <c r="D171" i="23"/>
  <c r="E171" i="23"/>
  <c r="E173" i="29"/>
  <c r="D173" i="29"/>
  <c r="D173" i="32"/>
  <c r="E173" i="32"/>
  <c r="E171" i="21"/>
  <c r="K172" i="21" s="1"/>
  <c r="G172" i="21" s="1"/>
  <c r="J175" i="22"/>
  <c r="F175" i="22" s="1"/>
  <c r="I175" i="22"/>
  <c r="D175" i="22" s="1"/>
  <c r="K175" i="22"/>
  <c r="G175" i="22" s="1"/>
  <c r="E173" i="27"/>
  <c r="I172" i="20"/>
  <c r="D172" i="20" s="1"/>
  <c r="K172" i="20"/>
  <c r="G172" i="20" s="1"/>
  <c r="K178" i="30"/>
  <c r="G178" i="30" s="1"/>
  <c r="J174" i="28"/>
  <c r="F174" i="28" s="1"/>
  <c r="K174" i="28"/>
  <c r="G174" i="28" s="1"/>
  <c r="J178" i="30"/>
  <c r="F178" i="30" s="1"/>
  <c r="D174" i="28"/>
  <c r="D178" i="30"/>
  <c r="E171" i="1"/>
  <c r="I172" i="1" s="1"/>
  <c r="D172" i="1" s="1"/>
  <c r="I174" i="24" l="1"/>
  <c r="J174" i="24"/>
  <c r="F174" i="24" s="1"/>
  <c r="K174" i="24"/>
  <c r="G174" i="24" s="1"/>
  <c r="D174" i="24"/>
  <c r="D175" i="25"/>
  <c r="E175" i="25"/>
  <c r="E172" i="26"/>
  <c r="D174" i="31"/>
  <c r="E174" i="31"/>
  <c r="J172" i="23"/>
  <c r="F172" i="23" s="1"/>
  <c r="I172" i="23"/>
  <c r="K172" i="23"/>
  <c r="G172" i="23" s="1"/>
  <c r="I174" i="29"/>
  <c r="J174" i="29"/>
  <c r="F174" i="29" s="1"/>
  <c r="K174" i="29"/>
  <c r="G174" i="29" s="1"/>
  <c r="J172" i="21"/>
  <c r="F172" i="21" s="1"/>
  <c r="I172" i="21"/>
  <c r="J174" i="32"/>
  <c r="F174" i="32" s="1"/>
  <c r="K174" i="32"/>
  <c r="G174" i="32" s="1"/>
  <c r="I174" i="32"/>
  <c r="E175" i="22"/>
  <c r="E172" i="20"/>
  <c r="K173" i="20" s="1"/>
  <c r="G173" i="20" s="1"/>
  <c r="I174" i="27"/>
  <c r="J174" i="27"/>
  <c r="F174" i="27" s="1"/>
  <c r="K174" i="27"/>
  <c r="G174" i="27" s="1"/>
  <c r="E178" i="30"/>
  <c r="J179" i="30" s="1"/>
  <c r="F179" i="30" s="1"/>
  <c r="E174" i="28"/>
  <c r="J172" i="1"/>
  <c r="F172" i="1" s="1"/>
  <c r="K172" i="1"/>
  <c r="G172" i="1" s="1"/>
  <c r="E174" i="24" l="1"/>
  <c r="I176" i="25"/>
  <c r="K176" i="25"/>
  <c r="G176" i="25" s="1"/>
  <c r="J176" i="25"/>
  <c r="F176" i="25" s="1"/>
  <c r="K173" i="26"/>
  <c r="G173" i="26" s="1"/>
  <c r="I173" i="26"/>
  <c r="D173" i="26" s="1"/>
  <c r="J173" i="26"/>
  <c r="F173" i="26" s="1"/>
  <c r="K175" i="31"/>
  <c r="G175" i="31" s="1"/>
  <c r="J175" i="31"/>
  <c r="F175" i="31" s="1"/>
  <c r="I175" i="31"/>
  <c r="D172" i="23"/>
  <c r="E172" i="23"/>
  <c r="E172" i="21"/>
  <c r="K173" i="21" s="1"/>
  <c r="G173" i="21" s="1"/>
  <c r="D172" i="21"/>
  <c r="D174" i="29"/>
  <c r="E174" i="29"/>
  <c r="D174" i="32"/>
  <c r="E174" i="32"/>
  <c r="K176" i="22"/>
  <c r="G176" i="22" s="1"/>
  <c r="I176" i="22"/>
  <c r="D176" i="22" s="1"/>
  <c r="J176" i="22"/>
  <c r="F176" i="22" s="1"/>
  <c r="I173" i="20"/>
  <c r="D173" i="20" s="1"/>
  <c r="J173" i="20"/>
  <c r="F173" i="20" s="1"/>
  <c r="D174" i="27"/>
  <c r="E174" i="27"/>
  <c r="K179" i="30"/>
  <c r="G179" i="30" s="1"/>
  <c r="I179" i="30"/>
  <c r="D179" i="30" s="1"/>
  <c r="J175" i="28"/>
  <c r="F175" i="28" s="1"/>
  <c r="K175" i="28"/>
  <c r="G175" i="28" s="1"/>
  <c r="I175" i="28"/>
  <c r="E172" i="1"/>
  <c r="K173" i="1" s="1"/>
  <c r="G173" i="1" s="1"/>
  <c r="J175" i="24" l="1"/>
  <c r="F175" i="24" s="1"/>
  <c r="K175" i="24"/>
  <c r="G175" i="24" s="1"/>
  <c r="I175" i="24"/>
  <c r="D175" i="24" s="1"/>
  <c r="D176" i="25"/>
  <c r="E176" i="25"/>
  <c r="E173" i="26"/>
  <c r="D175" i="31"/>
  <c r="E175" i="31"/>
  <c r="I173" i="23"/>
  <c r="J173" i="23"/>
  <c r="F173" i="23" s="1"/>
  <c r="K173" i="23"/>
  <c r="G173" i="23" s="1"/>
  <c r="I173" i="21"/>
  <c r="D173" i="21" s="1"/>
  <c r="J173" i="21"/>
  <c r="F173" i="21" s="1"/>
  <c r="K175" i="29"/>
  <c r="G175" i="29" s="1"/>
  <c r="I175" i="29"/>
  <c r="J175" i="29"/>
  <c r="F175" i="29" s="1"/>
  <c r="E173" i="20"/>
  <c r="J174" i="20" s="1"/>
  <c r="F174" i="20" s="1"/>
  <c r="I175" i="32"/>
  <c r="J175" i="32"/>
  <c r="F175" i="32" s="1"/>
  <c r="K175" i="32"/>
  <c r="G175" i="32" s="1"/>
  <c r="E176" i="22"/>
  <c r="J175" i="27"/>
  <c r="F175" i="27" s="1"/>
  <c r="I175" i="27"/>
  <c r="K175" i="27"/>
  <c r="G175" i="27" s="1"/>
  <c r="E179" i="30"/>
  <c r="I180" i="30" s="1"/>
  <c r="D180" i="30" s="1"/>
  <c r="E175" i="28"/>
  <c r="D175" i="28"/>
  <c r="J173" i="1"/>
  <c r="F173" i="1" s="1"/>
  <c r="I173" i="1"/>
  <c r="D173" i="1" s="1"/>
  <c r="E175" i="24" l="1"/>
  <c r="K177" i="25"/>
  <c r="G177" i="25" s="1"/>
  <c r="J177" i="25"/>
  <c r="F177" i="25" s="1"/>
  <c r="I177" i="25"/>
  <c r="J174" i="26"/>
  <c r="F174" i="26" s="1"/>
  <c r="I174" i="26"/>
  <c r="D174" i="26" s="1"/>
  <c r="K174" i="26"/>
  <c r="G174" i="26" s="1"/>
  <c r="I176" i="31"/>
  <c r="J176" i="31"/>
  <c r="F176" i="31" s="1"/>
  <c r="K176" i="31"/>
  <c r="G176" i="31" s="1"/>
  <c r="E173" i="21"/>
  <c r="J174" i="21" s="1"/>
  <c r="F174" i="21" s="1"/>
  <c r="D173" i="23"/>
  <c r="E173" i="23"/>
  <c r="K174" i="20"/>
  <c r="G174" i="20" s="1"/>
  <c r="I174" i="20"/>
  <c r="D174" i="20" s="1"/>
  <c r="E175" i="29"/>
  <c r="D175" i="29"/>
  <c r="D175" i="32"/>
  <c r="E175" i="32"/>
  <c r="J177" i="22"/>
  <c r="F177" i="22" s="1"/>
  <c r="K177" i="22"/>
  <c r="G177" i="22" s="1"/>
  <c r="I177" i="22"/>
  <c r="D177" i="22" s="1"/>
  <c r="D175" i="27"/>
  <c r="E175" i="27"/>
  <c r="J180" i="30"/>
  <c r="F180" i="30" s="1"/>
  <c r="K180" i="30"/>
  <c r="G180" i="30" s="1"/>
  <c r="I176" i="28"/>
  <c r="D176" i="28" s="1"/>
  <c r="K176" i="28"/>
  <c r="G176" i="28" s="1"/>
  <c r="J176" i="28"/>
  <c r="F176" i="28" s="1"/>
  <c r="E173" i="1"/>
  <c r="J174" i="1" s="1"/>
  <c r="F174" i="1" s="1"/>
  <c r="J176" i="24" l="1"/>
  <c r="F176" i="24" s="1"/>
  <c r="K176" i="24"/>
  <c r="G176" i="24" s="1"/>
  <c r="I176" i="24"/>
  <c r="D177" i="25"/>
  <c r="E177" i="25"/>
  <c r="K174" i="21"/>
  <c r="G174" i="21" s="1"/>
  <c r="I174" i="21"/>
  <c r="D174" i="21" s="1"/>
  <c r="E174" i="26"/>
  <c r="D176" i="31"/>
  <c r="E176" i="31"/>
  <c r="J174" i="23"/>
  <c r="F174" i="23" s="1"/>
  <c r="K174" i="23"/>
  <c r="G174" i="23" s="1"/>
  <c r="I174" i="23"/>
  <c r="E174" i="20"/>
  <c r="I175" i="20" s="1"/>
  <c r="D175" i="20" s="1"/>
  <c r="J176" i="29"/>
  <c r="F176" i="29" s="1"/>
  <c r="K176" i="29"/>
  <c r="G176" i="29" s="1"/>
  <c r="I176" i="29"/>
  <c r="J176" i="32"/>
  <c r="F176" i="32" s="1"/>
  <c r="K176" i="32"/>
  <c r="G176" i="32" s="1"/>
  <c r="I176" i="32"/>
  <c r="E177" i="22"/>
  <c r="K176" i="27"/>
  <c r="G176" i="27" s="1"/>
  <c r="I176" i="27"/>
  <c r="D176" i="27" s="1"/>
  <c r="J176" i="27"/>
  <c r="F176" i="27" s="1"/>
  <c r="E180" i="30"/>
  <c r="K181" i="30" s="1"/>
  <c r="G181" i="30" s="1"/>
  <c r="E176" i="28"/>
  <c r="K174" i="1"/>
  <c r="G174" i="1" s="1"/>
  <c r="I174" i="1"/>
  <c r="D174" i="1" s="1"/>
  <c r="D176" i="24" l="1"/>
  <c r="E176" i="24"/>
  <c r="E174" i="21"/>
  <c r="J175" i="21" s="1"/>
  <c r="F175" i="21" s="1"/>
  <c r="K178" i="25"/>
  <c r="G178" i="25" s="1"/>
  <c r="J178" i="25"/>
  <c r="F178" i="25" s="1"/>
  <c r="I178" i="25"/>
  <c r="J175" i="26"/>
  <c r="F175" i="26" s="1"/>
  <c r="K175" i="26"/>
  <c r="G175" i="26" s="1"/>
  <c r="I175" i="26"/>
  <c r="D175" i="26" s="1"/>
  <c r="K175" i="20"/>
  <c r="G175" i="20" s="1"/>
  <c r="I177" i="31"/>
  <c r="K177" i="31"/>
  <c r="G177" i="31" s="1"/>
  <c r="J177" i="31"/>
  <c r="F177" i="31" s="1"/>
  <c r="J175" i="20"/>
  <c r="F175" i="20" s="1"/>
  <c r="D174" i="23"/>
  <c r="E174" i="23"/>
  <c r="E176" i="29"/>
  <c r="D176" i="29"/>
  <c r="D176" i="32"/>
  <c r="E176" i="32"/>
  <c r="J181" i="30"/>
  <c r="F181" i="30" s="1"/>
  <c r="K178" i="22"/>
  <c r="G178" i="22" s="1"/>
  <c r="I178" i="22"/>
  <c r="D178" i="22" s="1"/>
  <c r="J178" i="22"/>
  <c r="F178" i="22" s="1"/>
  <c r="I181" i="30"/>
  <c r="D181" i="30" s="1"/>
  <c r="I175" i="21"/>
  <c r="D175" i="21" s="1"/>
  <c r="K175" i="21"/>
  <c r="G175" i="21" s="1"/>
  <c r="E176" i="27"/>
  <c r="K177" i="28"/>
  <c r="G177" i="28" s="1"/>
  <c r="J177" i="28"/>
  <c r="F177" i="28" s="1"/>
  <c r="I177" i="28"/>
  <c r="D177" i="28" s="1"/>
  <c r="E174" i="1"/>
  <c r="I175" i="1" s="1"/>
  <c r="D175" i="1" s="1"/>
  <c r="I177" i="24" l="1"/>
  <c r="J177" i="24"/>
  <c r="F177" i="24" s="1"/>
  <c r="K177" i="24"/>
  <c r="G177" i="24" s="1"/>
  <c r="E178" i="25"/>
  <c r="D178" i="25"/>
  <c r="E175" i="26"/>
  <c r="E175" i="20"/>
  <c r="I176" i="20" s="1"/>
  <c r="D176" i="20" s="1"/>
  <c r="D177" i="31"/>
  <c r="E177" i="31"/>
  <c r="I175" i="23"/>
  <c r="J175" i="23"/>
  <c r="F175" i="23" s="1"/>
  <c r="K175" i="23"/>
  <c r="G175" i="23" s="1"/>
  <c r="I177" i="29"/>
  <c r="J177" i="29"/>
  <c r="F177" i="29" s="1"/>
  <c r="K177" i="29"/>
  <c r="G177" i="29" s="1"/>
  <c r="E181" i="30"/>
  <c r="I182" i="30" s="1"/>
  <c r="D182" i="30" s="1"/>
  <c r="K177" i="32"/>
  <c r="G177" i="32" s="1"/>
  <c r="I177" i="32"/>
  <c r="J177" i="32"/>
  <c r="F177" i="32" s="1"/>
  <c r="E175" i="21"/>
  <c r="E178" i="22"/>
  <c r="J177" i="27"/>
  <c r="F177" i="27" s="1"/>
  <c r="I177" i="27"/>
  <c r="D177" i="27" s="1"/>
  <c r="K177" i="27"/>
  <c r="G177" i="27" s="1"/>
  <c r="E177" i="28"/>
  <c r="J175" i="1"/>
  <c r="F175" i="1" s="1"/>
  <c r="K175" i="1"/>
  <c r="G175" i="1" s="1"/>
  <c r="E177" i="24" l="1"/>
  <c r="D177" i="24"/>
  <c r="K176" i="20"/>
  <c r="G176" i="20" s="1"/>
  <c r="J176" i="20"/>
  <c r="F176" i="20" s="1"/>
  <c r="K179" i="25"/>
  <c r="G179" i="25" s="1"/>
  <c r="J179" i="25"/>
  <c r="F179" i="25" s="1"/>
  <c r="I179" i="25"/>
  <c r="J176" i="26"/>
  <c r="F176" i="26" s="1"/>
  <c r="K176" i="26"/>
  <c r="G176" i="26" s="1"/>
  <c r="I176" i="26"/>
  <c r="D176" i="26" s="1"/>
  <c r="K178" i="31"/>
  <c r="G178" i="31" s="1"/>
  <c r="J178" i="31"/>
  <c r="F178" i="31" s="1"/>
  <c r="I178" i="31"/>
  <c r="D175" i="23"/>
  <c r="E175" i="23"/>
  <c r="K182" i="30"/>
  <c r="G182" i="30" s="1"/>
  <c r="J182" i="30"/>
  <c r="F182" i="30" s="1"/>
  <c r="D177" i="29"/>
  <c r="E177" i="29"/>
  <c r="D177" i="32"/>
  <c r="E177" i="32"/>
  <c r="J179" i="22"/>
  <c r="F179" i="22" s="1"/>
  <c r="K179" i="22"/>
  <c r="G179" i="22" s="1"/>
  <c r="I179" i="22"/>
  <c r="D179" i="22" s="1"/>
  <c r="J176" i="21"/>
  <c r="F176" i="21" s="1"/>
  <c r="I176" i="21"/>
  <c r="D176" i="21" s="1"/>
  <c r="K176" i="21"/>
  <c r="G176" i="21" s="1"/>
  <c r="E177" i="27"/>
  <c r="J178" i="28"/>
  <c r="F178" i="28" s="1"/>
  <c r="K178" i="28"/>
  <c r="G178" i="28" s="1"/>
  <c r="I178" i="28"/>
  <c r="D178" i="28" s="1"/>
  <c r="E175" i="1"/>
  <c r="K176" i="1" s="1"/>
  <c r="G176" i="1" s="1"/>
  <c r="I178" i="24" l="1"/>
  <c r="K178" i="24"/>
  <c r="G178" i="24" s="1"/>
  <c r="J178" i="24"/>
  <c r="F178" i="24" s="1"/>
  <c r="E176" i="20"/>
  <c r="I177" i="20" s="1"/>
  <c r="D177" i="20" s="1"/>
  <c r="D179" i="25"/>
  <c r="E179" i="25"/>
  <c r="E176" i="26"/>
  <c r="D178" i="31"/>
  <c r="E178" i="31"/>
  <c r="I176" i="23"/>
  <c r="J176" i="23"/>
  <c r="F176" i="23" s="1"/>
  <c r="K176" i="23"/>
  <c r="G176" i="23" s="1"/>
  <c r="E182" i="30"/>
  <c r="J183" i="30" s="1"/>
  <c r="F183" i="30" s="1"/>
  <c r="I178" i="29"/>
  <c r="K178" i="29"/>
  <c r="G178" i="29" s="1"/>
  <c r="J178" i="29"/>
  <c r="F178" i="29" s="1"/>
  <c r="J178" i="32"/>
  <c r="F178" i="32" s="1"/>
  <c r="K178" i="32"/>
  <c r="G178" i="32" s="1"/>
  <c r="I178" i="32"/>
  <c r="E179" i="22"/>
  <c r="K180" i="22" s="1"/>
  <c r="G180" i="22" s="1"/>
  <c r="E176" i="21"/>
  <c r="J177" i="21" s="1"/>
  <c r="F177" i="21" s="1"/>
  <c r="I178" i="27"/>
  <c r="D178" i="27" s="1"/>
  <c r="K178" i="27"/>
  <c r="G178" i="27" s="1"/>
  <c r="J178" i="27"/>
  <c r="F178" i="27" s="1"/>
  <c r="E178" i="28"/>
  <c r="J176" i="1"/>
  <c r="F176" i="1" s="1"/>
  <c r="I176" i="1"/>
  <c r="D176" i="1" s="1"/>
  <c r="E178" i="24" l="1"/>
  <c r="D178" i="24"/>
  <c r="K177" i="20"/>
  <c r="G177" i="20" s="1"/>
  <c r="J177" i="20"/>
  <c r="F177" i="20" s="1"/>
  <c r="I180" i="25"/>
  <c r="K180" i="25"/>
  <c r="G180" i="25" s="1"/>
  <c r="J180" i="25"/>
  <c r="F180" i="25" s="1"/>
  <c r="J177" i="26"/>
  <c r="F177" i="26" s="1"/>
  <c r="K177" i="26"/>
  <c r="G177" i="26" s="1"/>
  <c r="I177" i="26"/>
  <c r="D177" i="26" s="1"/>
  <c r="I183" i="30"/>
  <c r="D183" i="30" s="1"/>
  <c r="I179" i="31"/>
  <c r="J179" i="31"/>
  <c r="F179" i="31" s="1"/>
  <c r="K179" i="31"/>
  <c r="G179" i="31" s="1"/>
  <c r="K183" i="30"/>
  <c r="G183" i="30" s="1"/>
  <c r="D176" i="23"/>
  <c r="E176" i="23"/>
  <c r="D178" i="29"/>
  <c r="E178" i="29"/>
  <c r="I177" i="21"/>
  <c r="D177" i="21" s="1"/>
  <c r="K177" i="21"/>
  <c r="G177" i="21" s="1"/>
  <c r="J180" i="22"/>
  <c r="F180" i="22" s="1"/>
  <c r="I180" i="22"/>
  <c r="D180" i="22" s="1"/>
  <c r="D178" i="32"/>
  <c r="E178" i="32"/>
  <c r="E178" i="27"/>
  <c r="J179" i="28"/>
  <c r="F179" i="28" s="1"/>
  <c r="K179" i="28"/>
  <c r="G179" i="28" s="1"/>
  <c r="I179" i="28"/>
  <c r="D179" i="28" s="1"/>
  <c r="E176" i="1"/>
  <c r="I177" i="1" s="1"/>
  <c r="D177" i="1" s="1"/>
  <c r="E177" i="20" l="1"/>
  <c r="I178" i="20" s="1"/>
  <c r="D178" i="20" s="1"/>
  <c r="K179" i="24"/>
  <c r="G179" i="24" s="1"/>
  <c r="J179" i="24"/>
  <c r="F179" i="24" s="1"/>
  <c r="I179" i="24"/>
  <c r="E180" i="25"/>
  <c r="D180" i="25"/>
  <c r="E177" i="26"/>
  <c r="E183" i="30"/>
  <c r="I184" i="30" s="1"/>
  <c r="D184" i="30" s="1"/>
  <c r="D179" i="31"/>
  <c r="E179" i="31"/>
  <c r="J177" i="23"/>
  <c r="F177" i="23" s="1"/>
  <c r="K177" i="23"/>
  <c r="G177" i="23" s="1"/>
  <c r="I177" i="23"/>
  <c r="E177" i="21"/>
  <c r="K178" i="21" s="1"/>
  <c r="G178" i="21" s="1"/>
  <c r="K179" i="29"/>
  <c r="G179" i="29" s="1"/>
  <c r="J179" i="29"/>
  <c r="F179" i="29" s="1"/>
  <c r="I179" i="29"/>
  <c r="E180" i="22"/>
  <c r="K181" i="22" s="1"/>
  <c r="G181" i="22" s="1"/>
  <c r="J179" i="32"/>
  <c r="F179" i="32" s="1"/>
  <c r="I179" i="32"/>
  <c r="K179" i="32"/>
  <c r="G179" i="32" s="1"/>
  <c r="K179" i="27"/>
  <c r="G179" i="27" s="1"/>
  <c r="I179" i="27"/>
  <c r="D179" i="27" s="1"/>
  <c r="J179" i="27"/>
  <c r="F179" i="27" s="1"/>
  <c r="E179" i="28"/>
  <c r="J178" i="20"/>
  <c r="F178" i="20" s="1"/>
  <c r="K178" i="20"/>
  <c r="G178" i="20" s="1"/>
  <c r="J177" i="1"/>
  <c r="F177" i="1" s="1"/>
  <c r="K177" i="1"/>
  <c r="G177" i="1" s="1"/>
  <c r="D179" i="24" l="1"/>
  <c r="E179" i="24"/>
  <c r="K181" i="25"/>
  <c r="G181" i="25" s="1"/>
  <c r="I181" i="25"/>
  <c r="J181" i="25"/>
  <c r="F181" i="25" s="1"/>
  <c r="K178" i="26"/>
  <c r="G178" i="26" s="1"/>
  <c r="I178" i="26"/>
  <c r="D178" i="26" s="1"/>
  <c r="J178" i="26"/>
  <c r="F178" i="26" s="1"/>
  <c r="K184" i="30"/>
  <c r="G184" i="30" s="1"/>
  <c r="J184" i="30"/>
  <c r="F184" i="30" s="1"/>
  <c r="J180" i="31"/>
  <c r="F180" i="31" s="1"/>
  <c r="I180" i="31"/>
  <c r="K180" i="31"/>
  <c r="G180" i="31" s="1"/>
  <c r="D177" i="23"/>
  <c r="E177" i="23"/>
  <c r="J178" i="21"/>
  <c r="F178" i="21" s="1"/>
  <c r="I178" i="21"/>
  <c r="D178" i="21" s="1"/>
  <c r="I181" i="22"/>
  <c r="D181" i="22" s="1"/>
  <c r="J181" i="22"/>
  <c r="F181" i="22" s="1"/>
  <c r="E179" i="29"/>
  <c r="D179" i="29"/>
  <c r="D179" i="32"/>
  <c r="E179" i="32"/>
  <c r="E179" i="27"/>
  <c r="E178" i="20"/>
  <c r="J179" i="20" s="1"/>
  <c r="F179" i="20" s="1"/>
  <c r="K180" i="28"/>
  <c r="G180" i="28" s="1"/>
  <c r="I180" i="28"/>
  <c r="D180" i="28" s="1"/>
  <c r="J180" i="28"/>
  <c r="F180" i="28" s="1"/>
  <c r="E177" i="1"/>
  <c r="J178" i="1" s="1"/>
  <c r="F178" i="1" s="1"/>
  <c r="J180" i="24" l="1"/>
  <c r="F180" i="24" s="1"/>
  <c r="I180" i="24"/>
  <c r="D180" i="24" s="1"/>
  <c r="K180" i="24"/>
  <c r="G180" i="24" s="1"/>
  <c r="D181" i="25"/>
  <c r="E181" i="25"/>
  <c r="E184" i="30"/>
  <c r="J185" i="30" s="1"/>
  <c r="F185" i="30" s="1"/>
  <c r="E178" i="26"/>
  <c r="J179" i="26" s="1"/>
  <c r="F179" i="26" s="1"/>
  <c r="D180" i="31"/>
  <c r="E180" i="31"/>
  <c r="J178" i="23"/>
  <c r="F178" i="23" s="1"/>
  <c r="K178" i="23"/>
  <c r="G178" i="23" s="1"/>
  <c r="I178" i="23"/>
  <c r="E178" i="21"/>
  <c r="K179" i="21" s="1"/>
  <c r="G179" i="21" s="1"/>
  <c r="E181" i="22"/>
  <c r="K182" i="22" s="1"/>
  <c r="G182" i="22" s="1"/>
  <c r="J180" i="29"/>
  <c r="F180" i="29" s="1"/>
  <c r="I180" i="29"/>
  <c r="K180" i="29"/>
  <c r="G180" i="29" s="1"/>
  <c r="K180" i="32"/>
  <c r="G180" i="32" s="1"/>
  <c r="J180" i="32"/>
  <c r="F180" i="32" s="1"/>
  <c r="I180" i="32"/>
  <c r="I179" i="20"/>
  <c r="D179" i="20" s="1"/>
  <c r="I180" i="27"/>
  <c r="D180" i="27" s="1"/>
  <c r="K180" i="27"/>
  <c r="G180" i="27" s="1"/>
  <c r="J180" i="27"/>
  <c r="F180" i="27" s="1"/>
  <c r="K179" i="20"/>
  <c r="G179" i="20" s="1"/>
  <c r="I185" i="30"/>
  <c r="D185" i="30" s="1"/>
  <c r="K185" i="30"/>
  <c r="G185" i="30" s="1"/>
  <c r="E180" i="28"/>
  <c r="I178" i="1"/>
  <c r="D178" i="1" s="1"/>
  <c r="K178" i="1"/>
  <c r="G178" i="1" s="1"/>
  <c r="E180" i="24" l="1"/>
  <c r="I179" i="26"/>
  <c r="D179" i="26" s="1"/>
  <c r="K179" i="26"/>
  <c r="G179" i="26" s="1"/>
  <c r="I182" i="25"/>
  <c r="J182" i="25"/>
  <c r="F182" i="25" s="1"/>
  <c r="K182" i="25"/>
  <c r="G182" i="25" s="1"/>
  <c r="J179" i="21"/>
  <c r="F179" i="21" s="1"/>
  <c r="I181" i="31"/>
  <c r="K181" i="31"/>
  <c r="G181" i="31" s="1"/>
  <c r="J181" i="31"/>
  <c r="F181" i="31" s="1"/>
  <c r="D178" i="23"/>
  <c r="E178" i="23"/>
  <c r="I179" i="21"/>
  <c r="D179" i="21" s="1"/>
  <c r="J182" i="22"/>
  <c r="F182" i="22" s="1"/>
  <c r="I182" i="22"/>
  <c r="D182" i="22" s="1"/>
  <c r="E180" i="29"/>
  <c r="D180" i="29"/>
  <c r="D180" i="32"/>
  <c r="E180" i="32"/>
  <c r="E179" i="20"/>
  <c r="J180" i="20" s="1"/>
  <c r="F180" i="20" s="1"/>
  <c r="E180" i="27"/>
  <c r="K181" i="27" s="1"/>
  <c r="G181" i="27" s="1"/>
  <c r="E185" i="30"/>
  <c r="J186" i="30" s="1"/>
  <c r="F186" i="30" s="1"/>
  <c r="I181" i="28"/>
  <c r="D181" i="28" s="1"/>
  <c r="K181" i="28"/>
  <c r="G181" i="28" s="1"/>
  <c r="J181" i="28"/>
  <c r="F181" i="28" s="1"/>
  <c r="E178" i="1"/>
  <c r="K179" i="1" s="1"/>
  <c r="G179" i="1" s="1"/>
  <c r="K181" i="24" l="1"/>
  <c r="G181" i="24" s="1"/>
  <c r="I181" i="24"/>
  <c r="D181" i="24" s="1"/>
  <c r="J181" i="24"/>
  <c r="F181" i="24" s="1"/>
  <c r="E179" i="26"/>
  <c r="K180" i="26" s="1"/>
  <c r="G180" i="26" s="1"/>
  <c r="E182" i="25"/>
  <c r="D182" i="25"/>
  <c r="K180" i="20"/>
  <c r="G180" i="20" s="1"/>
  <c r="D181" i="31"/>
  <c r="E181" i="31"/>
  <c r="E179" i="21"/>
  <c r="K180" i="21" s="1"/>
  <c r="G180" i="21" s="1"/>
  <c r="K179" i="23"/>
  <c r="G179" i="23" s="1"/>
  <c r="I179" i="23"/>
  <c r="J179" i="23"/>
  <c r="F179" i="23" s="1"/>
  <c r="E182" i="22"/>
  <c r="J183" i="22" s="1"/>
  <c r="F183" i="22" s="1"/>
  <c r="K181" i="29"/>
  <c r="G181" i="29" s="1"/>
  <c r="J181" i="29"/>
  <c r="F181" i="29" s="1"/>
  <c r="I181" i="29"/>
  <c r="I186" i="30"/>
  <c r="D186" i="30" s="1"/>
  <c r="J181" i="32"/>
  <c r="F181" i="32" s="1"/>
  <c r="I181" i="32"/>
  <c r="K181" i="32"/>
  <c r="G181" i="32" s="1"/>
  <c r="K186" i="30"/>
  <c r="G186" i="30" s="1"/>
  <c r="I180" i="20"/>
  <c r="D180" i="20" s="1"/>
  <c r="J181" i="27"/>
  <c r="F181" i="27" s="1"/>
  <c r="I181" i="27"/>
  <c r="D181" i="27" s="1"/>
  <c r="E181" i="28"/>
  <c r="I179" i="1"/>
  <c r="D179" i="1" s="1"/>
  <c r="J179" i="1"/>
  <c r="F179" i="1" s="1"/>
  <c r="E181" i="24" l="1"/>
  <c r="I180" i="26"/>
  <c r="D180" i="26" s="1"/>
  <c r="J180" i="26"/>
  <c r="F180" i="26" s="1"/>
  <c r="J183" i="25"/>
  <c r="F183" i="25" s="1"/>
  <c r="K183" i="25"/>
  <c r="G183" i="25" s="1"/>
  <c r="I183" i="25"/>
  <c r="J180" i="21"/>
  <c r="F180" i="21" s="1"/>
  <c r="I180" i="21"/>
  <c r="D180" i="21" s="1"/>
  <c r="E180" i="20"/>
  <c r="K181" i="20" s="1"/>
  <c r="G181" i="20" s="1"/>
  <c r="K182" i="31"/>
  <c r="G182" i="31" s="1"/>
  <c r="J182" i="31"/>
  <c r="F182" i="31" s="1"/>
  <c r="I182" i="31"/>
  <c r="E179" i="23"/>
  <c r="D179" i="23"/>
  <c r="I183" i="22"/>
  <c r="K183" i="22"/>
  <c r="G183" i="22" s="1"/>
  <c r="E186" i="30"/>
  <c r="I187" i="30" s="1"/>
  <c r="D187" i="30" s="1"/>
  <c r="D181" i="29"/>
  <c r="E181" i="29"/>
  <c r="D181" i="32"/>
  <c r="E181" i="32"/>
  <c r="E181" i="27"/>
  <c r="I182" i="27" s="1"/>
  <c r="K182" i="28"/>
  <c r="G182" i="28" s="1"/>
  <c r="I182" i="28"/>
  <c r="D182" i="28" s="1"/>
  <c r="J182" i="28"/>
  <c r="F182" i="28" s="1"/>
  <c r="I181" i="20"/>
  <c r="D181" i="20" s="1"/>
  <c r="E179" i="1"/>
  <c r="K180" i="1" s="1"/>
  <c r="G180" i="1" s="1"/>
  <c r="I182" i="24" l="1"/>
  <c r="D182" i="24" s="1"/>
  <c r="K182" i="24"/>
  <c r="G182" i="24" s="1"/>
  <c r="J182" i="24"/>
  <c r="F182" i="24" s="1"/>
  <c r="E180" i="21"/>
  <c r="K181" i="21" s="1"/>
  <c r="G181" i="21" s="1"/>
  <c r="E180" i="26"/>
  <c r="K181" i="26" s="1"/>
  <c r="G181" i="26" s="1"/>
  <c r="J181" i="20"/>
  <c r="F181" i="20" s="1"/>
  <c r="D183" i="25"/>
  <c r="E183" i="25"/>
  <c r="D182" i="31"/>
  <c r="E182" i="31"/>
  <c r="K187" i="30"/>
  <c r="G187" i="30" s="1"/>
  <c r="J187" i="30"/>
  <c r="F187" i="30" s="1"/>
  <c r="J180" i="23"/>
  <c r="F180" i="23" s="1"/>
  <c r="I180" i="23"/>
  <c r="K180" i="23"/>
  <c r="G180" i="23" s="1"/>
  <c r="D183" i="22"/>
  <c r="E183" i="22"/>
  <c r="I182" i="29"/>
  <c r="K182" i="29"/>
  <c r="G182" i="29" s="1"/>
  <c r="J182" i="29"/>
  <c r="F182" i="29" s="1"/>
  <c r="J182" i="32"/>
  <c r="F182" i="32" s="1"/>
  <c r="I182" i="32"/>
  <c r="D182" i="32" s="1"/>
  <c r="K182" i="32"/>
  <c r="G182" i="32" s="1"/>
  <c r="J182" i="27"/>
  <c r="F182" i="27" s="1"/>
  <c r="K182" i="27"/>
  <c r="G182" i="27" s="1"/>
  <c r="D182" i="27"/>
  <c r="E182" i="28"/>
  <c r="E181" i="20"/>
  <c r="K182" i="20" s="1"/>
  <c r="G182" i="20" s="1"/>
  <c r="I180" i="1"/>
  <c r="D180" i="1" s="1"/>
  <c r="J180" i="1"/>
  <c r="F180" i="1" s="1"/>
  <c r="J181" i="21" l="1"/>
  <c r="F181" i="21" s="1"/>
  <c r="I181" i="21"/>
  <c r="D181" i="21" s="1"/>
  <c r="E182" i="24"/>
  <c r="J181" i="26"/>
  <c r="F181" i="26" s="1"/>
  <c r="I181" i="26"/>
  <c r="D181" i="26" s="1"/>
  <c r="K184" i="25"/>
  <c r="G184" i="25" s="1"/>
  <c r="I184" i="25"/>
  <c r="J184" i="25"/>
  <c r="F184" i="25" s="1"/>
  <c r="E187" i="30"/>
  <c r="J188" i="30" s="1"/>
  <c r="F188" i="30" s="1"/>
  <c r="K183" i="31"/>
  <c r="G183" i="31" s="1"/>
  <c r="I183" i="31"/>
  <c r="J183" i="31"/>
  <c r="F183" i="31" s="1"/>
  <c r="D180" i="23"/>
  <c r="E180" i="23"/>
  <c r="I184" i="22"/>
  <c r="D184" i="22" s="1"/>
  <c r="K184" i="22"/>
  <c r="G184" i="22" s="1"/>
  <c r="J184" i="22"/>
  <c r="F184" i="22" s="1"/>
  <c r="D182" i="29"/>
  <c r="E182" i="29"/>
  <c r="E182" i="32"/>
  <c r="E182" i="27"/>
  <c r="K183" i="27" s="1"/>
  <c r="G183" i="27" s="1"/>
  <c r="J182" i="20"/>
  <c r="F182" i="20" s="1"/>
  <c r="K183" i="28"/>
  <c r="G183" i="28" s="1"/>
  <c r="J183" i="28"/>
  <c r="F183" i="28" s="1"/>
  <c r="I183" i="28"/>
  <c r="D183" i="28" s="1"/>
  <c r="I182" i="20"/>
  <c r="D182" i="20" s="1"/>
  <c r="E180" i="1"/>
  <c r="K181" i="1" s="1"/>
  <c r="G181" i="1" s="1"/>
  <c r="E181" i="21" l="1"/>
  <c r="J183" i="24"/>
  <c r="F183" i="24" s="1"/>
  <c r="K183" i="24"/>
  <c r="G183" i="24" s="1"/>
  <c r="I183" i="24"/>
  <c r="D183" i="24" s="1"/>
  <c r="K188" i="30"/>
  <c r="G188" i="30" s="1"/>
  <c r="E181" i="26"/>
  <c r="I182" i="26" s="1"/>
  <c r="D182" i="26" s="1"/>
  <c r="K182" i="26"/>
  <c r="G182" i="26" s="1"/>
  <c r="I188" i="30"/>
  <c r="D188" i="30" s="1"/>
  <c r="D184" i="25"/>
  <c r="E184" i="25"/>
  <c r="D183" i="31"/>
  <c r="E183" i="31"/>
  <c r="I181" i="23"/>
  <c r="D181" i="23" s="1"/>
  <c r="K181" i="23"/>
  <c r="G181" i="23" s="1"/>
  <c r="J181" i="23"/>
  <c r="F181" i="23" s="1"/>
  <c r="E184" i="22"/>
  <c r="J183" i="29"/>
  <c r="F183" i="29" s="1"/>
  <c r="K183" i="29"/>
  <c r="G183" i="29" s="1"/>
  <c r="I183" i="29"/>
  <c r="K183" i="32"/>
  <c r="G183" i="32" s="1"/>
  <c r="I183" i="32"/>
  <c r="D183" i="32" s="1"/>
  <c r="J183" i="32"/>
  <c r="F183" i="32" s="1"/>
  <c r="K182" i="21"/>
  <c r="G182" i="21" s="1"/>
  <c r="J182" i="21"/>
  <c r="F182" i="21" s="1"/>
  <c r="I182" i="21"/>
  <c r="D182" i="21" s="1"/>
  <c r="J183" i="27"/>
  <c r="F183" i="27" s="1"/>
  <c r="I183" i="27"/>
  <c r="D183" i="27" s="1"/>
  <c r="E183" i="28"/>
  <c r="E182" i="20"/>
  <c r="J183" i="20" s="1"/>
  <c r="F183" i="20" s="1"/>
  <c r="I181" i="1"/>
  <c r="D181" i="1" s="1"/>
  <c r="J181" i="1"/>
  <c r="F181" i="1" s="1"/>
  <c r="J182" i="26" l="1"/>
  <c r="F182" i="26" s="1"/>
  <c r="E183" i="24"/>
  <c r="E188" i="30"/>
  <c r="J189" i="30" s="1"/>
  <c r="F189" i="30" s="1"/>
  <c r="I185" i="25"/>
  <c r="K185" i="25"/>
  <c r="G185" i="25" s="1"/>
  <c r="J185" i="25"/>
  <c r="F185" i="25" s="1"/>
  <c r="J184" i="31"/>
  <c r="F184" i="31" s="1"/>
  <c r="I184" i="31"/>
  <c r="K184" i="31"/>
  <c r="G184" i="31" s="1"/>
  <c r="E181" i="23"/>
  <c r="J182" i="23" s="1"/>
  <c r="F182" i="23" s="1"/>
  <c r="K185" i="22"/>
  <c r="G185" i="22" s="1"/>
  <c r="J185" i="22"/>
  <c r="F185" i="22" s="1"/>
  <c r="I185" i="22"/>
  <c r="D185" i="22" s="1"/>
  <c r="D183" i="29"/>
  <c r="E183" i="29"/>
  <c r="E183" i="32"/>
  <c r="E182" i="21"/>
  <c r="K183" i="21" s="1"/>
  <c r="G183" i="21" s="1"/>
  <c r="E183" i="27"/>
  <c r="J184" i="27" s="1"/>
  <c r="F184" i="27" s="1"/>
  <c r="I183" i="20"/>
  <c r="D183" i="20" s="1"/>
  <c r="K183" i="20"/>
  <c r="G183" i="20" s="1"/>
  <c r="I184" i="28"/>
  <c r="D184" i="28" s="1"/>
  <c r="K184" i="28"/>
  <c r="G184" i="28" s="1"/>
  <c r="J184" i="28"/>
  <c r="F184" i="28" s="1"/>
  <c r="E181" i="1"/>
  <c r="J182" i="1" s="1"/>
  <c r="F182" i="1" s="1"/>
  <c r="I189" i="30" l="1"/>
  <c r="D189" i="30" s="1"/>
  <c r="E182" i="26"/>
  <c r="I183" i="26" s="1"/>
  <c r="D183" i="26" s="1"/>
  <c r="K189" i="30"/>
  <c r="G189" i="30" s="1"/>
  <c r="I184" i="24"/>
  <c r="D184" i="24" s="1"/>
  <c r="K184" i="24"/>
  <c r="G184" i="24" s="1"/>
  <c r="J184" i="24"/>
  <c r="F184" i="24" s="1"/>
  <c r="K183" i="26"/>
  <c r="G183" i="26" s="1"/>
  <c r="J183" i="26"/>
  <c r="D185" i="25"/>
  <c r="E185" i="25"/>
  <c r="D184" i="31"/>
  <c r="E184" i="31"/>
  <c r="I182" i="23"/>
  <c r="D182" i="23" s="1"/>
  <c r="K182" i="23"/>
  <c r="G182" i="23" s="1"/>
  <c r="E185" i="22"/>
  <c r="K186" i="22" s="1"/>
  <c r="G186" i="22" s="1"/>
  <c r="J184" i="29"/>
  <c r="F184" i="29" s="1"/>
  <c r="I184" i="29"/>
  <c r="K184" i="29"/>
  <c r="G184" i="29" s="1"/>
  <c r="K184" i="32"/>
  <c r="G184" i="32" s="1"/>
  <c r="I184" i="32"/>
  <c r="D184" i="32" s="1"/>
  <c r="J184" i="32"/>
  <c r="F184" i="32" s="1"/>
  <c r="J183" i="21"/>
  <c r="F183" i="21" s="1"/>
  <c r="I183" i="21"/>
  <c r="K184" i="27"/>
  <c r="G184" i="27" s="1"/>
  <c r="I184" i="27"/>
  <c r="D184" i="27" s="1"/>
  <c r="E183" i="20"/>
  <c r="I184" i="20" s="1"/>
  <c r="E184" i="28"/>
  <c r="K182" i="1"/>
  <c r="G182" i="1" s="1"/>
  <c r="I182" i="1"/>
  <c r="D182" i="1" s="1"/>
  <c r="E189" i="30" l="1"/>
  <c r="J190" i="30" s="1"/>
  <c r="F190" i="30" s="1"/>
  <c r="E184" i="24"/>
  <c r="F183" i="26"/>
  <c r="E183" i="26"/>
  <c r="I186" i="25"/>
  <c r="K186" i="25"/>
  <c r="G186" i="25" s="1"/>
  <c r="J186" i="25"/>
  <c r="F186" i="25" s="1"/>
  <c r="K185" i="31"/>
  <c r="G185" i="31" s="1"/>
  <c r="J185" i="31"/>
  <c r="F185" i="31" s="1"/>
  <c r="I185" i="31"/>
  <c r="D185" i="31" s="1"/>
  <c r="E182" i="23"/>
  <c r="I186" i="22"/>
  <c r="D186" i="22" s="1"/>
  <c r="J186" i="22"/>
  <c r="F186" i="22" s="1"/>
  <c r="D184" i="29"/>
  <c r="E184" i="29"/>
  <c r="E184" i="32"/>
  <c r="D183" i="21"/>
  <c r="E183" i="21"/>
  <c r="E184" i="27"/>
  <c r="I185" i="27" s="1"/>
  <c r="D185" i="27" s="1"/>
  <c r="K184" i="20"/>
  <c r="G184" i="20" s="1"/>
  <c r="J184" i="20"/>
  <c r="F184" i="20" s="1"/>
  <c r="I190" i="30"/>
  <c r="D190" i="30" s="1"/>
  <c r="K190" i="30"/>
  <c r="G190" i="30" s="1"/>
  <c r="K185" i="28"/>
  <c r="G185" i="28" s="1"/>
  <c r="J185" i="28"/>
  <c r="F185" i="28" s="1"/>
  <c r="I185" i="28"/>
  <c r="D185" i="28" s="1"/>
  <c r="D184" i="20"/>
  <c r="E182" i="1"/>
  <c r="I183" i="1" s="1"/>
  <c r="J185" i="24" l="1"/>
  <c r="F185" i="24" s="1"/>
  <c r="K185" i="24"/>
  <c r="G185" i="24" s="1"/>
  <c r="I185" i="24"/>
  <c r="D185" i="24" s="1"/>
  <c r="J184" i="26"/>
  <c r="F184" i="26" s="1"/>
  <c r="I184" i="26"/>
  <c r="D184" i="26" s="1"/>
  <c r="K184" i="26"/>
  <c r="G184" i="26" s="1"/>
  <c r="D186" i="25"/>
  <c r="E186" i="25"/>
  <c r="E185" i="31"/>
  <c r="J183" i="23"/>
  <c r="F183" i="23" s="1"/>
  <c r="I183" i="23"/>
  <c r="D183" i="23" s="1"/>
  <c r="K183" i="23"/>
  <c r="G183" i="23" s="1"/>
  <c r="E186" i="22"/>
  <c r="J187" i="22" s="1"/>
  <c r="F187" i="22" s="1"/>
  <c r="K185" i="29"/>
  <c r="G185" i="29" s="1"/>
  <c r="J185" i="29"/>
  <c r="F185" i="29" s="1"/>
  <c r="I185" i="29"/>
  <c r="K185" i="32"/>
  <c r="G185" i="32" s="1"/>
  <c r="I185" i="32"/>
  <c r="D185" i="32" s="1"/>
  <c r="J185" i="32"/>
  <c r="F185" i="32" s="1"/>
  <c r="K184" i="21"/>
  <c r="G184" i="21" s="1"/>
  <c r="I184" i="21"/>
  <c r="J184" i="21"/>
  <c r="F184" i="21" s="1"/>
  <c r="K185" i="27"/>
  <c r="G185" i="27" s="1"/>
  <c r="J185" i="27"/>
  <c r="F185" i="27" s="1"/>
  <c r="E184" i="20"/>
  <c r="K185" i="20" s="1"/>
  <c r="G185" i="20" s="1"/>
  <c r="E190" i="30"/>
  <c r="K191" i="30" s="1"/>
  <c r="G191" i="30" s="1"/>
  <c r="E185" i="28"/>
  <c r="J183" i="1"/>
  <c r="F183" i="1" s="1"/>
  <c r="K183" i="1"/>
  <c r="G183" i="1" s="1"/>
  <c r="D183" i="1"/>
  <c r="E185" i="24" l="1"/>
  <c r="E184" i="26"/>
  <c r="J187" i="25"/>
  <c r="F187" i="25" s="1"/>
  <c r="I187" i="25"/>
  <c r="K187" i="25"/>
  <c r="G187" i="25" s="1"/>
  <c r="K186" i="31"/>
  <c r="G186" i="31" s="1"/>
  <c r="J186" i="31"/>
  <c r="F186" i="31" s="1"/>
  <c r="I186" i="31"/>
  <c r="E183" i="23"/>
  <c r="I187" i="22"/>
  <c r="D187" i="22" s="1"/>
  <c r="K187" i="22"/>
  <c r="G187" i="22" s="1"/>
  <c r="D185" i="29"/>
  <c r="E185" i="29"/>
  <c r="E185" i="32"/>
  <c r="D184" i="21"/>
  <c r="E184" i="21"/>
  <c r="J185" i="20"/>
  <c r="F185" i="20" s="1"/>
  <c r="E185" i="27"/>
  <c r="I185" i="20"/>
  <c r="D185" i="20" s="1"/>
  <c r="I191" i="30"/>
  <c r="D191" i="30" s="1"/>
  <c r="J191" i="30"/>
  <c r="F191" i="30" s="1"/>
  <c r="I186" i="28"/>
  <c r="D186" i="28" s="1"/>
  <c r="J186" i="28"/>
  <c r="F186" i="28" s="1"/>
  <c r="K186" i="28"/>
  <c r="G186" i="28" s="1"/>
  <c r="E183" i="1"/>
  <c r="K184" i="1" s="1"/>
  <c r="G184" i="1" s="1"/>
  <c r="J186" i="24" l="1"/>
  <c r="F186" i="24" s="1"/>
  <c r="I186" i="24"/>
  <c r="D186" i="24" s="1"/>
  <c r="K186" i="24"/>
  <c r="G186" i="24" s="1"/>
  <c r="J185" i="26"/>
  <c r="F185" i="26" s="1"/>
  <c r="K185" i="26"/>
  <c r="G185" i="26" s="1"/>
  <c r="I185" i="26"/>
  <c r="D187" i="25"/>
  <c r="E187" i="25"/>
  <c r="D186" i="31"/>
  <c r="E186" i="31"/>
  <c r="E187" i="22"/>
  <c r="I188" i="22" s="1"/>
  <c r="J184" i="23"/>
  <c r="F184" i="23" s="1"/>
  <c r="K184" i="23"/>
  <c r="G184" i="23" s="1"/>
  <c r="I184" i="23"/>
  <c r="D184" i="23" s="1"/>
  <c r="K188" i="22"/>
  <c r="G188" i="22" s="1"/>
  <c r="K186" i="29"/>
  <c r="G186" i="29" s="1"/>
  <c r="I186" i="29"/>
  <c r="J186" i="29"/>
  <c r="F186" i="29" s="1"/>
  <c r="J186" i="32"/>
  <c r="F186" i="32" s="1"/>
  <c r="K186" i="32"/>
  <c r="G186" i="32" s="1"/>
  <c r="I186" i="32"/>
  <c r="D186" i="32" s="1"/>
  <c r="I185" i="21"/>
  <c r="K185" i="21"/>
  <c r="G185" i="21" s="1"/>
  <c r="J185" i="21"/>
  <c r="F185" i="21" s="1"/>
  <c r="J186" i="27"/>
  <c r="F186" i="27" s="1"/>
  <c r="I186" i="27"/>
  <c r="K186" i="27"/>
  <c r="G186" i="27" s="1"/>
  <c r="E185" i="20"/>
  <c r="I186" i="20" s="1"/>
  <c r="E191" i="30"/>
  <c r="K192" i="30" s="1"/>
  <c r="G192" i="30" s="1"/>
  <c r="E186" i="28"/>
  <c r="K187" i="28" s="1"/>
  <c r="G187" i="28" s="1"/>
  <c r="J184" i="1"/>
  <c r="F184" i="1" s="1"/>
  <c r="I184" i="1"/>
  <c r="D184" i="1" s="1"/>
  <c r="E186" i="24" l="1"/>
  <c r="D185" i="26"/>
  <c r="E185" i="26"/>
  <c r="J188" i="25"/>
  <c r="F188" i="25" s="1"/>
  <c r="I188" i="25"/>
  <c r="K188" i="25"/>
  <c r="G188" i="25" s="1"/>
  <c r="J188" i="22"/>
  <c r="F188" i="22" s="1"/>
  <c r="J187" i="31"/>
  <c r="F187" i="31" s="1"/>
  <c r="I187" i="31"/>
  <c r="D187" i="31" s="1"/>
  <c r="K187" i="31"/>
  <c r="G187" i="31" s="1"/>
  <c r="E184" i="23"/>
  <c r="D188" i="22"/>
  <c r="E186" i="29"/>
  <c r="D186" i="29"/>
  <c r="J192" i="30"/>
  <c r="F192" i="30" s="1"/>
  <c r="I192" i="30"/>
  <c r="D192" i="30" s="1"/>
  <c r="E186" i="32"/>
  <c r="K186" i="20"/>
  <c r="G186" i="20" s="1"/>
  <c r="D185" i="21"/>
  <c r="E185" i="21"/>
  <c r="J186" i="20"/>
  <c r="F186" i="20" s="1"/>
  <c r="E186" i="27"/>
  <c r="D186" i="27"/>
  <c r="I187" i="28"/>
  <c r="D187" i="28" s="1"/>
  <c r="J187" i="28"/>
  <c r="F187" i="28" s="1"/>
  <c r="D186" i="20"/>
  <c r="E184" i="1"/>
  <c r="K185" i="1" s="1"/>
  <c r="G185" i="1" s="1"/>
  <c r="I187" i="24" l="1"/>
  <c r="D187" i="24" s="1"/>
  <c r="J187" i="24"/>
  <c r="F187" i="24" s="1"/>
  <c r="K187" i="24"/>
  <c r="G187" i="24" s="1"/>
  <c r="I186" i="26"/>
  <c r="D186" i="26" s="1"/>
  <c r="J186" i="26"/>
  <c r="F186" i="26" s="1"/>
  <c r="K186" i="26"/>
  <c r="G186" i="26" s="1"/>
  <c r="D188" i="25"/>
  <c r="E188" i="25"/>
  <c r="E188" i="22"/>
  <c r="I189" i="22" s="1"/>
  <c r="E187" i="31"/>
  <c r="J185" i="23"/>
  <c r="F185" i="23" s="1"/>
  <c r="K185" i="23"/>
  <c r="G185" i="23" s="1"/>
  <c r="I185" i="23"/>
  <c r="D185" i="23" s="1"/>
  <c r="E192" i="30"/>
  <c r="K193" i="30" s="1"/>
  <c r="G193" i="30" s="1"/>
  <c r="I187" i="29"/>
  <c r="J187" i="29"/>
  <c r="F187" i="29" s="1"/>
  <c r="K187" i="29"/>
  <c r="G187" i="29" s="1"/>
  <c r="E186" i="20"/>
  <c r="K187" i="20" s="1"/>
  <c r="G187" i="20" s="1"/>
  <c r="K187" i="32"/>
  <c r="G187" i="32" s="1"/>
  <c r="I187" i="32"/>
  <c r="D187" i="32" s="1"/>
  <c r="J187" i="32"/>
  <c r="F187" i="32" s="1"/>
  <c r="I186" i="21"/>
  <c r="K186" i="21"/>
  <c r="G186" i="21" s="1"/>
  <c r="J186" i="21"/>
  <c r="F186" i="21" s="1"/>
  <c r="K187" i="27"/>
  <c r="G187" i="27" s="1"/>
  <c r="J187" i="27"/>
  <c r="F187" i="27" s="1"/>
  <c r="I187" i="27"/>
  <c r="D187" i="27" s="1"/>
  <c r="E187" i="28"/>
  <c r="I188" i="28" s="1"/>
  <c r="D188" i="28" s="1"/>
  <c r="I185" i="1"/>
  <c r="D185" i="1" s="1"/>
  <c r="J185" i="1"/>
  <c r="F185" i="1" s="1"/>
  <c r="J189" i="22" l="1"/>
  <c r="F189" i="22" s="1"/>
  <c r="E187" i="24"/>
  <c r="I188" i="24" s="1"/>
  <c r="E186" i="26"/>
  <c r="K189" i="22"/>
  <c r="G189" i="22" s="1"/>
  <c r="I189" i="25"/>
  <c r="J189" i="25"/>
  <c r="F189" i="25" s="1"/>
  <c r="K189" i="25"/>
  <c r="G189" i="25" s="1"/>
  <c r="J187" i="20"/>
  <c r="F187" i="20" s="1"/>
  <c r="I193" i="30"/>
  <c r="D193" i="30" s="1"/>
  <c r="I188" i="31"/>
  <c r="D188" i="31" s="1"/>
  <c r="J188" i="31"/>
  <c r="F188" i="31" s="1"/>
  <c r="K188" i="31"/>
  <c r="G188" i="31" s="1"/>
  <c r="E185" i="23"/>
  <c r="J193" i="30"/>
  <c r="F193" i="30" s="1"/>
  <c r="D189" i="22"/>
  <c r="I187" i="20"/>
  <c r="D187" i="20" s="1"/>
  <c r="D187" i="29"/>
  <c r="E187" i="29"/>
  <c r="E187" i="32"/>
  <c r="D186" i="21"/>
  <c r="E186" i="21"/>
  <c r="E187" i="27"/>
  <c r="K188" i="28"/>
  <c r="G188" i="28" s="1"/>
  <c r="J188" i="28"/>
  <c r="F188" i="28" s="1"/>
  <c r="E185" i="1"/>
  <c r="I186" i="1" s="1"/>
  <c r="D186" i="1" s="1"/>
  <c r="K188" i="24" l="1"/>
  <c r="G188" i="24" s="1"/>
  <c r="J188" i="24"/>
  <c r="F188" i="24" s="1"/>
  <c r="D188" i="24"/>
  <c r="K187" i="26"/>
  <c r="G187" i="26" s="1"/>
  <c r="J187" i="26"/>
  <c r="F187" i="26" s="1"/>
  <c r="I187" i="26"/>
  <c r="E189" i="22"/>
  <c r="I190" i="22" s="1"/>
  <c r="D190" i="22" s="1"/>
  <c r="D189" i="25"/>
  <c r="E189" i="25"/>
  <c r="E188" i="31"/>
  <c r="E193" i="30"/>
  <c r="K194" i="30" s="1"/>
  <c r="G194" i="30" s="1"/>
  <c r="J186" i="23"/>
  <c r="F186" i="23" s="1"/>
  <c r="K186" i="23"/>
  <c r="G186" i="23" s="1"/>
  <c r="I186" i="23"/>
  <c r="D186" i="23" s="1"/>
  <c r="E187" i="20"/>
  <c r="J188" i="20" s="1"/>
  <c r="F188" i="20" s="1"/>
  <c r="I188" i="29"/>
  <c r="J188" i="29"/>
  <c r="F188" i="29" s="1"/>
  <c r="K188" i="29"/>
  <c r="G188" i="29" s="1"/>
  <c r="I188" i="32"/>
  <c r="D188" i="32" s="1"/>
  <c r="K188" i="32"/>
  <c r="G188" i="32" s="1"/>
  <c r="J188" i="32"/>
  <c r="F188" i="32" s="1"/>
  <c r="I187" i="21"/>
  <c r="J187" i="21"/>
  <c r="F187" i="21" s="1"/>
  <c r="K187" i="21"/>
  <c r="G187" i="21" s="1"/>
  <c r="I188" i="27"/>
  <c r="D188" i="27" s="1"/>
  <c r="J188" i="27"/>
  <c r="F188" i="27" s="1"/>
  <c r="K188" i="27"/>
  <c r="G188" i="27" s="1"/>
  <c r="E188" i="28"/>
  <c r="K189" i="28" s="1"/>
  <c r="G189" i="28" s="1"/>
  <c r="K186" i="1"/>
  <c r="G186" i="1" s="1"/>
  <c r="J186" i="1"/>
  <c r="F186" i="1" s="1"/>
  <c r="K190" i="22" l="1"/>
  <c r="G190" i="22" s="1"/>
  <c r="E188" i="24"/>
  <c r="E187" i="26"/>
  <c r="D187" i="26"/>
  <c r="J190" i="22"/>
  <c r="F190" i="22" s="1"/>
  <c r="K190" i="25"/>
  <c r="G190" i="25" s="1"/>
  <c r="I190" i="25"/>
  <c r="J190" i="25"/>
  <c r="F190" i="25" s="1"/>
  <c r="I194" i="30"/>
  <c r="D194" i="30" s="1"/>
  <c r="J194" i="30"/>
  <c r="F194" i="30" s="1"/>
  <c r="J189" i="31"/>
  <c r="F189" i="31" s="1"/>
  <c r="K189" i="31"/>
  <c r="G189" i="31" s="1"/>
  <c r="I189" i="31"/>
  <c r="D189" i="31" s="1"/>
  <c r="I188" i="20"/>
  <c r="D188" i="20" s="1"/>
  <c r="K188" i="20"/>
  <c r="G188" i="20" s="1"/>
  <c r="E186" i="23"/>
  <c r="E190" i="22"/>
  <c r="E188" i="29"/>
  <c r="D188" i="29"/>
  <c r="E188" i="32"/>
  <c r="D187" i="21"/>
  <c r="E187" i="21"/>
  <c r="E188" i="27"/>
  <c r="J189" i="28"/>
  <c r="F189" i="28" s="1"/>
  <c r="I189" i="28"/>
  <c r="D189" i="28" s="1"/>
  <c r="E186" i="1"/>
  <c r="I187" i="1" s="1"/>
  <c r="D187" i="1" s="1"/>
  <c r="I189" i="24" l="1"/>
  <c r="D189" i="24" s="1"/>
  <c r="K189" i="24"/>
  <c r="G189" i="24" s="1"/>
  <c r="J189" i="24"/>
  <c r="F189" i="24" s="1"/>
  <c r="J188" i="26"/>
  <c r="F188" i="26" s="1"/>
  <c r="I188" i="26"/>
  <c r="K188" i="26"/>
  <c r="G188" i="26" s="1"/>
  <c r="D190" i="25"/>
  <c r="E190" i="25"/>
  <c r="E194" i="30"/>
  <c r="K195" i="30" s="1"/>
  <c r="G195" i="30" s="1"/>
  <c r="E188" i="20"/>
  <c r="I189" i="20" s="1"/>
  <c r="D189" i="20" s="1"/>
  <c r="E189" i="31"/>
  <c r="I187" i="23"/>
  <c r="D187" i="23" s="1"/>
  <c r="J187" i="23"/>
  <c r="F187" i="23" s="1"/>
  <c r="K187" i="23"/>
  <c r="G187" i="23" s="1"/>
  <c r="K191" i="22"/>
  <c r="G191" i="22" s="1"/>
  <c r="J191" i="22"/>
  <c r="F191" i="22" s="1"/>
  <c r="I191" i="22"/>
  <c r="J189" i="29"/>
  <c r="F189" i="29" s="1"/>
  <c r="K189" i="29"/>
  <c r="G189" i="29" s="1"/>
  <c r="I189" i="29"/>
  <c r="J189" i="32"/>
  <c r="F189" i="32" s="1"/>
  <c r="I189" i="32"/>
  <c r="D189" i="32" s="1"/>
  <c r="K189" i="32"/>
  <c r="G189" i="32" s="1"/>
  <c r="K188" i="21"/>
  <c r="G188" i="21" s="1"/>
  <c r="I188" i="21"/>
  <c r="J188" i="21"/>
  <c r="F188" i="21" s="1"/>
  <c r="K189" i="27"/>
  <c r="G189" i="27" s="1"/>
  <c r="I189" i="27"/>
  <c r="D189" i="27" s="1"/>
  <c r="J189" i="27"/>
  <c r="F189" i="27" s="1"/>
  <c r="E189" i="28"/>
  <c r="I190" i="28" s="1"/>
  <c r="D190" i="28" s="1"/>
  <c r="I195" i="30"/>
  <c r="D195" i="30" s="1"/>
  <c r="K187" i="1"/>
  <c r="G187" i="1" s="1"/>
  <c r="J187" i="1"/>
  <c r="F187" i="1" s="1"/>
  <c r="E189" i="24" l="1"/>
  <c r="D188" i="26"/>
  <c r="E188" i="26"/>
  <c r="K189" i="20"/>
  <c r="G189" i="20" s="1"/>
  <c r="K191" i="25"/>
  <c r="G191" i="25" s="1"/>
  <c r="I191" i="25"/>
  <c r="J191" i="25"/>
  <c r="F191" i="25" s="1"/>
  <c r="J195" i="30"/>
  <c r="F195" i="30" s="1"/>
  <c r="J189" i="20"/>
  <c r="F189" i="20" s="1"/>
  <c r="I190" i="31"/>
  <c r="D190" i="31" s="1"/>
  <c r="K190" i="31"/>
  <c r="G190" i="31" s="1"/>
  <c r="J190" i="31"/>
  <c r="F190" i="31" s="1"/>
  <c r="E187" i="23"/>
  <c r="I188" i="23" s="1"/>
  <c r="D191" i="22"/>
  <c r="E191" i="22"/>
  <c r="E189" i="29"/>
  <c r="D189" i="29"/>
  <c r="E189" i="32"/>
  <c r="D188" i="21"/>
  <c r="E188" i="21"/>
  <c r="E189" i="27"/>
  <c r="I190" i="27" s="1"/>
  <c r="K190" i="28"/>
  <c r="G190" i="28" s="1"/>
  <c r="J190" i="28"/>
  <c r="F190" i="28" s="1"/>
  <c r="E187" i="1"/>
  <c r="J188" i="1" s="1"/>
  <c r="F188" i="1" s="1"/>
  <c r="I190" i="24" l="1"/>
  <c r="D190" i="24" s="1"/>
  <c r="J190" i="24"/>
  <c r="F190" i="24" s="1"/>
  <c r="K190" i="24"/>
  <c r="G190" i="24" s="1"/>
  <c r="J189" i="26"/>
  <c r="F189" i="26" s="1"/>
  <c r="K189" i="26"/>
  <c r="G189" i="26" s="1"/>
  <c r="I189" i="26"/>
  <c r="E195" i="30"/>
  <c r="I196" i="30" s="1"/>
  <c r="D196" i="30" s="1"/>
  <c r="E189" i="20"/>
  <c r="J190" i="20" s="1"/>
  <c r="F190" i="20" s="1"/>
  <c r="D191" i="25"/>
  <c r="E191" i="25"/>
  <c r="K188" i="23"/>
  <c r="G188" i="23" s="1"/>
  <c r="E190" i="31"/>
  <c r="J188" i="23"/>
  <c r="F188" i="23" s="1"/>
  <c r="D188" i="23"/>
  <c r="I192" i="22"/>
  <c r="K192" i="22"/>
  <c r="G192" i="22" s="1"/>
  <c r="J192" i="22"/>
  <c r="F192" i="22" s="1"/>
  <c r="K190" i="29"/>
  <c r="G190" i="29" s="1"/>
  <c r="I190" i="29"/>
  <c r="J190" i="29"/>
  <c r="F190" i="29" s="1"/>
  <c r="E190" i="28"/>
  <c r="I191" i="28" s="1"/>
  <c r="D191" i="28" s="1"/>
  <c r="K190" i="32"/>
  <c r="G190" i="32" s="1"/>
  <c r="J190" i="32"/>
  <c r="F190" i="32" s="1"/>
  <c r="I190" i="32"/>
  <c r="D190" i="32" s="1"/>
  <c r="J190" i="27"/>
  <c r="F190" i="27" s="1"/>
  <c r="K189" i="21"/>
  <c r="G189" i="21" s="1"/>
  <c r="J189" i="21"/>
  <c r="F189" i="21" s="1"/>
  <c r="I189" i="21"/>
  <c r="K190" i="27"/>
  <c r="G190" i="27" s="1"/>
  <c r="D190" i="27"/>
  <c r="K196" i="30"/>
  <c r="G196" i="30" s="1"/>
  <c r="K188" i="1"/>
  <c r="G188" i="1" s="1"/>
  <c r="I188" i="1"/>
  <c r="E190" i="24" l="1"/>
  <c r="J196" i="30"/>
  <c r="F196" i="30" s="1"/>
  <c r="E189" i="26"/>
  <c r="D189" i="26"/>
  <c r="I190" i="20"/>
  <c r="D190" i="20" s="1"/>
  <c r="K190" i="20"/>
  <c r="G190" i="20" s="1"/>
  <c r="J192" i="25"/>
  <c r="F192" i="25" s="1"/>
  <c r="I192" i="25"/>
  <c r="K192" i="25"/>
  <c r="G192" i="25" s="1"/>
  <c r="E188" i="23"/>
  <c r="J189" i="23" s="1"/>
  <c r="F189" i="23" s="1"/>
  <c r="J191" i="31"/>
  <c r="F191" i="31" s="1"/>
  <c r="K191" i="31"/>
  <c r="G191" i="31" s="1"/>
  <c r="I191" i="31"/>
  <c r="D191" i="31" s="1"/>
  <c r="E192" i="22"/>
  <c r="D192" i="22"/>
  <c r="J191" i="28"/>
  <c r="F191" i="28" s="1"/>
  <c r="K191" i="28"/>
  <c r="G191" i="28" s="1"/>
  <c r="D190" i="29"/>
  <c r="E190" i="29"/>
  <c r="E190" i="32"/>
  <c r="K191" i="32" s="1"/>
  <c r="G191" i="32" s="1"/>
  <c r="E190" i="27"/>
  <c r="I191" i="27" s="1"/>
  <c r="D191" i="27" s="1"/>
  <c r="D189" i="21"/>
  <c r="E189" i="21"/>
  <c r="E188" i="1"/>
  <c r="J189" i="1" s="1"/>
  <c r="F189" i="1" s="1"/>
  <c r="D188" i="1"/>
  <c r="I191" i="24" l="1"/>
  <c r="D191" i="24" s="1"/>
  <c r="J191" i="24"/>
  <c r="F191" i="24" s="1"/>
  <c r="K191" i="24"/>
  <c r="G191" i="24" s="1"/>
  <c r="E196" i="30"/>
  <c r="E190" i="20"/>
  <c r="K191" i="20" s="1"/>
  <c r="G191" i="20" s="1"/>
  <c r="I190" i="26"/>
  <c r="J190" i="26"/>
  <c r="F190" i="26" s="1"/>
  <c r="K190" i="26"/>
  <c r="G190" i="26" s="1"/>
  <c r="K189" i="23"/>
  <c r="G189" i="23" s="1"/>
  <c r="I189" i="23"/>
  <c r="D192" i="25"/>
  <c r="E192" i="25"/>
  <c r="E191" i="31"/>
  <c r="K191" i="27"/>
  <c r="G191" i="27" s="1"/>
  <c r="J193" i="22"/>
  <c r="F193" i="22" s="1"/>
  <c r="I193" i="22"/>
  <c r="K193" i="22"/>
  <c r="G193" i="22" s="1"/>
  <c r="E191" i="28"/>
  <c r="K192" i="28" s="1"/>
  <c r="G192" i="28" s="1"/>
  <c r="I191" i="32"/>
  <c r="D191" i="32" s="1"/>
  <c r="J191" i="32"/>
  <c r="F191" i="32" s="1"/>
  <c r="K191" i="29"/>
  <c r="G191" i="29" s="1"/>
  <c r="I191" i="29"/>
  <c r="J191" i="29"/>
  <c r="F191" i="29" s="1"/>
  <c r="J191" i="27"/>
  <c r="F191" i="27" s="1"/>
  <c r="I190" i="21"/>
  <c r="K190" i="21"/>
  <c r="G190" i="21" s="1"/>
  <c r="J190" i="21"/>
  <c r="F190" i="21" s="1"/>
  <c r="I197" i="30"/>
  <c r="D197" i="30" s="1"/>
  <c r="J197" i="30"/>
  <c r="F197" i="30" s="1"/>
  <c r="K197" i="30"/>
  <c r="G197" i="30" s="1"/>
  <c r="I191" i="20"/>
  <c r="D191" i="20" s="1"/>
  <c r="J191" i="20"/>
  <c r="F191" i="20" s="1"/>
  <c r="K189" i="1"/>
  <c r="G189" i="1" s="1"/>
  <c r="I189" i="1"/>
  <c r="D189" i="1" s="1"/>
  <c r="E191" i="24" l="1"/>
  <c r="D190" i="26"/>
  <c r="E190" i="26"/>
  <c r="E189" i="23"/>
  <c r="J190" i="23" s="1"/>
  <c r="F190" i="23" s="1"/>
  <c r="D189" i="23"/>
  <c r="I193" i="25"/>
  <c r="J193" i="25"/>
  <c r="F193" i="25" s="1"/>
  <c r="K193" i="25"/>
  <c r="G193" i="25" s="1"/>
  <c r="I192" i="31"/>
  <c r="D192" i="31" s="1"/>
  <c r="K192" i="31"/>
  <c r="G192" i="31" s="1"/>
  <c r="J192" i="31"/>
  <c r="F192" i="31" s="1"/>
  <c r="J192" i="28"/>
  <c r="F192" i="28" s="1"/>
  <c r="E191" i="27"/>
  <c r="I192" i="27" s="1"/>
  <c r="D192" i="27" s="1"/>
  <c r="I190" i="23"/>
  <c r="D190" i="23" s="1"/>
  <c r="I192" i="28"/>
  <c r="D192" i="28" s="1"/>
  <c r="E193" i="22"/>
  <c r="D193" i="22"/>
  <c r="E191" i="32"/>
  <c r="J192" i="32" s="1"/>
  <c r="F192" i="32" s="1"/>
  <c r="D191" i="29"/>
  <c r="E191" i="29"/>
  <c r="D190" i="21"/>
  <c r="E190" i="21"/>
  <c r="E197" i="30"/>
  <c r="E191" i="20"/>
  <c r="J192" i="20" s="1"/>
  <c r="F192" i="20" s="1"/>
  <c r="E189" i="1"/>
  <c r="K190" i="1" s="1"/>
  <c r="G190" i="1" s="1"/>
  <c r="I192" i="24" l="1"/>
  <c r="D192" i="24" s="1"/>
  <c r="K192" i="24"/>
  <c r="G192" i="24" s="1"/>
  <c r="J192" i="24"/>
  <c r="F192" i="24" s="1"/>
  <c r="K190" i="23"/>
  <c r="G190" i="23" s="1"/>
  <c r="J192" i="27"/>
  <c r="F192" i="27" s="1"/>
  <c r="I191" i="26"/>
  <c r="J191" i="26"/>
  <c r="F191" i="26" s="1"/>
  <c r="K191" i="26"/>
  <c r="G191" i="26" s="1"/>
  <c r="K192" i="27"/>
  <c r="G192" i="27" s="1"/>
  <c r="D193" i="25"/>
  <c r="E193" i="25"/>
  <c r="E192" i="31"/>
  <c r="E192" i="28"/>
  <c r="K193" i="28" s="1"/>
  <c r="G193" i="28" s="1"/>
  <c r="E190" i="23"/>
  <c r="I194" i="22"/>
  <c r="K194" i="22"/>
  <c r="G194" i="22" s="1"/>
  <c r="J194" i="22"/>
  <c r="F194" i="22" s="1"/>
  <c r="I192" i="32"/>
  <c r="D192" i="32" s="1"/>
  <c r="K192" i="32"/>
  <c r="G192" i="32" s="1"/>
  <c r="K192" i="29"/>
  <c r="G192" i="29" s="1"/>
  <c r="I192" i="29"/>
  <c r="J192" i="29"/>
  <c r="F192" i="29" s="1"/>
  <c r="I191" i="21"/>
  <c r="J191" i="21"/>
  <c r="F191" i="21" s="1"/>
  <c r="K191" i="21"/>
  <c r="G191" i="21" s="1"/>
  <c r="E192" i="27"/>
  <c r="K198" i="30"/>
  <c r="G198" i="30" s="1"/>
  <c r="I198" i="30"/>
  <c r="D198" i="30" s="1"/>
  <c r="J198" i="30"/>
  <c r="F198" i="30" s="1"/>
  <c r="I192" i="20"/>
  <c r="D192" i="20" s="1"/>
  <c r="K192" i="20"/>
  <c r="G192" i="20" s="1"/>
  <c r="J190" i="1"/>
  <c r="F190" i="1" s="1"/>
  <c r="I190" i="1"/>
  <c r="D190" i="1" s="1"/>
  <c r="E192" i="24" l="1"/>
  <c r="E191" i="26"/>
  <c r="D191" i="26"/>
  <c r="I194" i="25"/>
  <c r="J194" i="25"/>
  <c r="F194" i="25" s="1"/>
  <c r="K194" i="25"/>
  <c r="G194" i="25" s="1"/>
  <c r="J193" i="28"/>
  <c r="F193" i="28" s="1"/>
  <c r="I193" i="28"/>
  <c r="D193" i="28" s="1"/>
  <c r="I193" i="31"/>
  <c r="D193" i="31" s="1"/>
  <c r="K193" i="31"/>
  <c r="G193" i="31" s="1"/>
  <c r="J193" i="31"/>
  <c r="F193" i="31" s="1"/>
  <c r="I191" i="23"/>
  <c r="D191" i="23" s="1"/>
  <c r="J191" i="23"/>
  <c r="F191" i="23" s="1"/>
  <c r="K191" i="23"/>
  <c r="G191" i="23" s="1"/>
  <c r="E192" i="32"/>
  <c r="J193" i="32" s="1"/>
  <c r="F193" i="32" s="1"/>
  <c r="E194" i="22"/>
  <c r="D194" i="22"/>
  <c r="E192" i="29"/>
  <c r="D192" i="29"/>
  <c r="D191" i="21"/>
  <c r="E191" i="21"/>
  <c r="I193" i="27"/>
  <c r="J193" i="27"/>
  <c r="F193" i="27" s="1"/>
  <c r="K193" i="27"/>
  <c r="G193" i="27" s="1"/>
  <c r="E198" i="30"/>
  <c r="J199" i="30" s="1"/>
  <c r="F199" i="30" s="1"/>
  <c r="E192" i="20"/>
  <c r="J193" i="20" s="1"/>
  <c r="F193" i="20" s="1"/>
  <c r="E190" i="1"/>
  <c r="J191" i="1" s="1"/>
  <c r="F191" i="1" s="1"/>
  <c r="I193" i="24" l="1"/>
  <c r="D193" i="24" s="1"/>
  <c r="J193" i="24"/>
  <c r="F193" i="24" s="1"/>
  <c r="K193" i="24"/>
  <c r="G193" i="24" s="1"/>
  <c r="K192" i="26"/>
  <c r="G192" i="26" s="1"/>
  <c r="J192" i="26"/>
  <c r="F192" i="26" s="1"/>
  <c r="I192" i="26"/>
  <c r="D194" i="25"/>
  <c r="E194" i="25"/>
  <c r="E193" i="28"/>
  <c r="J194" i="28" s="1"/>
  <c r="F194" i="28" s="1"/>
  <c r="I193" i="32"/>
  <c r="D193" i="32" s="1"/>
  <c r="E193" i="31"/>
  <c r="K194" i="31" s="1"/>
  <c r="G194" i="31" s="1"/>
  <c r="K193" i="32"/>
  <c r="G193" i="32" s="1"/>
  <c r="E191" i="23"/>
  <c r="K195" i="22"/>
  <c r="G195" i="22" s="1"/>
  <c r="I195" i="22"/>
  <c r="J195" i="22"/>
  <c r="F195" i="22" s="1"/>
  <c r="J193" i="29"/>
  <c r="F193" i="29" s="1"/>
  <c r="K193" i="29"/>
  <c r="G193" i="29" s="1"/>
  <c r="I193" i="29"/>
  <c r="J192" i="21"/>
  <c r="F192" i="21" s="1"/>
  <c r="I192" i="21"/>
  <c r="K192" i="21"/>
  <c r="G192" i="21" s="1"/>
  <c r="E193" i="27"/>
  <c r="D193" i="27"/>
  <c r="I199" i="30"/>
  <c r="D199" i="30" s="1"/>
  <c r="K199" i="30"/>
  <c r="G199" i="30" s="1"/>
  <c r="K193" i="20"/>
  <c r="G193" i="20" s="1"/>
  <c r="I193" i="20"/>
  <c r="D193" i="20" s="1"/>
  <c r="I191" i="1"/>
  <c r="D191" i="1" s="1"/>
  <c r="K191" i="1"/>
  <c r="G191" i="1" s="1"/>
  <c r="K194" i="28" l="1"/>
  <c r="G194" i="28" s="1"/>
  <c r="E193" i="24"/>
  <c r="J194" i="31"/>
  <c r="F194" i="31" s="1"/>
  <c r="D192" i="26"/>
  <c r="E192" i="26"/>
  <c r="I194" i="28"/>
  <c r="D194" i="28" s="1"/>
  <c r="I195" i="25"/>
  <c r="J195" i="25"/>
  <c r="F195" i="25" s="1"/>
  <c r="K195" i="25"/>
  <c r="G195" i="25" s="1"/>
  <c r="I194" i="31"/>
  <c r="D194" i="31" s="1"/>
  <c r="E193" i="32"/>
  <c r="K194" i="32" s="1"/>
  <c r="G194" i="32" s="1"/>
  <c r="K192" i="23"/>
  <c r="G192" i="23" s="1"/>
  <c r="I192" i="23"/>
  <c r="D192" i="23" s="1"/>
  <c r="J192" i="23"/>
  <c r="F192" i="23" s="1"/>
  <c r="D195" i="22"/>
  <c r="E195" i="22"/>
  <c r="E193" i="29"/>
  <c r="D193" i="29"/>
  <c r="D192" i="21"/>
  <c r="E192" i="21"/>
  <c r="K194" i="27"/>
  <c r="G194" i="27" s="1"/>
  <c r="J194" i="27"/>
  <c r="F194" i="27" s="1"/>
  <c r="I194" i="27"/>
  <c r="D194" i="27" s="1"/>
  <c r="E199" i="30"/>
  <c r="J200" i="30" s="1"/>
  <c r="F200" i="30" s="1"/>
  <c r="E193" i="20"/>
  <c r="I194" i="20" s="1"/>
  <c r="D194" i="20" s="1"/>
  <c r="E191" i="1"/>
  <c r="K192" i="1" s="1"/>
  <c r="G192" i="1" s="1"/>
  <c r="K194" i="24" l="1"/>
  <c r="G194" i="24" s="1"/>
  <c r="J194" i="24"/>
  <c r="F194" i="24" s="1"/>
  <c r="I194" i="24"/>
  <c r="D194" i="24" s="1"/>
  <c r="E194" i="31"/>
  <c r="J195" i="31" s="1"/>
  <c r="F195" i="31" s="1"/>
  <c r="I193" i="26"/>
  <c r="K193" i="26"/>
  <c r="G193" i="26" s="1"/>
  <c r="J193" i="26"/>
  <c r="F193" i="26" s="1"/>
  <c r="E194" i="28"/>
  <c r="D195" i="25"/>
  <c r="E195" i="25"/>
  <c r="J194" i="32"/>
  <c r="F194" i="32" s="1"/>
  <c r="I194" i="32"/>
  <c r="D194" i="32" s="1"/>
  <c r="E192" i="23"/>
  <c r="J196" i="22"/>
  <c r="F196" i="22" s="1"/>
  <c r="K196" i="22"/>
  <c r="G196" i="22" s="1"/>
  <c r="I196" i="22"/>
  <c r="I194" i="29"/>
  <c r="D194" i="29" s="1"/>
  <c r="J194" i="29"/>
  <c r="F194" i="29" s="1"/>
  <c r="K194" i="29"/>
  <c r="G194" i="29" s="1"/>
  <c r="J193" i="21"/>
  <c r="F193" i="21" s="1"/>
  <c r="K193" i="21"/>
  <c r="G193" i="21" s="1"/>
  <c r="I193" i="21"/>
  <c r="E194" i="27"/>
  <c r="I195" i="27" s="1"/>
  <c r="K200" i="30"/>
  <c r="G200" i="30" s="1"/>
  <c r="I200" i="30"/>
  <c r="D200" i="30" s="1"/>
  <c r="J194" i="20"/>
  <c r="F194" i="20" s="1"/>
  <c r="K194" i="20"/>
  <c r="G194" i="20" s="1"/>
  <c r="J192" i="1"/>
  <c r="F192" i="1" s="1"/>
  <c r="I192" i="1"/>
  <c r="D192" i="1" s="1"/>
  <c r="K195" i="31" l="1"/>
  <c r="G195" i="31" s="1"/>
  <c r="I195" i="31"/>
  <c r="D195" i="31" s="1"/>
  <c r="E194" i="24"/>
  <c r="J195" i="28"/>
  <c r="F195" i="28" s="1"/>
  <c r="K195" i="28"/>
  <c r="G195" i="28" s="1"/>
  <c r="I195" i="28"/>
  <c r="D193" i="26"/>
  <c r="E193" i="26"/>
  <c r="K196" i="25"/>
  <c r="G196" i="25" s="1"/>
  <c r="J196" i="25"/>
  <c r="F196" i="25" s="1"/>
  <c r="I196" i="25"/>
  <c r="E194" i="32"/>
  <c r="I195" i="32" s="1"/>
  <c r="D195" i="32" s="1"/>
  <c r="I193" i="23"/>
  <c r="D193" i="23" s="1"/>
  <c r="J193" i="23"/>
  <c r="F193" i="23" s="1"/>
  <c r="K193" i="23"/>
  <c r="G193" i="23" s="1"/>
  <c r="E196" i="22"/>
  <c r="D196" i="22"/>
  <c r="E194" i="29"/>
  <c r="J195" i="29" s="1"/>
  <c r="F195" i="29" s="1"/>
  <c r="D193" i="21"/>
  <c r="E193" i="21"/>
  <c r="D195" i="27"/>
  <c r="K195" i="27"/>
  <c r="G195" i="27" s="1"/>
  <c r="J195" i="27"/>
  <c r="F195" i="27" s="1"/>
  <c r="E200" i="30"/>
  <c r="I201" i="30" s="1"/>
  <c r="D201" i="30" s="1"/>
  <c r="E194" i="20"/>
  <c r="J195" i="20" s="1"/>
  <c r="F195" i="20" s="1"/>
  <c r="E192" i="1"/>
  <c r="I193" i="1" s="1"/>
  <c r="E195" i="31" l="1"/>
  <c r="J196" i="31" s="1"/>
  <c r="F196" i="31" s="1"/>
  <c r="I195" i="24"/>
  <c r="D195" i="24" s="1"/>
  <c r="J195" i="24"/>
  <c r="F195" i="24" s="1"/>
  <c r="K195" i="24"/>
  <c r="G195" i="24" s="1"/>
  <c r="D195" i="28"/>
  <c r="E195" i="28"/>
  <c r="J194" i="26"/>
  <c r="F194" i="26" s="1"/>
  <c r="K194" i="26"/>
  <c r="G194" i="26" s="1"/>
  <c r="I194" i="26"/>
  <c r="J195" i="32"/>
  <c r="F195" i="32" s="1"/>
  <c r="D196" i="25"/>
  <c r="E196" i="25"/>
  <c r="K195" i="32"/>
  <c r="G195" i="32" s="1"/>
  <c r="K196" i="31"/>
  <c r="G196" i="31" s="1"/>
  <c r="I196" i="31"/>
  <c r="D196" i="31" s="1"/>
  <c r="E193" i="23"/>
  <c r="J197" i="22"/>
  <c r="F197" i="22" s="1"/>
  <c r="K197" i="22"/>
  <c r="G197" i="22" s="1"/>
  <c r="I197" i="22"/>
  <c r="K195" i="29"/>
  <c r="G195" i="29" s="1"/>
  <c r="I195" i="29"/>
  <c r="D195" i="29" s="1"/>
  <c r="K194" i="21"/>
  <c r="G194" i="21" s="1"/>
  <c r="I194" i="21"/>
  <c r="J194" i="21"/>
  <c r="F194" i="21" s="1"/>
  <c r="E195" i="27"/>
  <c r="K201" i="30"/>
  <c r="G201" i="30" s="1"/>
  <c r="J201" i="30"/>
  <c r="F201" i="30" s="1"/>
  <c r="K195" i="20"/>
  <c r="G195" i="20" s="1"/>
  <c r="I195" i="20"/>
  <c r="D195" i="20" s="1"/>
  <c r="J193" i="1"/>
  <c r="F193" i="1" s="1"/>
  <c r="K193" i="1"/>
  <c r="G193" i="1" s="1"/>
  <c r="D193" i="1"/>
  <c r="E195" i="24" l="1"/>
  <c r="J196" i="24" s="1"/>
  <c r="F196" i="24" s="1"/>
  <c r="I196" i="24"/>
  <c r="D196" i="24" s="1"/>
  <c r="E194" i="26"/>
  <c r="J196" i="28"/>
  <c r="F196" i="28" s="1"/>
  <c r="I196" i="28"/>
  <c r="K196" i="28"/>
  <c r="G196" i="28" s="1"/>
  <c r="E195" i="32"/>
  <c r="J196" i="32" s="1"/>
  <c r="F196" i="32" s="1"/>
  <c r="D194" i="26"/>
  <c r="I197" i="25"/>
  <c r="D197" i="25" s="1"/>
  <c r="J197" i="25"/>
  <c r="F197" i="25" s="1"/>
  <c r="K197" i="25"/>
  <c r="G197" i="25" s="1"/>
  <c r="E196" i="31"/>
  <c r="J197" i="31" s="1"/>
  <c r="F197" i="31" s="1"/>
  <c r="I194" i="23"/>
  <c r="D194" i="23" s="1"/>
  <c r="J194" i="23"/>
  <c r="F194" i="23" s="1"/>
  <c r="K194" i="23"/>
  <c r="G194" i="23" s="1"/>
  <c r="E197" i="22"/>
  <c r="D197" i="22"/>
  <c r="E195" i="29"/>
  <c r="K196" i="29" s="1"/>
  <c r="G196" i="29" s="1"/>
  <c r="K196" i="32"/>
  <c r="G196" i="32" s="1"/>
  <c r="D194" i="21"/>
  <c r="E194" i="21"/>
  <c r="K196" i="27"/>
  <c r="G196" i="27" s="1"/>
  <c r="I196" i="27"/>
  <c r="D196" i="27" s="1"/>
  <c r="J196" i="27"/>
  <c r="F196" i="27" s="1"/>
  <c r="E201" i="30"/>
  <c r="K202" i="30" s="1"/>
  <c r="G202" i="30" s="1"/>
  <c r="E195" i="20"/>
  <c r="K196" i="20" s="1"/>
  <c r="G196" i="20" s="1"/>
  <c r="E193" i="1"/>
  <c r="J194" i="1" s="1"/>
  <c r="F194" i="1" s="1"/>
  <c r="K196" i="24" l="1"/>
  <c r="G196" i="24" s="1"/>
  <c r="I196" i="32"/>
  <c r="D196" i="32" s="1"/>
  <c r="I195" i="26"/>
  <c r="D195" i="26" s="1"/>
  <c r="J195" i="26"/>
  <c r="K195" i="26"/>
  <c r="G195" i="26" s="1"/>
  <c r="E196" i="28"/>
  <c r="D196" i="28"/>
  <c r="E197" i="25"/>
  <c r="I197" i="31"/>
  <c r="D197" i="31" s="1"/>
  <c r="K197" i="31"/>
  <c r="G197" i="31" s="1"/>
  <c r="E194" i="23"/>
  <c r="J196" i="29"/>
  <c r="F196" i="29" s="1"/>
  <c r="I196" i="29"/>
  <c r="I198" i="22"/>
  <c r="J198" i="22"/>
  <c r="F198" i="22" s="1"/>
  <c r="K198" i="22"/>
  <c r="G198" i="22" s="1"/>
  <c r="K195" i="21"/>
  <c r="G195" i="21" s="1"/>
  <c r="J195" i="21"/>
  <c r="F195" i="21" s="1"/>
  <c r="I195" i="21"/>
  <c r="E196" i="27"/>
  <c r="J202" i="30"/>
  <c r="F202" i="30" s="1"/>
  <c r="I202" i="30"/>
  <c r="J196" i="20"/>
  <c r="F196" i="20" s="1"/>
  <c r="I196" i="20"/>
  <c r="D196" i="20" s="1"/>
  <c r="K194" i="1"/>
  <c r="G194" i="1" s="1"/>
  <c r="I194" i="1"/>
  <c r="D194" i="1" s="1"/>
  <c r="E196" i="24" l="1"/>
  <c r="J197" i="24"/>
  <c r="F197" i="24" s="1"/>
  <c r="I197" i="24"/>
  <c r="D197" i="24" s="1"/>
  <c r="K197" i="24"/>
  <c r="G197" i="24" s="1"/>
  <c r="E196" i="32"/>
  <c r="K197" i="32" s="1"/>
  <c r="G197" i="32" s="1"/>
  <c r="F195" i="26"/>
  <c r="E195" i="26"/>
  <c r="I197" i="28"/>
  <c r="K197" i="28"/>
  <c r="G197" i="28" s="1"/>
  <c r="J197" i="28"/>
  <c r="F197" i="28" s="1"/>
  <c r="J198" i="25"/>
  <c r="F198" i="25" s="1"/>
  <c r="K198" i="25"/>
  <c r="G198" i="25" s="1"/>
  <c r="I198" i="25"/>
  <c r="E197" i="31"/>
  <c r="J198" i="31" s="1"/>
  <c r="F198" i="31" s="1"/>
  <c r="E196" i="29"/>
  <c r="K197" i="29" s="1"/>
  <c r="G197" i="29" s="1"/>
  <c r="D196" i="29"/>
  <c r="K195" i="23"/>
  <c r="G195" i="23" s="1"/>
  <c r="I195" i="23"/>
  <c r="D195" i="23" s="1"/>
  <c r="J195" i="23"/>
  <c r="F195" i="23" s="1"/>
  <c r="D198" i="22"/>
  <c r="E198" i="22"/>
  <c r="J197" i="32"/>
  <c r="F197" i="32" s="1"/>
  <c r="I197" i="32"/>
  <c r="D197" i="32" s="1"/>
  <c r="E202" i="30"/>
  <c r="J203" i="30" s="1"/>
  <c r="F203" i="30" s="1"/>
  <c r="D195" i="21"/>
  <c r="E195" i="21"/>
  <c r="K197" i="27"/>
  <c r="G197" i="27" s="1"/>
  <c r="J197" i="27"/>
  <c r="F197" i="27" s="1"/>
  <c r="I197" i="27"/>
  <c r="D202" i="30"/>
  <c r="E196" i="20"/>
  <c r="J197" i="20" s="1"/>
  <c r="F197" i="20" s="1"/>
  <c r="E194" i="1"/>
  <c r="K195" i="1" s="1"/>
  <c r="G195" i="1" s="1"/>
  <c r="E197" i="24" l="1"/>
  <c r="I198" i="31"/>
  <c r="D198" i="31" s="1"/>
  <c r="I196" i="26"/>
  <c r="J196" i="26"/>
  <c r="F196" i="26" s="1"/>
  <c r="K196" i="26"/>
  <c r="G196" i="26" s="1"/>
  <c r="D197" i="28"/>
  <c r="E197" i="28"/>
  <c r="D198" i="25"/>
  <c r="E198" i="25"/>
  <c r="J197" i="29"/>
  <c r="F197" i="29" s="1"/>
  <c r="K198" i="31"/>
  <c r="G198" i="31" s="1"/>
  <c r="I197" i="29"/>
  <c r="D197" i="29" s="1"/>
  <c r="E195" i="23"/>
  <c r="I199" i="22"/>
  <c r="K199" i="22"/>
  <c r="G199" i="22" s="1"/>
  <c r="J199" i="22"/>
  <c r="F199" i="22" s="1"/>
  <c r="E197" i="32"/>
  <c r="I198" i="32" s="1"/>
  <c r="K203" i="30"/>
  <c r="G203" i="30" s="1"/>
  <c r="I203" i="30"/>
  <c r="J196" i="21"/>
  <c r="F196" i="21" s="1"/>
  <c r="I196" i="21"/>
  <c r="K196" i="21"/>
  <c r="G196" i="21" s="1"/>
  <c r="E197" i="27"/>
  <c r="D197" i="27"/>
  <c r="I197" i="20"/>
  <c r="D197" i="20" s="1"/>
  <c r="K197" i="20"/>
  <c r="G197" i="20" s="1"/>
  <c r="I195" i="1"/>
  <c r="D195" i="1" s="1"/>
  <c r="J195" i="1"/>
  <c r="F195" i="1" s="1"/>
  <c r="K198" i="24" l="1"/>
  <c r="G198" i="24" s="1"/>
  <c r="J198" i="24"/>
  <c r="F198" i="24" s="1"/>
  <c r="I198" i="24"/>
  <c r="D198" i="24" s="1"/>
  <c r="E196" i="26"/>
  <c r="D196" i="26"/>
  <c r="K198" i="28"/>
  <c r="G198" i="28" s="1"/>
  <c r="I198" i="28"/>
  <c r="J198" i="28"/>
  <c r="F198" i="28" s="1"/>
  <c r="E198" i="31"/>
  <c r="J199" i="31" s="1"/>
  <c r="F199" i="31" s="1"/>
  <c r="E197" i="29"/>
  <c r="I198" i="29" s="1"/>
  <c r="K199" i="25"/>
  <c r="G199" i="25" s="1"/>
  <c r="J199" i="25"/>
  <c r="F199" i="25" s="1"/>
  <c r="I199" i="25"/>
  <c r="D199" i="25" s="1"/>
  <c r="K198" i="32"/>
  <c r="G198" i="32" s="1"/>
  <c r="K196" i="23"/>
  <c r="G196" i="23" s="1"/>
  <c r="I196" i="23"/>
  <c r="D196" i="23" s="1"/>
  <c r="J196" i="23"/>
  <c r="F196" i="23" s="1"/>
  <c r="J198" i="32"/>
  <c r="F198" i="32" s="1"/>
  <c r="E199" i="22"/>
  <c r="D199" i="22"/>
  <c r="E203" i="30"/>
  <c r="K204" i="30" s="1"/>
  <c r="D203" i="30"/>
  <c r="D198" i="32"/>
  <c r="D196" i="21"/>
  <c r="E196" i="21"/>
  <c r="K198" i="27"/>
  <c r="G198" i="27" s="1"/>
  <c r="I198" i="27"/>
  <c r="J198" i="27"/>
  <c r="F198" i="27" s="1"/>
  <c r="E197" i="20"/>
  <c r="J198" i="20" s="1"/>
  <c r="F198" i="20" s="1"/>
  <c r="E195" i="1"/>
  <c r="K196" i="1" s="1"/>
  <c r="G196" i="1" s="1"/>
  <c r="E198" i="24" l="1"/>
  <c r="J198" i="29"/>
  <c r="F198" i="29" s="1"/>
  <c r="K198" i="29"/>
  <c r="G198" i="29" s="1"/>
  <c r="K199" i="31"/>
  <c r="G199" i="31" s="1"/>
  <c r="I197" i="26"/>
  <c r="K197" i="26"/>
  <c r="G197" i="26" s="1"/>
  <c r="J197" i="26"/>
  <c r="F197" i="26" s="1"/>
  <c r="D198" i="28"/>
  <c r="E198" i="28"/>
  <c r="I199" i="31"/>
  <c r="D199" i="31" s="1"/>
  <c r="E199" i="25"/>
  <c r="J200" i="25" s="1"/>
  <c r="F200" i="25" s="1"/>
  <c r="E198" i="32"/>
  <c r="J199" i="32" s="1"/>
  <c r="F199" i="32" s="1"/>
  <c r="E196" i="23"/>
  <c r="J204" i="30"/>
  <c r="N13" i="30"/>
  <c r="G204" i="30"/>
  <c r="N20" i="30"/>
  <c r="I204" i="30"/>
  <c r="I205" i="30" s="1"/>
  <c r="D8" i="33" s="1"/>
  <c r="K200" i="22"/>
  <c r="G200" i="22" s="1"/>
  <c r="I200" i="22"/>
  <c r="J200" i="22"/>
  <c r="F200" i="22" s="1"/>
  <c r="D204" i="30"/>
  <c r="N18" i="30"/>
  <c r="D198" i="29"/>
  <c r="E198" i="29"/>
  <c r="I197" i="21"/>
  <c r="J197" i="21"/>
  <c r="F197" i="21" s="1"/>
  <c r="K197" i="21"/>
  <c r="G197" i="21" s="1"/>
  <c r="D198" i="27"/>
  <c r="E198" i="27"/>
  <c r="K198" i="20"/>
  <c r="G198" i="20" s="1"/>
  <c r="I198" i="20"/>
  <c r="D198" i="20" s="1"/>
  <c r="J196" i="1"/>
  <c r="F196" i="1" s="1"/>
  <c r="I196" i="1"/>
  <c r="D196" i="1" s="1"/>
  <c r="K200" i="25" l="1"/>
  <c r="G200" i="25" s="1"/>
  <c r="E199" i="31"/>
  <c r="I199" i="24"/>
  <c r="D199" i="24" s="1"/>
  <c r="J199" i="24"/>
  <c r="F199" i="24" s="1"/>
  <c r="K199" i="24"/>
  <c r="G199" i="24" s="1"/>
  <c r="D197" i="26"/>
  <c r="E197" i="26"/>
  <c r="K199" i="28"/>
  <c r="G199" i="28" s="1"/>
  <c r="I199" i="28"/>
  <c r="J199" i="28"/>
  <c r="F199" i="28" s="1"/>
  <c r="I200" i="25"/>
  <c r="E200" i="25" s="1"/>
  <c r="J201" i="25" s="1"/>
  <c r="F201" i="25" s="1"/>
  <c r="I199" i="32"/>
  <c r="D199" i="32" s="1"/>
  <c r="K199" i="32"/>
  <c r="G199" i="32" s="1"/>
  <c r="E204" i="30"/>
  <c r="N16" i="30" s="1"/>
  <c r="I200" i="31"/>
  <c r="D200" i="31" s="1"/>
  <c r="J200" i="31"/>
  <c r="F200" i="31" s="1"/>
  <c r="K200" i="31"/>
  <c r="G200" i="31" s="1"/>
  <c r="I197" i="23"/>
  <c r="D197" i="23" s="1"/>
  <c r="J197" i="23"/>
  <c r="F197" i="23" s="1"/>
  <c r="K197" i="23"/>
  <c r="G197" i="23" s="1"/>
  <c r="F204" i="30"/>
  <c r="N19" i="30"/>
  <c r="N12" i="30"/>
  <c r="D200" i="22"/>
  <c r="E200" i="22"/>
  <c r="I199" i="29"/>
  <c r="K199" i="29"/>
  <c r="G199" i="29" s="1"/>
  <c r="J199" i="29"/>
  <c r="F199" i="29" s="1"/>
  <c r="D197" i="21"/>
  <c r="E197" i="21"/>
  <c r="K199" i="27"/>
  <c r="G199" i="27" s="1"/>
  <c r="J199" i="27"/>
  <c r="F199" i="27" s="1"/>
  <c r="I199" i="27"/>
  <c r="E198" i="20"/>
  <c r="J199" i="20" s="1"/>
  <c r="F199" i="20" s="1"/>
  <c r="E196" i="1"/>
  <c r="K197" i="1" s="1"/>
  <c r="G197" i="1" s="1"/>
  <c r="E199" i="24" l="1"/>
  <c r="D200" i="25"/>
  <c r="I198" i="26"/>
  <c r="K198" i="26"/>
  <c r="G198" i="26" s="1"/>
  <c r="J198" i="26"/>
  <c r="F198" i="26" s="1"/>
  <c r="D199" i="28"/>
  <c r="E199" i="28"/>
  <c r="E199" i="32"/>
  <c r="I200" i="32" s="1"/>
  <c r="D200" i="32" s="1"/>
  <c r="E205" i="30"/>
  <c r="I201" i="25"/>
  <c r="D201" i="25" s="1"/>
  <c r="K201" i="25"/>
  <c r="G201" i="25" s="1"/>
  <c r="E200" i="31"/>
  <c r="I201" i="31" s="1"/>
  <c r="D201" i="31" s="1"/>
  <c r="E197" i="23"/>
  <c r="K201" i="22"/>
  <c r="G201" i="22" s="1"/>
  <c r="J201" i="22"/>
  <c r="F201" i="22" s="1"/>
  <c r="I201" i="22"/>
  <c r="K200" i="32"/>
  <c r="G200" i="32" s="1"/>
  <c r="J200" i="32"/>
  <c r="F200" i="32" s="1"/>
  <c r="D199" i="29"/>
  <c r="E199" i="29"/>
  <c r="K198" i="21"/>
  <c r="G198" i="21" s="1"/>
  <c r="I198" i="21"/>
  <c r="J198" i="21"/>
  <c r="F198" i="21" s="1"/>
  <c r="E199" i="27"/>
  <c r="D199" i="27"/>
  <c r="I199" i="20"/>
  <c r="D199" i="20" s="1"/>
  <c r="K199" i="20"/>
  <c r="G199" i="20" s="1"/>
  <c r="I197" i="1"/>
  <c r="D197" i="1" s="1"/>
  <c r="J197" i="1"/>
  <c r="F197" i="1" s="1"/>
  <c r="K200" i="24" l="1"/>
  <c r="G200" i="24" s="1"/>
  <c r="I200" i="24"/>
  <c r="D200" i="24" s="1"/>
  <c r="J200" i="24"/>
  <c r="F200" i="24" s="1"/>
  <c r="E198" i="26"/>
  <c r="D198" i="26"/>
  <c r="J200" i="28"/>
  <c r="F200" i="28" s="1"/>
  <c r="K200" i="28"/>
  <c r="G200" i="28" s="1"/>
  <c r="I200" i="28"/>
  <c r="E201" i="25"/>
  <c r="J201" i="31"/>
  <c r="F201" i="31" s="1"/>
  <c r="K201" i="31"/>
  <c r="G201" i="31" s="1"/>
  <c r="J198" i="23"/>
  <c r="F198" i="23" s="1"/>
  <c r="K198" i="23"/>
  <c r="G198" i="23" s="1"/>
  <c r="I198" i="23"/>
  <c r="D201" i="22"/>
  <c r="E201" i="22"/>
  <c r="E200" i="32"/>
  <c r="J201" i="32" s="1"/>
  <c r="F201" i="32" s="1"/>
  <c r="J200" i="29"/>
  <c r="F200" i="29" s="1"/>
  <c r="I200" i="29"/>
  <c r="K200" i="29"/>
  <c r="G200" i="29" s="1"/>
  <c r="D198" i="21"/>
  <c r="E198" i="21"/>
  <c r="I200" i="27"/>
  <c r="J200" i="27"/>
  <c r="F200" i="27" s="1"/>
  <c r="K200" i="27"/>
  <c r="G200" i="27" s="1"/>
  <c r="E199" i="20"/>
  <c r="I200" i="20" s="1"/>
  <c r="E197" i="1"/>
  <c r="I198" i="1" s="1"/>
  <c r="D198" i="1" s="1"/>
  <c r="E200" i="24" l="1"/>
  <c r="K199" i="26"/>
  <c r="G199" i="26" s="1"/>
  <c r="I199" i="26"/>
  <c r="J199" i="26"/>
  <c r="F199" i="26" s="1"/>
  <c r="E200" i="28"/>
  <c r="D200" i="28"/>
  <c r="K202" i="25"/>
  <c r="G202" i="25" s="1"/>
  <c r="J202" i="25"/>
  <c r="F202" i="25" s="1"/>
  <c r="I202" i="25"/>
  <c r="E201" i="31"/>
  <c r="I202" i="31" s="1"/>
  <c r="D202" i="31" s="1"/>
  <c r="I201" i="32"/>
  <c r="D201" i="32" s="1"/>
  <c r="E198" i="23"/>
  <c r="D198" i="23"/>
  <c r="K201" i="32"/>
  <c r="G201" i="32" s="1"/>
  <c r="J202" i="22"/>
  <c r="F202" i="22" s="1"/>
  <c r="I202" i="22"/>
  <c r="D202" i="22" s="1"/>
  <c r="K202" i="22"/>
  <c r="G202" i="22" s="1"/>
  <c r="D200" i="29"/>
  <c r="E200" i="29"/>
  <c r="K199" i="21"/>
  <c r="G199" i="21" s="1"/>
  <c r="I199" i="21"/>
  <c r="J199" i="21"/>
  <c r="F199" i="21" s="1"/>
  <c r="E200" i="27"/>
  <c r="J201" i="27" s="1"/>
  <c r="F201" i="27" s="1"/>
  <c r="D200" i="27"/>
  <c r="J200" i="20"/>
  <c r="F200" i="20" s="1"/>
  <c r="K200" i="20"/>
  <c r="G200" i="20" s="1"/>
  <c r="D200" i="20"/>
  <c r="J198" i="1"/>
  <c r="F198" i="1" s="1"/>
  <c r="K198" i="1"/>
  <c r="G198" i="1" s="1"/>
  <c r="I201" i="24" l="1"/>
  <c r="D201" i="24" s="1"/>
  <c r="K201" i="24"/>
  <c r="G201" i="24" s="1"/>
  <c r="J201" i="24"/>
  <c r="F201" i="24" s="1"/>
  <c r="D199" i="26"/>
  <c r="E199" i="26"/>
  <c r="K201" i="28"/>
  <c r="G201" i="28" s="1"/>
  <c r="J201" i="28"/>
  <c r="F201" i="28" s="1"/>
  <c r="I201" i="28"/>
  <c r="D202" i="25"/>
  <c r="E202" i="25"/>
  <c r="J202" i="31"/>
  <c r="F202" i="31" s="1"/>
  <c r="K202" i="31"/>
  <c r="G202" i="31" s="1"/>
  <c r="E201" i="32"/>
  <c r="K202" i="32" s="1"/>
  <c r="G202" i="32" s="1"/>
  <c r="I199" i="23"/>
  <c r="D199" i="23" s="1"/>
  <c r="K199" i="23"/>
  <c r="G199" i="23" s="1"/>
  <c r="J199" i="23"/>
  <c r="F199" i="23" s="1"/>
  <c r="E202" i="22"/>
  <c r="J201" i="29"/>
  <c r="F201" i="29" s="1"/>
  <c r="K201" i="29"/>
  <c r="G201" i="29" s="1"/>
  <c r="I201" i="29"/>
  <c r="D199" i="21"/>
  <c r="E199" i="21"/>
  <c r="I201" i="27"/>
  <c r="K201" i="27"/>
  <c r="G201" i="27" s="1"/>
  <c r="E200" i="20"/>
  <c r="J201" i="20" s="1"/>
  <c r="F201" i="20" s="1"/>
  <c r="E198" i="1"/>
  <c r="I199" i="1" s="1"/>
  <c r="D199" i="1" s="1"/>
  <c r="E201" i="24" l="1"/>
  <c r="I200" i="26"/>
  <c r="J200" i="26"/>
  <c r="F200" i="26" s="1"/>
  <c r="K200" i="26"/>
  <c r="G200" i="26" s="1"/>
  <c r="D201" i="28"/>
  <c r="E201" i="28"/>
  <c r="J203" i="25"/>
  <c r="F203" i="25" s="1"/>
  <c r="K203" i="25"/>
  <c r="G203" i="25" s="1"/>
  <c r="I203" i="25"/>
  <c r="J202" i="32"/>
  <c r="F202" i="32" s="1"/>
  <c r="I202" i="32"/>
  <c r="D202" i="32" s="1"/>
  <c r="E202" i="31"/>
  <c r="J203" i="31" s="1"/>
  <c r="F203" i="31" s="1"/>
  <c r="E199" i="23"/>
  <c r="I203" i="22"/>
  <c r="J203" i="22"/>
  <c r="F203" i="22" s="1"/>
  <c r="K203" i="22"/>
  <c r="G203" i="22" s="1"/>
  <c r="E201" i="27"/>
  <c r="K202" i="27" s="1"/>
  <c r="G202" i="27" s="1"/>
  <c r="D201" i="29"/>
  <c r="E201" i="29"/>
  <c r="D201" i="27"/>
  <c r="K200" i="21"/>
  <c r="G200" i="21" s="1"/>
  <c r="J200" i="21"/>
  <c r="F200" i="21" s="1"/>
  <c r="I200" i="21"/>
  <c r="K201" i="20"/>
  <c r="G201" i="20" s="1"/>
  <c r="I201" i="20"/>
  <c r="D201" i="20" s="1"/>
  <c r="K199" i="1"/>
  <c r="G199" i="1" s="1"/>
  <c r="J199" i="1"/>
  <c r="F199" i="1" s="1"/>
  <c r="K202" i="24" l="1"/>
  <c r="G202" i="24" s="1"/>
  <c r="I202" i="24"/>
  <c r="D202" i="24" s="1"/>
  <c r="J202" i="24"/>
  <c r="F202" i="24" s="1"/>
  <c r="D200" i="26"/>
  <c r="E200" i="26"/>
  <c r="J202" i="28"/>
  <c r="F202" i="28" s="1"/>
  <c r="K202" i="28"/>
  <c r="G202" i="28" s="1"/>
  <c r="I202" i="28"/>
  <c r="D203" i="25"/>
  <c r="E203" i="25"/>
  <c r="E202" i="32"/>
  <c r="K203" i="32" s="1"/>
  <c r="G203" i="32" s="1"/>
  <c r="I203" i="31"/>
  <c r="D203" i="31" s="1"/>
  <c r="K203" i="31"/>
  <c r="G203" i="31" s="1"/>
  <c r="J202" i="27"/>
  <c r="F202" i="27" s="1"/>
  <c r="I200" i="23"/>
  <c r="D200" i="23" s="1"/>
  <c r="K200" i="23"/>
  <c r="G200" i="23" s="1"/>
  <c r="J200" i="23"/>
  <c r="F200" i="23" s="1"/>
  <c r="D203" i="22"/>
  <c r="E203" i="22"/>
  <c r="I202" i="27"/>
  <c r="E202" i="27" s="1"/>
  <c r="J203" i="27" s="1"/>
  <c r="F203" i="27" s="1"/>
  <c r="K202" i="29"/>
  <c r="G202" i="29" s="1"/>
  <c r="I202" i="29"/>
  <c r="J202" i="29"/>
  <c r="F202" i="29" s="1"/>
  <c r="D200" i="21"/>
  <c r="E200" i="21"/>
  <c r="E201" i="20"/>
  <c r="I202" i="20" s="1"/>
  <c r="E199" i="1"/>
  <c r="I200" i="1" s="1"/>
  <c r="D200" i="1" s="1"/>
  <c r="E202" i="24" l="1"/>
  <c r="K201" i="26"/>
  <c r="G201" i="26" s="1"/>
  <c r="J201" i="26"/>
  <c r="F201" i="26" s="1"/>
  <c r="I201" i="26"/>
  <c r="J203" i="32"/>
  <c r="F203" i="32" s="1"/>
  <c r="D202" i="28"/>
  <c r="E202" i="28"/>
  <c r="I203" i="32"/>
  <c r="D203" i="32" s="1"/>
  <c r="I204" i="25"/>
  <c r="D204" i="25" s="1"/>
  <c r="J204" i="25"/>
  <c r="K204" i="25"/>
  <c r="E203" i="31"/>
  <c r="J204" i="31" s="1"/>
  <c r="E200" i="23"/>
  <c r="J201" i="23" s="1"/>
  <c r="F201" i="23" s="1"/>
  <c r="D202" i="27"/>
  <c r="I203" i="27" s="1"/>
  <c r="D203" i="27" s="1"/>
  <c r="J204" i="22"/>
  <c r="I204" i="22"/>
  <c r="K204" i="22"/>
  <c r="K203" i="27"/>
  <c r="G203" i="27" s="1"/>
  <c r="D202" i="29"/>
  <c r="E202" i="29"/>
  <c r="K201" i="21"/>
  <c r="G201" i="21" s="1"/>
  <c r="J201" i="21"/>
  <c r="F201" i="21" s="1"/>
  <c r="I201" i="21"/>
  <c r="J202" i="20"/>
  <c r="F202" i="20" s="1"/>
  <c r="K202" i="20"/>
  <c r="G202" i="20" s="1"/>
  <c r="D202" i="20"/>
  <c r="K200" i="1"/>
  <c r="G200" i="1" s="1"/>
  <c r="J200" i="1"/>
  <c r="F200" i="1" s="1"/>
  <c r="J203" i="24" l="1"/>
  <c r="F203" i="24" s="1"/>
  <c r="K203" i="24"/>
  <c r="G203" i="24" s="1"/>
  <c r="I203" i="24"/>
  <c r="D203" i="24" s="1"/>
  <c r="K204" i="31"/>
  <c r="D201" i="26"/>
  <c r="E201" i="26"/>
  <c r="E203" i="32"/>
  <c r="K204" i="32" s="1"/>
  <c r="I204" i="31"/>
  <c r="I205" i="31" s="1"/>
  <c r="D9" i="33" s="1"/>
  <c r="I203" i="28"/>
  <c r="K203" i="28"/>
  <c r="G203" i="28" s="1"/>
  <c r="J203" i="28"/>
  <c r="F203" i="28" s="1"/>
  <c r="G204" i="25"/>
  <c r="N13" i="25"/>
  <c r="N20" i="25"/>
  <c r="F204" i="25"/>
  <c r="N12" i="25"/>
  <c r="N19" i="25"/>
  <c r="N18" i="25"/>
  <c r="I205" i="25"/>
  <c r="D13" i="33" s="1"/>
  <c r="E204" i="25"/>
  <c r="N18" i="31"/>
  <c r="F204" i="31"/>
  <c r="N19" i="31"/>
  <c r="N12" i="31"/>
  <c r="N13" i="31"/>
  <c r="G204" i="31"/>
  <c r="N20" i="31"/>
  <c r="I201" i="23"/>
  <c r="D201" i="23" s="1"/>
  <c r="K201" i="23"/>
  <c r="G201" i="23" s="1"/>
  <c r="G204" i="22"/>
  <c r="N20" i="22"/>
  <c r="N13" i="22"/>
  <c r="I205" i="22"/>
  <c r="D11" i="33" s="1"/>
  <c r="N18" i="22"/>
  <c r="N11" i="22"/>
  <c r="N14" i="22" s="1"/>
  <c r="D204" i="22"/>
  <c r="E204" i="22"/>
  <c r="N12" i="22"/>
  <c r="N19" i="22"/>
  <c r="F204" i="22"/>
  <c r="E203" i="27"/>
  <c r="K204" i="27" s="1"/>
  <c r="E202" i="20"/>
  <c r="I203" i="20" s="1"/>
  <c r="I203" i="29"/>
  <c r="J203" i="29"/>
  <c r="F203" i="29" s="1"/>
  <c r="K203" i="29"/>
  <c r="G203" i="29" s="1"/>
  <c r="D201" i="21"/>
  <c r="E201" i="21"/>
  <c r="E200" i="1"/>
  <c r="I201" i="1" s="1"/>
  <c r="D201" i="1" s="1"/>
  <c r="J204" i="32" l="1"/>
  <c r="E203" i="24"/>
  <c r="I204" i="32"/>
  <c r="E204" i="31"/>
  <c r="D204" i="31"/>
  <c r="K202" i="26"/>
  <c r="G202" i="26" s="1"/>
  <c r="I202" i="26"/>
  <c r="J202" i="26"/>
  <c r="F202" i="26" s="1"/>
  <c r="D203" i="28"/>
  <c r="E203" i="28"/>
  <c r="E205" i="25"/>
  <c r="N16" i="25"/>
  <c r="J204" i="27"/>
  <c r="N19" i="27" s="1"/>
  <c r="N16" i="31"/>
  <c r="E205" i="31"/>
  <c r="E201" i="23"/>
  <c r="K202" i="23" s="1"/>
  <c r="G202" i="23" s="1"/>
  <c r="J203" i="20"/>
  <c r="F203" i="20" s="1"/>
  <c r="N16" i="22"/>
  <c r="E205" i="22"/>
  <c r="K203" i="20"/>
  <c r="G203" i="20" s="1"/>
  <c r="I204" i="27"/>
  <c r="I205" i="27" s="1"/>
  <c r="D15" i="33" s="1"/>
  <c r="D203" i="29"/>
  <c r="E203" i="29"/>
  <c r="E204" i="32"/>
  <c r="N16" i="32" s="1"/>
  <c r="N12" i="32"/>
  <c r="F204" i="32"/>
  <c r="N19" i="32"/>
  <c r="N18" i="32"/>
  <c r="I205" i="32"/>
  <c r="D10" i="33" s="1"/>
  <c r="D204" i="32"/>
  <c r="N20" i="32"/>
  <c r="G204" i="32"/>
  <c r="N13" i="32"/>
  <c r="I202" i="21"/>
  <c r="J202" i="21"/>
  <c r="F202" i="21" s="1"/>
  <c r="K202" i="21"/>
  <c r="G202" i="21" s="1"/>
  <c r="N12" i="27"/>
  <c r="G204" i="27"/>
  <c r="N20" i="27"/>
  <c r="N13" i="27"/>
  <c r="K201" i="1"/>
  <c r="G201" i="1" s="1"/>
  <c r="D203" i="20"/>
  <c r="J201" i="1"/>
  <c r="F201" i="1" s="1"/>
  <c r="I204" i="24" l="1"/>
  <c r="J204" i="24"/>
  <c r="K204" i="24"/>
  <c r="I202" i="23"/>
  <c r="D202" i="23" s="1"/>
  <c r="D202" i="26"/>
  <c r="E202" i="26"/>
  <c r="J204" i="28"/>
  <c r="K204" i="28"/>
  <c r="I204" i="28"/>
  <c r="F204" i="27"/>
  <c r="J202" i="23"/>
  <c r="F202" i="23" s="1"/>
  <c r="N18" i="27"/>
  <c r="D204" i="27"/>
  <c r="E204" i="27"/>
  <c r="E205" i="27" s="1"/>
  <c r="E203" i="20"/>
  <c r="J204" i="20" s="1"/>
  <c r="E205" i="32"/>
  <c r="K204" i="29"/>
  <c r="J204" i="29"/>
  <c r="I204" i="29"/>
  <c r="D202" i="21"/>
  <c r="E202" i="21"/>
  <c r="N16" i="27"/>
  <c r="E201" i="1"/>
  <c r="K202" i="1" s="1"/>
  <c r="G202" i="1" s="1"/>
  <c r="E204" i="24" l="1"/>
  <c r="N16" i="24"/>
  <c r="E205" i="24"/>
  <c r="N20" i="24"/>
  <c r="N13" i="24"/>
  <c r="G204" i="24"/>
  <c r="N12" i="24"/>
  <c r="N19" i="24"/>
  <c r="F204" i="24"/>
  <c r="D204" i="24"/>
  <c r="I205" i="24"/>
  <c r="D14" i="33" s="1"/>
  <c r="N18" i="24"/>
  <c r="N11" i="24"/>
  <c r="N14" i="24" s="1"/>
  <c r="J203" i="26"/>
  <c r="F203" i="26" s="1"/>
  <c r="I203" i="26"/>
  <c r="K203" i="26"/>
  <c r="G203" i="26" s="1"/>
  <c r="E204" i="28"/>
  <c r="N18" i="28"/>
  <c r="D204" i="28"/>
  <c r="I205" i="28"/>
  <c r="D17" i="33" s="1"/>
  <c r="N13" i="28"/>
  <c r="G204" i="28"/>
  <c r="N20" i="28"/>
  <c r="N19" i="28"/>
  <c r="N12" i="28"/>
  <c r="F204" i="28"/>
  <c r="E202" i="23"/>
  <c r="I203" i="23" s="1"/>
  <c r="D203" i="23" s="1"/>
  <c r="I204" i="20"/>
  <c r="I205" i="20" s="1"/>
  <c r="D5" i="33" s="1"/>
  <c r="K204" i="20"/>
  <c r="G204" i="20" s="1"/>
  <c r="D204" i="29"/>
  <c r="N18" i="29"/>
  <c r="I205" i="29"/>
  <c r="D7" i="33" s="1"/>
  <c r="E204" i="29"/>
  <c r="N12" i="29"/>
  <c r="N19" i="29"/>
  <c r="F204" i="29"/>
  <c r="N13" i="29"/>
  <c r="G204" i="29"/>
  <c r="N20" i="29"/>
  <c r="K203" i="21"/>
  <c r="G203" i="21" s="1"/>
  <c r="J203" i="21"/>
  <c r="F203" i="21" s="1"/>
  <c r="I203" i="21"/>
  <c r="J202" i="1"/>
  <c r="F202" i="1" s="1"/>
  <c r="I202" i="1"/>
  <c r="D202" i="1" s="1"/>
  <c r="F204" i="20"/>
  <c r="N19" i="20"/>
  <c r="N12" i="20"/>
  <c r="D203" i="26" l="1"/>
  <c r="E203" i="26"/>
  <c r="N16" i="28"/>
  <c r="E205" i="28"/>
  <c r="J203" i="23"/>
  <c r="F203" i="23" s="1"/>
  <c r="K203" i="23"/>
  <c r="N13" i="20"/>
  <c r="N20" i="20"/>
  <c r="N18" i="20"/>
  <c r="E204" i="20"/>
  <c r="E205" i="20" s="1"/>
  <c r="N11" i="20"/>
  <c r="N14" i="20" s="1"/>
  <c r="D204" i="20"/>
  <c r="G203" i="23"/>
  <c r="N16" i="29"/>
  <c r="E205" i="29"/>
  <c r="D203" i="21"/>
  <c r="E203" i="21"/>
  <c r="E202" i="1"/>
  <c r="I203" i="1" s="1"/>
  <c r="D203" i="1" s="1"/>
  <c r="K204" i="26" l="1"/>
  <c r="I204" i="26"/>
  <c r="J204" i="26"/>
  <c r="E203" i="23"/>
  <c r="K204" i="23" s="1"/>
  <c r="N16" i="20"/>
  <c r="J204" i="21"/>
  <c r="I204" i="21"/>
  <c r="K204" i="21"/>
  <c r="J203" i="1"/>
  <c r="F203" i="1" s="1"/>
  <c r="K203" i="1"/>
  <c r="G203" i="1" s="1"/>
  <c r="D204" i="26" l="1"/>
  <c r="I205" i="26"/>
  <c r="D16" i="33" s="1"/>
  <c r="E204" i="26"/>
  <c r="N18" i="26"/>
  <c r="N19" i="26"/>
  <c r="F204" i="26"/>
  <c r="N12" i="26"/>
  <c r="G204" i="26"/>
  <c r="N13" i="26"/>
  <c r="N20" i="26"/>
  <c r="J204" i="23"/>
  <c r="N12" i="23" s="1"/>
  <c r="I204" i="23"/>
  <c r="E204" i="23" s="1"/>
  <c r="N19" i="23"/>
  <c r="N20" i="23"/>
  <c r="N13" i="23"/>
  <c r="G204" i="23"/>
  <c r="G204" i="21"/>
  <c r="N13" i="21"/>
  <c r="N20" i="21"/>
  <c r="I205" i="21"/>
  <c r="D6" i="33" s="1"/>
  <c r="N18" i="21"/>
  <c r="E204" i="21"/>
  <c r="N11" i="21"/>
  <c r="N14" i="21" s="1"/>
  <c r="D204" i="21"/>
  <c r="N12" i="21"/>
  <c r="N19" i="21"/>
  <c r="F204" i="21"/>
  <c r="E203" i="1"/>
  <c r="J204" i="1" s="1"/>
  <c r="F204" i="1" s="1"/>
  <c r="E205" i="26" l="1"/>
  <c r="N16" i="26"/>
  <c r="F204" i="23"/>
  <c r="E205" i="23"/>
  <c r="N16" i="23"/>
  <c r="I205" i="23"/>
  <c r="D12" i="33" s="1"/>
  <c r="N18" i="23"/>
  <c r="N11" i="23"/>
  <c r="N14" i="23" s="1"/>
  <c r="D204" i="23"/>
  <c r="N19" i="1"/>
  <c r="N12" i="1"/>
  <c r="N16" i="21"/>
  <c r="E205" i="21"/>
  <c r="K204" i="1"/>
  <c r="G204" i="1" s="1"/>
  <c r="I204" i="1"/>
  <c r="N18" i="1"/>
  <c r="I205" i="1"/>
  <c r="D4" i="33" s="1"/>
  <c r="N13" i="1"/>
  <c r="N11" i="1"/>
  <c r="N14" i="1" s="1"/>
  <c r="D204" i="1"/>
  <c r="E204" i="1" l="1"/>
  <c r="E205" i="1" s="1"/>
  <c r="N20" i="1"/>
  <c r="N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DB7307-1726-4F31-A9AB-F9277560516D}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59088FB-95E7-4983-8E14-C5193AFAC4B5}" name="WorksheetConnection_Tabla13" type="102" refreshedVersion="6" minRefreshableVersion="5">
    <extLst>
      <ext xmlns:x15="http://schemas.microsoft.com/office/spreadsheetml/2010/11/main" uri="{DE250136-89BD-433C-8126-D09CA5730AF9}">
        <x15:connection id="Tabla13">
          <x15:rangePr sourceName="_xlcn.WorksheetConnection_Tabla131"/>
        </x15:connection>
      </ext>
    </extLst>
  </connection>
</connections>
</file>

<file path=xl/sharedStrings.xml><?xml version="1.0" encoding="utf-8"?>
<sst xmlns="http://schemas.openxmlformats.org/spreadsheetml/2006/main" count="391" uniqueCount="47">
  <si>
    <t>Periodo</t>
  </si>
  <si>
    <t>Susceptibles</t>
  </si>
  <si>
    <t>Infectados</t>
  </si>
  <si>
    <t>Recuperados</t>
  </si>
  <si>
    <t>Fallecidos</t>
  </si>
  <si>
    <t>#</t>
  </si>
  <si>
    <t>Contagios</t>
  </si>
  <si>
    <t>Duracion Media de la Enfermedad</t>
  </si>
  <si>
    <t>Tasa diaria de interaccion</t>
  </si>
  <si>
    <t>Probabilidad de Contagio</t>
  </si>
  <si>
    <t>Tasa de Recuperacion</t>
  </si>
  <si>
    <t xml:space="preserve">Mortalidad </t>
  </si>
  <si>
    <t>Poblacion Total Contagiada</t>
  </si>
  <si>
    <t>Poblacion Total Recuperda</t>
  </si>
  <si>
    <t>Poblacion Total Fallecida</t>
  </si>
  <si>
    <t>Poblacion No Afectada</t>
  </si>
  <si>
    <t>Max. Poblacion Infectada Simultaneamente</t>
  </si>
  <si>
    <t>Max. Contagios Diarios</t>
  </si>
  <si>
    <t>Max Recuperaciones Diarias</t>
  </si>
  <si>
    <t>Max. Fallecimientos Diarios</t>
  </si>
  <si>
    <t>Poblacion del Departamento N</t>
  </si>
  <si>
    <t>f</t>
  </si>
  <si>
    <t>β</t>
  </si>
  <si>
    <t>λ</t>
  </si>
  <si>
    <t>α</t>
  </si>
  <si>
    <t>μ</t>
  </si>
  <si>
    <t>Poblacion</t>
  </si>
  <si>
    <t>Diario</t>
  </si>
  <si>
    <t>El Salvador</t>
  </si>
  <si>
    <t>Santa Ana</t>
  </si>
  <si>
    <t>Sonsonate</t>
  </si>
  <si>
    <t>Usulutan</t>
  </si>
  <si>
    <t>San Miguel</t>
  </si>
  <si>
    <t>Morazan</t>
  </si>
  <si>
    <t>La Union</t>
  </si>
  <si>
    <t>La Libertad</t>
  </si>
  <si>
    <t>Chalatenango</t>
  </si>
  <si>
    <t>Cuscatlan</t>
  </si>
  <si>
    <t>San Salvador</t>
  </si>
  <si>
    <t>La Paz</t>
  </si>
  <si>
    <t>Cabañas</t>
  </si>
  <si>
    <t>San Vicente</t>
  </si>
  <si>
    <t>Pais</t>
  </si>
  <si>
    <t>Depto</t>
  </si>
  <si>
    <t>Ahuachapan</t>
  </si>
  <si>
    <t>Contagiados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</si>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</sst>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_€_-;\-* #,##0.00\ _€_-;_-* &quot;-&quot;??\ _€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7">
    <xf numFmtId="0" fontId="0" fillId="0" borderId="0" xfId="0"/>
    <xf numFmtId="14" fontId="0" fillId="0" borderId="0" xfId="0" applyNumberFormat="1"/>
    <xf numFmtId="0" fontId="0" fillId="0" borderId="1" xfId="0" applyBorder="1" applyAlignment="1">
      <alignment horizontal="left" vertical="center"/>
    </xf>
    <xf numFmtId="2" fontId="0" fillId="0" borderId="1" xfId="1" applyNumberFormat="1" applyFont="1" applyBorder="1" applyAlignment="1">
      <alignment horizontal="right" vertical="center"/>
    </xf>
    <xf numFmtId="10" fontId="0" fillId="0" borderId="1" xfId="0" applyNumberFormat="1" applyBorder="1" applyAlignment="1">
      <alignment horizontal="right" vertical="center"/>
    </xf>
    <xf numFmtId="10" fontId="0" fillId="0" borderId="1" xfId="0" applyNumberFormat="1" applyBorder="1"/>
    <xf numFmtId="0" fontId="0" fillId="0" borderId="0" xfId="0" applyAlignment="1">
      <alignment horizontal="center" vertical="center"/>
    </xf>
    <xf numFmtId="3" fontId="0" fillId="0" borderId="1" xfId="0" applyNumberFormat="1" applyBorder="1"/>
    <xf numFmtId="3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 vertical="center"/>
    </xf>
    <xf numFmtId="14" fontId="0" fillId="0" borderId="1" xfId="0" applyNumberFormat="1" applyBorder="1"/>
    <xf numFmtId="1" fontId="0" fillId="0" borderId="1" xfId="0" applyNumberFormat="1" applyBorder="1"/>
    <xf numFmtId="14" fontId="0" fillId="2" borderId="1" xfId="0" applyNumberFormat="1" applyFill="1" applyBorder="1"/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/>
    <xf numFmtId="0" fontId="0" fillId="0" borderId="1" xfId="0" applyBorder="1" applyAlignment="1">
      <alignment horizontal="left"/>
    </xf>
    <xf numFmtId="0" fontId="2" fillId="3" borderId="2" xfId="0" applyFont="1" applyFill="1" applyBorder="1"/>
    <xf numFmtId="1" fontId="0" fillId="0" borderId="1" xfId="0" applyNumberFormat="1" applyBorder="1" applyAlignment="1">
      <alignment horizontal="right" vertical="center"/>
    </xf>
    <xf numFmtId="0" fontId="0" fillId="0" borderId="6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1" xfId="0" applyNumberFormat="1" applyFill="1" applyBorder="1"/>
    <xf numFmtId="1" fontId="0" fillId="0" borderId="0" xfId="0" applyNumberFormat="1"/>
    <xf numFmtId="0" fontId="0" fillId="0" borderId="7" xfId="0" applyBorder="1"/>
    <xf numFmtId="0" fontId="0" fillId="2" borderId="1" xfId="0" applyFill="1" applyBorder="1"/>
    <xf numFmtId="0" fontId="0" fillId="0" borderId="8" xfId="0" applyBorder="1"/>
    <xf numFmtId="0" fontId="0" fillId="2" borderId="8" xfId="0" applyFill="1" applyBorder="1"/>
    <xf numFmtId="0" fontId="0" fillId="0" borderId="0" xfId="0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" fontId="0" fillId="0" borderId="1" xfId="0" applyNumberFormat="1" applyBorder="1" applyAlignment="1">
      <alignment horizontal="center" vertical="center"/>
    </xf>
    <xf numFmtId="0" fontId="0" fillId="0" borderId="0" xfId="0" applyBorder="1"/>
    <xf numFmtId="1" fontId="0" fillId="0" borderId="0" xfId="0" applyNumberFormat="1" applyBorder="1"/>
    <xf numFmtId="1" fontId="0" fillId="0" borderId="8" xfId="0" applyNumberFormat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2">
    <cellStyle name="Millares" xfId="1" builtinId="3"/>
    <cellStyle name="Normal" xfId="0" builtinId="0"/>
  </cellStyles>
  <dxfs count="4"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/>
              <a:t>Ahuchapan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Ahuchapan!$I$3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Pt>
            <c:idx val="52"/>
            <c:marker>
              <c:symbol val="circle"/>
              <c:size val="5"/>
              <c:spPr>
                <a:solidFill>
                  <a:schemeClr val="accent1"/>
                </a:solidFill>
                <a:ln cap="flat">
                  <a:solidFill>
                    <a:schemeClr val="tx1">
                      <a:lumMod val="15000"/>
                      <a:lumOff val="85000"/>
                    </a:schemeClr>
                  </a:solidFill>
                </a:ln>
                <a:effectLst>
                  <a:glow rad="63500">
                    <a:schemeClr val="accent1">
                      <a:satMod val="175000"/>
                      <a:alpha val="25000"/>
                    </a:schemeClr>
                  </a:glo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DABB-4367-90D4-4D0E3FC4BAA0}"/>
              </c:ext>
            </c:extLst>
          </c:dPt>
          <c:cat>
            <c:strRef>
              <c:f>Ahuchapan!$C$3:$C$204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Ahuchapan!$I$4:$I$204</c:f>
              <c:numCache>
                <c:formatCode>0</c:formatCode>
                <c:ptCount val="201"/>
                <c:pt idx="1">
                  <c:v>0.13199958685963242</c:v>
                </c:pt>
                <c:pt idx="2">
                  <c:v>0.14502343331133957</c:v>
                </c:pt>
                <c:pt idx="3">
                  <c:v>0.15933227414805731</c:v>
                </c:pt>
                <c:pt idx="4">
                  <c:v>0.1750528901031693</c:v>
                </c:pt>
                <c:pt idx="5">
                  <c:v>0.1923245698112592</c:v>
                </c:pt>
                <c:pt idx="6">
                  <c:v>0.2113003436851012</c:v>
                </c:pt>
                <c:pt idx="7">
                  <c:v>0.2321483394861612</c:v>
                </c:pt>
                <c:pt idx="8">
                  <c:v>0.25505327158553426</c:v>
                </c:pt>
                <c:pt idx="9">
                  <c:v>0.28021807709383711</c:v>
                </c:pt>
                <c:pt idx="10">
                  <c:v>0.30786571333630952</c:v>
                </c:pt>
                <c:pt idx="11">
                  <c:v>0.33824113257463345</c:v>
                </c:pt>
                <c:pt idx="12">
                  <c:v>0.37161345144222341</c:v>
                </c:pt>
                <c:pt idx="13">
                  <c:v>0.40827833427865584</c:v>
                </c:pt>
                <c:pt idx="14">
                  <c:v>0.44856061143649045</c:v>
                </c:pt>
                <c:pt idx="15">
                  <c:v>0.4928171557064529</c:v>
                </c:pt>
                <c:pt idx="16">
                  <c:v>0.54144004228281306</c:v>
                </c:pt>
                <c:pt idx="17">
                  <c:v>0.59486002018959339</c:v>
                </c:pt>
                <c:pt idx="18">
                  <c:v>0.65355032583161532</c:v>
                </c:pt>
                <c:pt idx="19">
                  <c:v>0.71803087234607499</c:v>
                </c:pt>
                <c:pt idx="20">
                  <c:v>0.78887285173632093</c:v>
                </c:pt>
                <c:pt idx="21">
                  <c:v>0.86670379039820944</c:v>
                </c:pt>
                <c:pt idx="22">
                  <c:v>0.95221310263198611</c:v>
                </c:pt>
                <c:pt idx="23">
                  <c:v>1.0461581911031304</c:v>
                </c:pt>
                <c:pt idx="24">
                  <c:v>1.1493711480112274</c:v>
                </c:pt>
                <c:pt idx="25">
                  <c:v>1.2627661159874097</c:v>
                </c:pt>
                <c:pt idx="26">
                  <c:v>1.3873473735126591</c:v>
                </c:pt>
                <c:pt idx="27">
                  <c:v>1.5242182159798257</c:v>
                </c:pt>
                <c:pt idx="28">
                  <c:v>1.6745907104645077</c:v>
                </c:pt>
                <c:pt idx="29">
                  <c:v>1.8397964098816559</c:v>
                </c:pt>
                <c:pt idx="30">
                  <c:v>2.0212981205487459</c:v>
                </c:pt>
                <c:pt idx="31">
                  <c:v>2.2207028263209621</c:v>
                </c:pt>
                <c:pt idx="32">
                  <c:v>2.4397758824834268</c:v>
                </c:pt>
                <c:pt idx="33">
                  <c:v>2.6804566035606849</c:v>
                </c:pt>
                <c:pt idx="34">
                  <c:v>2.944875381221995</c:v>
                </c:pt>
                <c:pt idx="35">
                  <c:v>3.2353724816171425</c:v>
                </c:pt>
                <c:pt idx="36">
                  <c:v>3.5545186858738083</c:v>
                </c:pt>
                <c:pt idx="37">
                  <c:v>3.9051379532345352</c:v>
                </c:pt>
                <c:pt idx="38">
                  <c:v>4.2903323035277392</c:v>
                </c:pt>
                <c:pt idx="39">
                  <c:v>4.7135091344807822</c:v>
                </c:pt>
                <c:pt idx="40">
                  <c:v>5.178411209930359</c:v>
                </c:pt>
                <c:pt idx="41">
                  <c:v>5.6891495774123095</c:v>
                </c:pt>
                <c:pt idx="42">
                  <c:v>6.2502396980743127</c:v>
                </c:pt>
                <c:pt idx="43">
                  <c:v>6.8666410985149922</c:v>
                </c:pt>
                <c:pt idx="44">
                  <c:v>7.5438008831843533</c:v>
                </c:pt>
                <c:pt idx="45">
                  <c:v>8.2877014775639193</c:v>
                </c:pt>
                <c:pt idx="46">
                  <c:v>9.1049130066682924</c:v>
                </c:pt>
                <c:pt idx="47">
                  <c:v>10.002650750665786</c:v>
                </c:pt>
                <c:pt idx="48">
                  <c:v>10.988838159801171</c:v>
                </c:pt>
                <c:pt idx="49">
                  <c:v>12.072175954514444</c:v>
                </c:pt>
                <c:pt idx="50">
                  <c:v>13.262217883880213</c:v>
                </c:pt>
                <c:pt idx="51">
                  <c:v>14.569453766426633</c:v>
                </c:pt>
                <c:pt idx="52">
                  <c:v>16.005400492202533</c:v>
                </c:pt>
                <c:pt idx="53">
                  <c:v>17.582701723793104</c:v>
                </c:pt>
                <c:pt idx="54">
                  <c:v>19.315237096954135</c:v>
                </c:pt>
                <c:pt idx="55">
                  <c:v>21.218241788711296</c:v>
                </c:pt>
                <c:pt idx="56">
                  <c:v>23.30843739216326</c:v>
                </c:pt>
                <c:pt idx="57">
                  <c:v>25.604175112763258</c:v>
                </c:pt>
                <c:pt idx="58">
                  <c:v>28.125592380356707</c:v>
                </c:pt>
                <c:pt idx="59">
                  <c:v>30.894784054412725</c:v>
                </c:pt>
                <c:pt idx="60">
                  <c:v>33.935989486224862</c:v>
                </c:pt>
                <c:pt idx="61">
                  <c:v>37.275796790679905</c:v>
                </c:pt>
                <c:pt idx="62">
                  <c:v>40.943365770545611</c:v>
                </c:pt>
                <c:pt idx="63">
                  <c:v>44.970671026822401</c:v>
                </c:pt>
                <c:pt idx="64">
                  <c:v>49.392766877852715</c:v>
                </c:pt>
                <c:pt idx="65">
                  <c:v>54.24807579539695</c:v>
                </c:pt>
                <c:pt idx="66">
                  <c:v>59.578702144980035</c:v>
                </c:pt>
                <c:pt idx="67">
                  <c:v>65.430773086963853</c:v>
                </c:pt>
                <c:pt idx="68">
                  <c:v>71.85480854960187</c:v>
                </c:pt>
                <c:pt idx="69">
                  <c:v>78.906122220309143</c:v>
                </c:pt>
                <c:pt idx="70">
                  <c:v>86.64525550978567</c:v>
                </c:pt>
                <c:pt idx="71">
                  <c:v>95.138446417192583</c:v>
                </c:pt>
                <c:pt idx="72">
                  <c:v>104.45813515322017</c:v>
                </c:pt>
                <c:pt idx="73">
                  <c:v>114.68350824939748</c:v>
                </c:pt>
                <c:pt idx="74">
                  <c:v>125.90108268164906</c:v>
                </c:pt>
                <c:pt idx="75">
                  <c:v>138.20533124626499</c:v>
                </c:pt>
                <c:pt idx="76">
                  <c:v>151.69935002605618</c:v>
                </c:pt>
                <c:pt idx="77">
                  <c:v>166.49556824855381</c:v>
                </c:pt>
                <c:pt idx="78">
                  <c:v>182.71650013721697</c:v>
                </c:pt>
                <c:pt idx="79">
                  <c:v>200.49553745621176</c:v>
                </c:pt>
                <c:pt idx="80">
                  <c:v>219.97778030919719</c:v>
                </c:pt>
                <c:pt idx="81">
                  <c:v>241.32090232621479</c:v>
                </c:pt>
                <c:pt idx="82">
                  <c:v>264.69604460693807</c:v>
                </c:pt>
                <c:pt idx="83">
                  <c:v>290.28873062267184</c:v>
                </c:pt>
                <c:pt idx="84">
                  <c:v>318.29979164566555</c:v>
                </c:pt>
                <c:pt idx="85">
                  <c:v>348.94628909723986</c:v>
                </c:pt>
                <c:pt idx="86">
                  <c:v>382.4624164039019</c:v>
                </c:pt>
                <c:pt idx="87">
                  <c:v>419.10035843552504</c:v>
                </c:pt>
                <c:pt idx="88">
                  <c:v>459.13108128093353</c:v>
                </c:pt>
                <c:pt idx="89">
                  <c:v>502.84501890310162</c:v>
                </c:pt>
                <c:pt idx="90">
                  <c:v>550.552616023052</c:v>
                </c:pt>
                <c:pt idx="91">
                  <c:v>602.58467833517113</c:v>
                </c:pt>
                <c:pt idx="92">
                  <c:v>659.2924718060483</c:v>
                </c:pt>
                <c:pt idx="93">
                  <c:v>721.04750233858806</c:v>
                </c:pt>
                <c:pt idx="94">
                  <c:v>788.24089553023271</c:v>
                </c:pt>
                <c:pt idx="95">
                  <c:v>861.2822837306752</c:v>
                </c:pt>
                <c:pt idx="96">
                  <c:v>940.59809432454824</c:v>
                </c:pt>
                <c:pt idx="97">
                  <c:v>1026.6291194778892</c:v>
                </c:pt>
                <c:pt idx="98">
                  <c:v>1119.8272340180672</c:v>
                </c:pt>
                <c:pt idx="99">
                  <c:v>1220.651115409363</c:v>
                </c:pt>
                <c:pt idx="100">
                  <c:v>1329.560808953212</c:v>
                </c:pt>
                <c:pt idx="101">
                  <c:v>1447.0109737151618</c:v>
                </c:pt>
                <c:pt idx="102">
                  <c:v>1573.4426419582865</c:v>
                </c:pt>
                <c:pt idx="103">
                  <c:v>1709.2733291474422</c:v>
                </c:pt>
                <c:pt idx="104">
                  <c:v>1854.8853454034318</c:v>
                </c:pt>
                <c:pt idx="105">
                  <c:v>2010.6121855582344</c:v>
                </c:pt>
                <c:pt idx="106">
                  <c:v>2176.7229169552038</c:v>
                </c:pt>
                <c:pt idx="107">
                  <c:v>2353.4045453106382</c:v>
                </c:pt>
                <c:pt idx="108">
                  <c:v>2540.7424227235756</c:v>
                </c:pt>
                <c:pt idx="109">
                  <c:v>2738.6988713100768</c:v>
                </c:pt>
                <c:pt idx="110">
                  <c:v>2947.090333074168</c:v>
                </c:pt>
                <c:pt idx="111">
                  <c:v>3165.5635220971062</c:v>
                </c:pt>
                <c:pt idx="112">
                  <c:v>3393.5712471883862</c:v>
                </c:pt>
                <c:pt idx="113">
                  <c:v>3630.3487868325974</c:v>
                </c:pt>
                <c:pt idx="114">
                  <c:v>3874.8919244816125</c:v>
                </c:pt>
                <c:pt idx="115">
                  <c:v>4125.9379769195803</c:v>
                </c:pt>
                <c:pt idx="116">
                  <c:v>4381.9513520220771</c:v>
                </c:pt>
                <c:pt idx="117">
                  <c:v>4641.1153297105857</c:v>
                </c:pt>
                <c:pt idx="118">
                  <c:v>4901.3318415615977</c:v>
                </c:pt>
                <c:pt idx="119">
                  <c:v>5160.2309978552912</c:v>
                </c:pt>
                <c:pt idx="120">
                  <c:v>5415.1919436698827</c:v>
                </c:pt>
                <c:pt idx="121">
                  <c:v>5663.3762905574586</c:v>
                </c:pt>
                <c:pt idx="122">
                  <c:v>5901.7748503094699</c:v>
                </c:pt>
                <c:pt idx="123">
                  <c:v>6127.2676916625787</c:v>
                </c:pt>
                <c:pt idx="124">
                  <c:v>6336.6966709088565</c:v>
                </c:pt>
                <c:pt idx="125">
                  <c:v>6526.9486007645392</c:v>
                </c:pt>
                <c:pt idx="126">
                  <c:v>6695.0461930974716</c:v>
                </c:pt>
                <c:pt idx="127">
                  <c:v>6838.2429384796978</c:v>
                </c:pt>
                <c:pt idx="128">
                  <c:v>6954.1172824642481</c:v>
                </c:pt>
                <c:pt idx="129">
                  <c:v>7040.6609401322348</c:v>
                </c:pt>
                <c:pt idx="130">
                  <c:v>7096.3560565751031</c:v>
                </c:pt>
                <c:pt idx="131">
                  <c:v>7120.236237813574</c:v>
                </c:pt>
                <c:pt idx="132">
                  <c:v>7111.9272612919031</c:v>
                </c:pt>
                <c:pt idx="133">
                  <c:v>7071.6644859659227</c:v>
                </c:pt>
                <c:pt idx="134">
                  <c:v>7000.2855185969738</c:v>
                </c:pt>
                <c:pt idx="135">
                  <c:v>6899.198405802983</c:v>
                </c:pt>
                <c:pt idx="136">
                  <c:v>6770.3273321260976</c:v>
                </c:pt>
                <c:pt idx="137">
                  <c:v>6616.0393309411929</c:v>
                </c:pt>
                <c:pt idx="138">
                  <c:v>6439.0566993946559</c:v>
                </c:pt>
                <c:pt idx="139">
                  <c:v>6242.3605396340072</c:v>
                </c:pt>
                <c:pt idx="140">
                  <c:v>6029.0910767413416</c:v>
                </c:pt>
                <c:pt idx="141">
                  <c:v>5802.4501442700466</c:v>
                </c:pt>
                <c:pt idx="142">
                  <c:v>5565.6105536123587</c:v>
                </c:pt>
                <c:pt idx="143">
                  <c:v>5321.6360871430479</c:v>
                </c:pt>
                <c:pt idx="144">
                  <c:v>5073.4147109707947</c:v>
                </c:pt>
                <c:pt idx="145">
                  <c:v>4823.6064242086022</c:v>
                </c:pt>
                <c:pt idx="146">
                  <c:v>4574.6060628162631</c:v>
                </c:pt>
                <c:pt idx="147">
                  <c:v>4328.5204425307347</c:v>
                </c:pt>
                <c:pt idx="148">
                  <c:v>4087.1585080621089</c:v>
                </c:pt>
                <c:pt idx="149">
                  <c:v>3852.0326723021381</c:v>
                </c:pt>
                <c:pt idx="150">
                  <c:v>3624.3692698672535</c:v>
                </c:pt>
                <c:pt idx="151">
                  <c:v>3405.1259842854683</c:v>
                </c:pt>
                <c:pt idx="152">
                  <c:v>3195.014196674676</c:v>
                </c:pt>
                <c:pt idx="153">
                  <c:v>2994.5244012492512</c:v>
                </c:pt>
                <c:pt idx="154">
                  <c:v>2803.9530969122029</c:v>
                </c:pt>
                <c:pt idx="155">
                  <c:v>2623.4298579184901</c:v>
                </c:pt>
                <c:pt idx="156">
                  <c:v>2452.9435813463961</c:v>
                </c:pt>
                <c:pt idx="157">
                  <c:v>2292.3671843675334</c:v>
                </c:pt>
                <c:pt idx="158">
                  <c:v>2141.4802671779712</c:v>
                </c:pt>
                <c:pt idx="159">
                  <c:v>1999.9894614546531</c:v>
                </c:pt>
                <c:pt idx="160">
                  <c:v>1867.5463477538049</c:v>
                </c:pt>
                <c:pt idx="161">
                  <c:v>1743.7629502308534</c:v>
                </c:pt>
                <c:pt idx="162">
                  <c:v>1628.2249074377362</c:v>
                </c:pt>
                <c:pt idx="163">
                  <c:v>1520.5024788484691</c:v>
                </c:pt>
                <c:pt idx="164">
                  <c:v>1420.1595836120061</c:v>
                </c:pt>
                <c:pt idx="165">
                  <c:v>1326.761086071441</c:v>
                </c:pt>
                <c:pt idx="166">
                  <c:v>1239.8785465444676</c:v>
                </c:pt>
                <c:pt idx="167">
                  <c:v>1159.0946497802429</c:v>
                </c:pt>
                <c:pt idx="168">
                  <c:v>1084.0065107178502</c:v>
                </c:pt>
                <c:pt idx="169">
                  <c:v>1014.2280403001453</c:v>
                </c:pt>
                <c:pt idx="170">
                  <c:v>949.39153514525094</c:v>
                </c:pt>
                <c:pt idx="171">
                  <c:v>889.14863531081846</c:v>
                </c:pt>
                <c:pt idx="172">
                  <c:v>833.17077522643342</c:v>
                </c:pt>
                <c:pt idx="173">
                  <c:v>781.14923479009292</c:v>
                </c:pt>
                <c:pt idx="174">
                  <c:v>732.79488102985442</c:v>
                </c:pt>
                <c:pt idx="175">
                  <c:v>687.8376758265706</c:v>
                </c:pt>
                <c:pt idx="176">
                  <c:v>646.02601204074847</c:v>
                </c:pt>
                <c:pt idx="177">
                  <c:v>607.12592895134253</c:v>
                </c:pt>
                <c:pt idx="178">
                  <c:v>570.92024809931604</c:v>
                </c:pt>
                <c:pt idx="179">
                  <c:v>537.20766229996048</c:v>
                </c:pt>
                <c:pt idx="180">
                  <c:v>505.80180359297452</c:v>
                </c:pt>
                <c:pt idx="181">
                  <c:v>476.53031008101283</c:v>
                </c:pt>
                <c:pt idx="182">
                  <c:v>449.23390681231547</c:v>
                </c:pt>
                <c:pt idx="183">
                  <c:v>423.765511946966</c:v>
                </c:pt>
                <c:pt idx="184">
                  <c:v>399.98937627745897</c:v>
                </c:pt>
                <c:pt idx="185">
                  <c:v>377.78026163458554</c:v>
                </c:pt>
                <c:pt idx="186">
                  <c:v>357.02266169530111</c:v>
                </c:pt>
                <c:pt idx="187">
                  <c:v>337.61006712998284</c:v>
                </c:pt>
                <c:pt idx="188">
                  <c:v>319.44427580489645</c:v>
                </c:pt>
                <c:pt idx="189">
                  <c:v>302.43474782589004</c:v>
                </c:pt>
                <c:pt idx="190">
                  <c:v>286.49800451585605</c:v>
                </c:pt>
                <c:pt idx="191">
                  <c:v>271.55706991490973</c:v>
                </c:pt>
                <c:pt idx="192">
                  <c:v>257.54095303998827</c:v>
                </c:pt>
                <c:pt idx="193">
                  <c:v>244.3841689078827</c:v>
                </c:pt>
                <c:pt idx="194">
                  <c:v>232.02629618648285</c:v>
                </c:pt>
                <c:pt idx="195">
                  <c:v>220.41156927202525</c:v>
                </c:pt>
                <c:pt idx="196">
                  <c:v>209.48850257815013</c:v>
                </c:pt>
                <c:pt idx="197">
                  <c:v>199.20954485178083</c:v>
                </c:pt>
                <c:pt idx="198">
                  <c:v>189.53076139013541</c:v>
                </c:pt>
                <c:pt idx="199">
                  <c:v>180.41154211381442</c:v>
                </c:pt>
                <c:pt idx="200">
                  <c:v>171.81433354593108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BB-4367-90D4-4D0E3FC4BAA0}"/>
            </c:ext>
          </c:extLst>
        </c:ser>
        <c:ser>
          <c:idx val="1"/>
          <c:order val="1"/>
          <c:tx>
            <c:strRef>
              <c:f>Ahuchapan!$J$3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diamond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cat>
            <c:strRef>
              <c:f>Ahuchapan!$C$3:$C$204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Ahuchapan!$J$4:$J$204</c:f>
              <c:numCache>
                <c:formatCode>0</c:formatCode>
                <c:ptCount val="201"/>
                <c:pt idx="1">
                  <c:v>2.9666666666666664E-2</c:v>
                </c:pt>
                <c:pt idx="2">
                  <c:v>3.2593765521280203E-2</c:v>
                </c:pt>
                <c:pt idx="3">
                  <c:v>3.5809668525473931E-2</c:v>
                </c:pt>
                <c:pt idx="4">
                  <c:v>3.9342870374350504E-2</c:v>
                </c:pt>
                <c:pt idx="5">
                  <c:v>4.322467710159951E-2</c:v>
                </c:pt>
                <c:pt idx="6">
                  <c:v>4.7489483435946875E-2</c:v>
                </c:pt>
                <c:pt idx="7">
                  <c:v>5.2175077517406659E-2</c:v>
                </c:pt>
                <c:pt idx="8">
                  <c:v>5.7322975671582552E-2</c:v>
                </c:pt>
                <c:pt idx="9">
                  <c:v>6.2978790206233981E-2</c:v>
                </c:pt>
                <c:pt idx="10">
                  <c:v>6.9192633486476696E-2</c:v>
                </c:pt>
                <c:pt idx="11">
                  <c:v>7.6019561865904653E-2</c:v>
                </c:pt>
                <c:pt idx="12">
                  <c:v>8.352006340342194E-2</c:v>
                </c:pt>
                <c:pt idx="13">
                  <c:v>9.1760593682760516E-2</c:v>
                </c:pt>
                <c:pt idx="14">
                  <c:v>0.10081416447693529</c:v>
                </c:pt>
                <c:pt idx="15">
                  <c:v>0.11076099046698666</c:v>
                </c:pt>
                <c:pt idx="16">
                  <c:v>0.12168919973737855</c:v>
                </c:pt>
                <c:pt idx="17">
                  <c:v>0.13369561433385604</c:v>
                </c:pt>
                <c:pt idx="18">
                  <c:v>0.14688660778835208</c:v>
                </c:pt>
                <c:pt idx="19">
                  <c:v>0.16137904719507828</c:v>
                </c:pt>
                <c:pt idx="20">
                  <c:v>0.17730132816817593</c:v>
                </c:pt>
                <c:pt idx="21">
                  <c:v>0.19479451183074756</c:v>
                </c:pt>
                <c:pt idx="22">
                  <c:v>0.21401357388486952</c:v>
                </c:pt>
                <c:pt idx="23">
                  <c:v>0.23512877680012279</c:v>
                </c:pt>
                <c:pt idx="24">
                  <c:v>0.25832717724284493</c:v>
                </c:pt>
                <c:pt idx="25">
                  <c:v>0.2838142820590831</c:v>
                </c:pt>
                <c:pt idx="26">
                  <c:v>0.31181586743140682</c:v>
                </c:pt>
                <c:pt idx="27">
                  <c:v>0.34257997726456879</c:v>
                </c:pt>
                <c:pt idx="28">
                  <c:v>0.37637911842981797</c:v>
                </c:pt>
                <c:pt idx="29">
                  <c:v>0.41351267222593779</c:v>
                </c:pt>
                <c:pt idx="30">
                  <c:v>0.45430954331156226</c:v>
                </c:pt>
                <c:pt idx="31">
                  <c:v>0.499131069444123</c:v>
                </c:pt>
                <c:pt idx="32">
                  <c:v>0.54837421764350747</c:v>
                </c:pt>
                <c:pt idx="33">
                  <c:v>0.60247509490239892</c:v>
                </c:pt>
                <c:pt idx="34">
                  <c:v>0.66191280431128585</c:v>
                </c:pt>
                <c:pt idx="35">
                  <c:v>0.72721368047716217</c:v>
                </c:pt>
                <c:pt idx="36">
                  <c:v>0.79895594141589865</c:v>
                </c:pt>
                <c:pt idx="37">
                  <c:v>0.87777479771629163</c:v>
                </c:pt>
                <c:pt idx="38">
                  <c:v>0.96436806373837325</c:v>
                </c:pt>
                <c:pt idx="39">
                  <c:v>1.0595023199517504</c:v>
                </c:pt>
                <c:pt idx="40">
                  <c:v>1.1640196802762885</c:v>
                </c:pt>
                <c:pt idx="41">
                  <c:v>1.2788452234950127</c:v>
                </c:pt>
                <c:pt idx="42">
                  <c:v>1.4049951535084106</c:v>
                </c:pt>
                <c:pt idx="43">
                  <c:v>1.543585759434335</c:v>
                </c:pt>
                <c:pt idx="44">
                  <c:v>1.6958432533758019</c:v>
                </c:pt>
                <c:pt idx="45">
                  <c:v>1.8631145711310777</c:v>
                </c:pt>
                <c:pt idx="46">
                  <c:v>2.0468792292611044</c:v>
                </c:pt>
                <c:pt idx="47">
                  <c:v>2.248762340816894</c:v>
                </c:pt>
                <c:pt idx="48">
                  <c:v>2.4705489017260822</c:v>
                </c:pt>
                <c:pt idx="49">
                  <c:v>2.7141994704093144</c:v>
                </c:pt>
                <c:pt idx="50">
                  <c:v>2.9818673747129329</c:v>
                </c:pt>
                <c:pt idx="51">
                  <c:v>3.2759175927776147</c:v>
                </c:pt>
                <c:pt idx="52">
                  <c:v>3.5989474680890172</c:v>
                </c:pt>
                <c:pt idx="53">
                  <c:v>3.9538094337547256</c:v>
                </c:pt>
                <c:pt idx="54">
                  <c:v>4.3436359371020963</c:v>
                </c:pt>
                <c:pt idx="55">
                  <c:v>4.7718667730749988</c:v>
                </c:pt>
                <c:pt idx="56">
                  <c:v>5.2422790537042667</c:v>
                </c:pt>
                <c:pt idx="57">
                  <c:v>5.7590200612149687</c:v>
                </c:pt>
                <c:pt idx="58">
                  <c:v>6.3266432541864459</c:v>
                </c:pt>
                <c:pt idx="59">
                  <c:v>6.9501477196641464</c:v>
                </c:pt>
                <c:pt idx="60">
                  <c:v>7.6350213892895864</c:v>
                </c:pt>
                <c:pt idx="61">
                  <c:v>8.3872883644046041</c:v>
                </c:pt>
                <c:pt idx="62">
                  <c:v>9.21356072371462</c:v>
                </c:pt>
                <c:pt idx="63">
                  <c:v>10.121095217450319</c:v>
                </c:pt>
                <c:pt idx="64">
                  <c:v>11.117855283997706</c:v>
                </c:pt>
                <c:pt idx="65">
                  <c:v>12.212578858574082</c:v>
                </c:pt>
                <c:pt idx="66">
                  <c:v>13.414852478551721</c:v>
                </c:pt>
                <c:pt idx="67">
                  <c:v>14.735192226234403</c:v>
                </c:pt>
                <c:pt idx="68">
                  <c:v>16.185132086939852</c:v>
                </c:pt>
                <c:pt idx="69">
                  <c:v>17.777320337680052</c:v>
                </c:pt>
                <c:pt idx="70">
                  <c:v>19.525624618959888</c:v>
                </c:pt>
                <c:pt idx="71">
                  <c:v>21.445246378451532</c:v>
                </c:pt>
                <c:pt idx="72">
                  <c:v>23.552845409546524</c:v>
                </c:pt>
                <c:pt idx="73">
                  <c:v>25.866675238773837</c:v>
                </c:pt>
                <c:pt idx="74">
                  <c:v>28.406730142213501</c:v>
                </c:pt>
                <c:pt idx="75">
                  <c:v>31.194904590361975</c:v>
                </c:pt>
                <c:pt idx="76">
                  <c:v>34.255165930989094</c:v>
                </c:pt>
                <c:pt idx="77">
                  <c:v>37.61374111739579</c:v>
                </c:pt>
                <c:pt idx="78">
                  <c:v>41.299318271523028</c:v>
                </c:pt>
                <c:pt idx="79">
                  <c:v>45.34326383320969</c:v>
                </c:pt>
                <c:pt idx="80">
                  <c:v>49.779855983303641</c:v>
                </c:pt>
                <c:pt idx="81">
                  <c:v>54.646534933033045</c:v>
                </c:pt>
                <c:pt idx="82">
                  <c:v>59.98417053760965</c:v>
                </c:pt>
                <c:pt idx="83">
                  <c:v>65.837347509695149</c:v>
                </c:pt>
                <c:pt idx="84">
                  <c:v>72.254668267844579</c:v>
                </c:pt>
                <c:pt idx="85">
                  <c:v>79.289073144404512</c:v>
                </c:pt>
                <c:pt idx="86">
                  <c:v>86.998177282809138</c:v>
                </c:pt>
                <c:pt idx="87">
                  <c:v>95.444623060031262</c:v>
                </c:pt>
                <c:pt idx="88">
                  <c:v>104.69644625828413</c:v>
                </c:pt>
                <c:pt idx="89">
                  <c:v>114.82745346100901</c:v>
                </c:pt>
                <c:pt idx="90">
                  <c:v>125.91760723976738</c:v>
                </c:pt>
                <c:pt idx="91">
                  <c:v>138.05341460712563</c:v>
                </c:pt>
                <c:pt idx="92">
                  <c:v>151.32831291083156</c:v>
                </c:pt>
                <c:pt idx="93">
                  <c:v>165.84304581071657</c:v>
                </c:pt>
                <c:pt idx="94">
                  <c:v>181.70602018640417</c:v>
                </c:pt>
                <c:pt idx="95">
                  <c:v>199.03363274758757</c:v>
                </c:pt>
                <c:pt idx="96">
                  <c:v>217.95055274001135</c:v>
                </c:pt>
                <c:pt idx="97">
                  <c:v>238.58994444697254</c:v>
                </c:pt>
                <c:pt idx="98">
                  <c:v>261.09361017658415</c:v>
                </c:pt>
                <c:pt idx="99">
                  <c:v>285.61203111323397</c:v>
                </c:pt>
                <c:pt idx="100">
                  <c:v>312.30427983327064</c:v>
                </c:pt>
                <c:pt idx="101">
                  <c:v>341.33777450444023</c:v>
                </c:pt>
                <c:pt idx="102">
                  <c:v>372.88784090784208</c:v>
                </c:pt>
                <c:pt idx="103">
                  <c:v>407.13704458900975</c:v>
                </c:pt>
                <c:pt idx="104">
                  <c:v>444.27425186741687</c:v>
                </c:pt>
                <c:pt idx="105">
                  <c:v>484.49337538547144</c:v>
                </c:pt>
                <c:pt idx="106">
                  <c:v>527.99175771085004</c:v>
                </c:pt>
                <c:pt idx="107">
                  <c:v>574.9681456568261</c:v>
                </c:pt>
                <c:pt idx="108">
                  <c:v>625.62020897914749</c:v>
                </c:pt>
                <c:pt idx="109">
                  <c:v>680.1415605539753</c:v>
                </c:pt>
                <c:pt idx="110">
                  <c:v>738.71824171770834</c:v>
                </c:pt>
                <c:pt idx="111">
                  <c:v>801.52464687498491</c:v>
                </c:pt>
                <c:pt idx="112">
                  <c:v>868.71887646803282</c:v>
                </c:pt>
                <c:pt idx="113">
                  <c:v>940.43752758568712</c:v>
                </c:pt>
                <c:pt idx="114">
                  <c:v>1016.789957342198</c:v>
                </c:pt>
                <c:pt idx="115">
                  <c:v>1097.8520858570796</c:v>
                </c:pt>
                <c:pt idx="116">
                  <c:v>1183.6598429771243</c:v>
                </c:pt>
                <c:pt idx="117">
                  <c:v>1274.2024049878751</c:v>
                </c:pt>
                <c:pt idx="118">
                  <c:v>1369.4154129363599</c:v>
                </c:pt>
                <c:pt idx="119">
                  <c:v>1469.1744104714755</c:v>
                </c:pt>
                <c:pt idx="120">
                  <c:v>1573.2887830588002</c:v>
                </c:pt>
                <c:pt idx="121">
                  <c:v>1681.4965179523799</c:v>
                </c:pt>
                <c:pt idx="122">
                  <c:v>1793.4601306405052</c:v>
                </c:pt>
                <c:pt idx="123">
                  <c:v>1908.7641135116694</c:v>
                </c:pt>
                <c:pt idx="124">
                  <c:v>2026.9142512472706</c:v>
                </c:pt>
                <c:pt idx="125">
                  <c:v>2147.3391107759908</c:v>
                </c:pt>
                <c:pt idx="126">
                  <c:v>2269.393948906139</c:v>
                </c:pt>
                <c:pt idx="127">
                  <c:v>2392.3671876711592</c:v>
                </c:pt>
                <c:pt idx="128">
                  <c:v>2515.4894885903518</c:v>
                </c:pt>
                <c:pt idx="129">
                  <c:v>2637.9453183504461</c:v>
                </c:pt>
                <c:pt idx="130">
                  <c:v>2758.8867489626873</c:v>
                </c:pt>
                <c:pt idx="131">
                  <c:v>2877.4490870089921</c:v>
                </c:pt>
                <c:pt idx="132">
                  <c:v>2992.7677924971617</c:v>
                </c:pt>
                <c:pt idx="133">
                  <c:v>3103.9960414989159</c:v>
                </c:pt>
                <c:pt idx="134">
                  <c:v>3210.3222198659414</c:v>
                </c:pt>
                <c:pt idx="135">
                  <c:v>3310.9866162554531</c:v>
                </c:pt>
                <c:pt idx="136">
                  <c:v>3405.2966150857596</c:v>
                </c:pt>
                <c:pt idx="137">
                  <c:v>3492.6397721026419</c:v>
                </c:pt>
                <c:pt idx="138">
                  <c:v>3572.4942798504758</c:v>
                </c:pt>
                <c:pt idx="139">
                  <c:v>3644.4364859375005</c:v>
                </c:pt>
                <c:pt idx="140">
                  <c:v>3708.1452990820599</c:v>
                </c:pt>
                <c:pt idx="141">
                  <c:v>3763.4034910559844</c:v>
                </c:pt>
                <c:pt idx="142">
                  <c:v>3810.0960623007963</c:v>
                </c:pt>
                <c:pt idx="143">
                  <c:v>3848.2059733146025</c:v>
                </c:pt>
                <c:pt idx="144">
                  <c:v>3877.8076447893591</c:v>
                </c:pt>
                <c:pt idx="145">
                  <c:v>3899.0586930551799</c:v>
                </c:pt>
                <c:pt idx="146">
                  <c:v>3912.19039387153</c:v>
                </c:pt>
                <c:pt idx="147">
                  <c:v>3917.4973606060271</c:v>
                </c:pt>
                <c:pt idx="148">
                  <c:v>3915.3268883809046</c:v>
                </c:pt>
                <c:pt idx="149">
                  <c:v>3906.0683611740506</c:v>
                </c:pt>
                <c:pt idx="150">
                  <c:v>3890.1430517465456</c:v>
                </c:pt>
                <c:pt idx="151">
                  <c:v>3867.9945716943889</c:v>
                </c:pt>
                <c:pt idx="152">
                  <c:v>3840.0801568383781</c:v>
                </c:pt>
                <c:pt idx="153">
                  <c:v>3806.8629061117813</c:v>
                </c:pt>
                <c:pt idx="154">
                  <c:v>3768.8050331451163</c:v>
                </c:pt>
                <c:pt idx="155">
                  <c:v>3726.3621405820077</c:v>
                </c:pt>
                <c:pt idx="156">
                  <c:v>3679.9784883475227</c:v>
                </c:pt>
                <c:pt idx="157">
                  <c:v>3630.0831983158814</c:v>
                </c:pt>
                <c:pt idx="158">
                  <c:v>3577.0873181749221</c:v>
                </c:pt>
                <c:pt idx="159">
                  <c:v>3521.3816554953719</c:v>
                </c:pt>
                <c:pt idx="160">
                  <c:v>3463.3352876686808</c:v>
                </c:pt>
                <c:pt idx="161">
                  <c:v>3403.2946530630875</c:v>
                </c:pt>
                <c:pt idx="162">
                  <c:v>3341.5831321511664</c:v>
                </c:pt>
                <c:pt idx="163">
                  <c:v>3278.5010333334476</c:v>
                </c:pt>
                <c:pt idx="164">
                  <c:v>3214.3259057615037</c:v>
                </c:pt>
                <c:pt idx="165">
                  <c:v>3149.3131098832764</c:v>
                </c:pt>
                <c:pt idx="166">
                  <c:v>3083.6965851072864</c:v>
                </c:pt>
                <c:pt idx="167">
                  <c:v>3017.6897624845292</c:v>
                </c:pt>
                <c:pt idx="168">
                  <c:v>2951.4865783451919</c:v>
                </c:pt>
                <c:pt idx="169">
                  <c:v>2885.2625522183152</c:v>
                </c:pt>
                <c:pt idx="170">
                  <c:v>2819.1758990066087</c:v>
                </c:pt>
                <c:pt idx="171">
                  <c:v>2753.3686512490308</c:v>
                </c:pt>
                <c:pt idx="172">
                  <c:v>2687.9677723882842</c:v>
                </c:pt>
                <c:pt idx="173">
                  <c:v>2623.0862463070589</c:v>
                </c:pt>
                <c:pt idx="174">
                  <c:v>2558.8241320622628</c:v>
                </c:pt>
                <c:pt idx="175">
                  <c:v>2495.2695757974066</c:v>
                </c:pt>
                <c:pt idx="176">
                  <c:v>2432.499774320348</c:v>
                </c:pt>
                <c:pt idx="177">
                  <c:v>2370.5818868668789</c:v>
                </c:pt>
                <c:pt idx="178">
                  <c:v>2309.5738931968726</c:v>
                </c:pt>
                <c:pt idx="179">
                  <c:v>2249.5253974505899</c:v>
                </c:pt>
                <c:pt idx="180">
                  <c:v>2190.4783781838028</c:v>
                </c:pt>
                <c:pt idx="181">
                  <c:v>2132.4678857509339</c:v>
                </c:pt>
                <c:pt idx="182">
                  <c:v>2075.5226887583062</c:v>
                </c:pt>
                <c:pt idx="183">
                  <c:v>2019.6658717017947</c:v>
                </c:pt>
                <c:pt idx="184">
                  <c:v>1964.9153861661614</c:v>
                </c:pt>
                <c:pt idx="185">
                  <c:v>1911.2845581235206</c:v>
                </c:pt>
                <c:pt idx="186">
                  <c:v>1858.7825539478958</c:v>
                </c:pt>
                <c:pt idx="187">
                  <c:v>1807.4148077799266</c:v>
                </c:pt>
                <c:pt idx="188">
                  <c:v>1757.1834128454523</c:v>
                </c:pt>
                <c:pt idx="189">
                  <c:v>1708.0874792661491</c:v>
                </c:pt>
                <c:pt idx="190">
                  <c:v>1660.1234608094455</c:v>
                </c:pt>
                <c:pt idx="191">
                  <c:v>1613.2854529164347</c:v>
                </c:pt>
                <c:pt idx="192">
                  <c:v>1567.5654642266959</c:v>
                </c:pt>
                <c:pt idx="193">
                  <c:v>1522.9536636926589</c:v>
                </c:pt>
                <c:pt idx="194">
                  <c:v>1479.4386052471709</c:v>
                </c:pt>
                <c:pt idx="195">
                  <c:v>1437.0074318591312</c:v>
                </c:pt>
                <c:pt idx="196">
                  <c:v>1395.6460606855637</c:v>
                </c:pt>
                <c:pt idx="197">
                  <c:v>1355.3393509058631</c:v>
                </c:pt>
                <c:pt idx="198">
                  <c:v>1316.0712557062702</c:v>
                </c:pt>
                <c:pt idx="199">
                  <c:v>1277.8249597706354</c:v>
                </c:pt>
                <c:pt idx="200">
                  <c:v>1240.5830035276572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BB-4367-90D4-4D0E3FC4BAA0}"/>
            </c:ext>
          </c:extLst>
        </c:ser>
        <c:ser>
          <c:idx val="2"/>
          <c:order val="2"/>
          <c:tx>
            <c:strRef>
              <c:f>Ahuchapan!$K$3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Ahuchapan!$C$3:$C$204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Ahuchapan!$K$4:$K$204</c:f>
              <c:numCache>
                <c:formatCode>0</c:formatCode>
                <c:ptCount val="201"/>
                <c:pt idx="1">
                  <c:v>3.6666666666666701E-3</c:v>
                </c:pt>
                <c:pt idx="2">
                  <c:v>4.028442929596433E-3</c:v>
                </c:pt>
                <c:pt idx="3">
                  <c:v>4.4259140874181304E-3</c:v>
                </c:pt>
                <c:pt idx="4">
                  <c:v>4.8626019563804039E-3</c:v>
                </c:pt>
                <c:pt idx="5">
                  <c:v>5.3423758215460117E-3</c:v>
                </c:pt>
                <c:pt idx="6">
                  <c:v>5.8694867168024292E-3</c:v>
                </c:pt>
                <c:pt idx="7">
                  <c:v>6.4486050864210531E-3</c:v>
                </c:pt>
                <c:pt idx="8">
                  <c:v>7.0848621616562777E-3</c:v>
                </c:pt>
                <c:pt idx="9">
                  <c:v>7.7838954187480274E-3</c:v>
                </c:pt>
                <c:pt idx="10">
                  <c:v>8.551898520800497E-3</c:v>
                </c:pt>
                <c:pt idx="11">
                  <c:v>9.3956761856736157E-3</c:v>
                </c:pt>
                <c:pt idx="12">
                  <c:v>1.0322704465591487E-2</c:v>
                </c:pt>
                <c:pt idx="13">
                  <c:v>1.1341196972026591E-2</c:v>
                </c:pt>
                <c:pt idx="14">
                  <c:v>1.246017763198078E-2</c:v>
                </c:pt>
                <c:pt idx="15">
                  <c:v>1.3689560619515219E-2</c:v>
                </c:pt>
                <c:pt idx="16">
                  <c:v>1.5040238169788374E-2</c:v>
                </c:pt>
                <c:pt idx="17">
                  <c:v>1.6524177052499076E-2</c:v>
                </c:pt>
                <c:pt idx="18">
                  <c:v>1.8154524558110952E-2</c:v>
                </c:pt>
                <c:pt idx="19">
                  <c:v>1.9945724934223179E-2</c:v>
                </c:pt>
                <c:pt idx="20">
                  <c:v>2.1913647301684682E-2</c:v>
                </c:pt>
                <c:pt idx="21">
                  <c:v>2.4075726181328375E-2</c:v>
                </c:pt>
                <c:pt idx="22">
                  <c:v>2.6451115873410865E-2</c:v>
                </c:pt>
                <c:pt idx="23">
                  <c:v>2.9060860053947788E-2</c:v>
                </c:pt>
                <c:pt idx="24">
                  <c:v>3.1928078086194342E-2</c:v>
                </c:pt>
                <c:pt idx="25">
                  <c:v>3.5078169692695699E-2</c:v>
                </c:pt>
                <c:pt idx="26">
                  <c:v>3.8539039794893017E-2</c:v>
                </c:pt>
                <c:pt idx="27">
                  <c:v>4.2341345504609669E-2</c:v>
                </c:pt>
                <c:pt idx="28">
                  <c:v>4.6518767446382045E-2</c:v>
                </c:pt>
                <c:pt idx="29">
                  <c:v>5.1108307803205841E-2</c:v>
                </c:pt>
                <c:pt idx="30">
                  <c:v>5.6150617712665059E-2</c:v>
                </c:pt>
                <c:pt idx="31">
                  <c:v>6.1690356897588297E-2</c:v>
                </c:pt>
                <c:pt idx="32">
                  <c:v>6.7776588697512227E-2</c:v>
                </c:pt>
                <c:pt idx="33">
                  <c:v>7.4463213976701068E-2</c:v>
                </c:pt>
                <c:pt idx="34">
                  <c:v>8.1809447723866877E-2</c:v>
                </c:pt>
                <c:pt idx="35">
                  <c:v>8.988034253088531E-2</c:v>
                </c:pt>
                <c:pt idx="36">
                  <c:v>9.8747363545785324E-2</c:v>
                </c:pt>
                <c:pt idx="37">
                  <c:v>0.10848901994246311</c:v>
                </c:pt>
                <c:pt idx="38">
                  <c:v>0.11919155843957434</c:v>
                </c:pt>
                <c:pt idx="39">
                  <c:v>0.13094972493785692</c:v>
                </c:pt>
                <c:pt idx="40">
                  <c:v>0.14386760093302456</c:v>
                </c:pt>
                <c:pt idx="41">
                  <c:v>0.15805952200500173</c:v>
                </c:pt>
                <c:pt idx="42">
                  <c:v>0.17365108638868015</c:v>
                </c:pt>
                <c:pt idx="43">
                  <c:v>0.19078026240199666</c:v>
                </c:pt>
                <c:pt idx="44">
                  <c:v>0.20959860434981842</c:v>
                </c:pt>
                <c:pt idx="45">
                  <c:v>0.23027258744316714</c:v>
                </c:pt>
                <c:pt idx="46">
                  <c:v>0.25298507327946257</c:v>
                </c:pt>
                <c:pt idx="47">
                  <c:v>0.27793691852793095</c:v>
                </c:pt>
                <c:pt idx="48">
                  <c:v>0.30534874066277451</c:v>
                </c:pt>
                <c:pt idx="49">
                  <c:v>0.33546285589328639</c:v>
                </c:pt>
                <c:pt idx="50">
                  <c:v>0.36854540586339657</c:v>
                </c:pt>
                <c:pt idx="51">
                  <c:v>0.40488869124217752</c:v>
                </c:pt>
                <c:pt idx="52">
                  <c:v>0.4448137320110026</c:v>
                </c:pt>
                <c:pt idx="53">
                  <c:v>0.48867307608204519</c:v>
                </c:pt>
                <c:pt idx="54">
                  <c:v>0.53685387986655175</c:v>
                </c:pt>
                <c:pt idx="55">
                  <c:v>0.58978128655983186</c:v>
                </c:pt>
                <c:pt idx="56">
                  <c:v>0.64792213023311229</c:v>
                </c:pt>
                <c:pt idx="57">
                  <c:v>0.71178899632994053</c:v>
                </c:pt>
                <c:pt idx="58">
                  <c:v>0.78194467186574124</c:v>
                </c:pt>
                <c:pt idx="59">
                  <c:v>0.85900702153152453</c:v>
                </c:pt>
                <c:pt idx="60">
                  <c:v>0.94365432901332058</c:v>
                </c:pt>
                <c:pt idx="61">
                  <c:v>1.0366311461623678</c:v>
                </c:pt>
                <c:pt idx="62">
                  <c:v>1.1387546961894486</c:v>
                </c:pt>
                <c:pt idx="63">
                  <c:v>1.2509218808084677</c:v>
                </c:pt>
                <c:pt idx="64">
                  <c:v>1.3741169452132012</c:v>
                </c:pt>
                <c:pt idx="65">
                  <c:v>1.5094198589248877</c:v>
                </c:pt>
                <c:pt idx="66">
                  <c:v>1.6580154748771807</c:v>
                </c:pt>
                <c:pt idx="67">
                  <c:v>1.8212035335795349</c:v>
                </c:pt>
                <c:pt idx="68">
                  <c:v>2.000409583779085</c:v>
                </c:pt>
                <c:pt idx="69">
                  <c:v>2.1971968956683225</c:v>
                </c:pt>
                <c:pt idx="70">
                  <c:v>2.4132794472871795</c:v>
                </c:pt>
                <c:pt idx="71">
                  <c:v>2.6505360692468209</c:v>
                </c:pt>
                <c:pt idx="72">
                  <c:v>2.9110258371349662</c:v>
                </c:pt>
                <c:pt idx="73">
                  <c:v>3.1970048047922748</c:v>
                </c:pt>
                <c:pt idx="74">
                  <c:v>3.5109441748803234</c:v>
                </c:pt>
                <c:pt idx="75">
                  <c:v>3.8555500055503602</c:v>
                </c:pt>
                <c:pt idx="76">
                  <c:v>4.2337845532683192</c:v>
                </c:pt>
                <c:pt idx="77">
                  <c:v>4.6488893515882488</c:v>
                </c:pt>
                <c:pt idx="78">
                  <c:v>5.1044101234466712</c:v>
                </c:pt>
                <c:pt idx="79">
                  <c:v>5.6042236198349116</c:v>
                </c:pt>
                <c:pt idx="80">
                  <c:v>6.1525664698465237</c:v>
                </c:pt>
                <c:pt idx="81">
                  <c:v>6.7540661153186967</c:v>
                </c:pt>
                <c:pt idx="82">
                  <c:v>7.4137738866708629</c:v>
                </c:pt>
                <c:pt idx="83">
                  <c:v>8.1372002540072739</c:v>
                </c:pt>
                <c:pt idx="84">
                  <c:v>8.9303522578234951</c:v>
                </c:pt>
                <c:pt idx="85">
                  <c:v>9.7997730852634888</c:v>
                </c:pt>
                <c:pt idx="86">
                  <c:v>10.752583709111253</c:v>
                </c:pt>
                <c:pt idx="87">
                  <c:v>11.796526445621852</c:v>
                </c:pt>
                <c:pt idx="88">
                  <c:v>12.94001021169805</c:v>
                </c:pt>
                <c:pt idx="89">
                  <c:v>14.192157169338206</c:v>
                </c:pt>
                <c:pt idx="90">
                  <c:v>15.562850333004972</c:v>
                </c:pt>
                <c:pt idx="91">
                  <c:v>17.062781580655997</c:v>
                </c:pt>
                <c:pt idx="92">
                  <c:v>18.70349934852976</c:v>
                </c:pt>
                <c:pt idx="93">
                  <c:v>20.497455100200948</c:v>
                </c:pt>
                <c:pt idx="94">
                  <c:v>22.458047438769075</c:v>
                </c:pt>
                <c:pt idx="95">
                  <c:v>24.59966247442096</c:v>
                </c:pt>
                <c:pt idx="96">
                  <c:v>26.937708765619401</c:v>
                </c:pt>
                <c:pt idx="97">
                  <c:v>29.488644819288769</c:v>
                </c:pt>
                <c:pt idx="98">
                  <c:v>32.269996763398076</c:v>
                </c:pt>
                <c:pt idx="99">
                  <c:v>35.300363396017723</c:v>
                </c:pt>
                <c:pt idx="100">
                  <c:v>38.599405372651468</c:v>
                </c:pt>
                <c:pt idx="101">
                  <c:v>42.187814826391531</c:v>
                </c:pt>
                <c:pt idx="102">
                  <c:v>46.087261235800746</c:v>
                </c:pt>
                <c:pt idx="103">
                  <c:v>50.320308881787774</c:v>
                </c:pt>
                <c:pt idx="104">
                  <c:v>54.910300792602136</c:v>
                </c:pt>
                <c:pt idx="105">
                  <c:v>59.88120369932799</c:v>
                </c:pt>
                <c:pt idx="106">
                  <c:v>65.257408256397255</c:v>
                </c:pt>
                <c:pt idx="107">
                  <c:v>71.063478676686429</c:v>
                </c:pt>
                <c:pt idx="108">
                  <c:v>77.32384605360258</c:v>
                </c:pt>
                <c:pt idx="109">
                  <c:v>84.062440068468931</c:v>
                </c:pt>
                <c:pt idx="110">
                  <c:v>91.302254594323585</c:v>
                </c:pt>
                <c:pt idx="111">
                  <c:v>99.064843995784756</c:v>
                </c:pt>
                <c:pt idx="112">
                  <c:v>107.36974877694799</c:v>
                </c:pt>
                <c:pt idx="113">
                  <c:v>116.2338517240738</c:v>
                </c:pt>
                <c:pt idx="114">
                  <c:v>125.67066888499089</c:v>
                </c:pt>
                <c:pt idx="115">
                  <c:v>135.68958364525713</c:v>
                </c:pt>
                <c:pt idx="116">
                  <c:v>146.29503677245373</c:v>
                </c:pt>
                <c:pt idx="117">
                  <c:v>157.48569050411956</c:v>
                </c:pt>
                <c:pt idx="118">
                  <c:v>169.25359036292105</c:v>
                </c:pt>
                <c:pt idx="119">
                  <c:v>181.58335410321627</c:v>
                </c:pt>
                <c:pt idx="120">
                  <c:v>194.45142262524513</c:v>
                </c:pt>
                <c:pt idx="121">
                  <c:v>207.82541233119321</c:v>
                </c:pt>
                <c:pt idx="122">
                  <c:v>221.66361165219752</c:v>
                </c:pt>
                <c:pt idx="123">
                  <c:v>235.91466571492569</c:v>
                </c:pt>
                <c:pt idx="124">
                  <c:v>250.51749172719099</c:v>
                </c:pt>
                <c:pt idx="125">
                  <c:v>265.40146312961707</c:v>
                </c:pt>
                <c:pt idx="126">
                  <c:v>280.48689256143319</c:v>
                </c:pt>
                <c:pt idx="127">
                  <c:v>295.68583218407616</c:v>
                </c:pt>
                <c:pt idx="128">
                  <c:v>310.90319521903257</c:v>
                </c:pt>
                <c:pt idx="129">
                  <c:v>326.03818541410044</c:v>
                </c:pt>
                <c:pt idx="130">
                  <c:v>340.98600268078195</c:v>
                </c:pt>
                <c:pt idx="131">
                  <c:v>355.63977479886461</c:v>
                </c:pt>
                <c:pt idx="132">
                  <c:v>369.89264851088552</c:v>
                </c:pt>
                <c:pt idx="133">
                  <c:v>383.63996018525967</c:v>
                </c:pt>
                <c:pt idx="134">
                  <c:v>396.7813979609594</c:v>
                </c:pt>
                <c:pt idx="135">
                  <c:v>409.22306493044965</c:v>
                </c:pt>
                <c:pt idx="136">
                  <c:v>420.87935692071227</c:v>
                </c:pt>
                <c:pt idx="137">
                  <c:v>431.67457857448426</c:v>
                </c:pt>
                <c:pt idx="138">
                  <c:v>441.54423683545247</c:v>
                </c:pt>
                <c:pt idx="139">
                  <c:v>450.4359701720511</c:v>
                </c:pt>
                <c:pt idx="140">
                  <c:v>458.31009314497413</c:v>
                </c:pt>
                <c:pt idx="141">
                  <c:v>465.13975732152659</c:v>
                </c:pt>
                <c:pt idx="142">
                  <c:v>470.91074927313258</c:v>
                </c:pt>
                <c:pt idx="143">
                  <c:v>475.62096299394017</c:v>
                </c:pt>
                <c:pt idx="144">
                  <c:v>479.27959654699987</c:v>
                </c:pt>
                <c:pt idx="145">
                  <c:v>481.90613060232607</c:v>
                </c:pt>
                <c:pt idx="146">
                  <c:v>483.52914980434684</c:v>
                </c:pt>
                <c:pt idx="147">
                  <c:v>484.18506704119483</c:v>
                </c:pt>
                <c:pt idx="148">
                  <c:v>483.91680642910103</c:v>
                </c:pt>
                <c:pt idx="149">
                  <c:v>482.77249407769216</c:v>
                </c:pt>
                <c:pt idx="150">
                  <c:v>480.80419740687688</c:v>
                </c:pt>
                <c:pt idx="151">
                  <c:v>478.06674481616091</c:v>
                </c:pt>
                <c:pt idx="152">
                  <c:v>474.61664859800226</c:v>
                </c:pt>
                <c:pt idx="153">
                  <c:v>470.51114569920935</c:v>
                </c:pt>
                <c:pt idx="154">
                  <c:v>465.80736364714971</c:v>
                </c:pt>
                <c:pt idx="155">
                  <c:v>460.56161288092272</c:v>
                </c:pt>
                <c:pt idx="156">
                  <c:v>454.8288019305931</c:v>
                </c:pt>
                <c:pt idx="157">
                  <c:v>448.66196833117681</c:v>
                </c:pt>
                <c:pt idx="158">
                  <c:v>442.11191572948525</c:v>
                </c:pt>
                <c:pt idx="159">
                  <c:v>435.22694618482166</c:v>
                </c:pt>
                <c:pt idx="160">
                  <c:v>428.05267600399469</c:v>
                </c:pt>
                <c:pt idx="161">
                  <c:v>420.63192341229211</c:v>
                </c:pt>
                <c:pt idx="162">
                  <c:v>413.00465678272883</c:v>
                </c:pt>
                <c:pt idx="163">
                  <c:v>405.20799288390958</c:v>
                </c:pt>
                <c:pt idx="164">
                  <c:v>397.27623554355705</c:v>
                </c:pt>
                <c:pt idx="165">
                  <c:v>389.24094616534916</c:v>
                </c:pt>
                <c:pt idx="166">
                  <c:v>381.13103860876612</c:v>
                </c:pt>
                <c:pt idx="167">
                  <c:v>372.97289199247024</c:v>
                </c:pt>
                <c:pt idx="168">
                  <c:v>364.7904759752488</c:v>
                </c:pt>
                <c:pt idx="169">
                  <c:v>356.60548398203929</c:v>
                </c:pt>
                <c:pt idx="170">
                  <c:v>348.43747066373851</c:v>
                </c:pt>
                <c:pt idx="171">
                  <c:v>340.30399060381313</c:v>
                </c:pt>
                <c:pt idx="172">
                  <c:v>332.22073591315905</c:v>
                </c:pt>
                <c:pt idx="173">
                  <c:v>324.20167089188402</c:v>
                </c:pt>
                <c:pt idx="174">
                  <c:v>316.2591623897182</c:v>
                </c:pt>
                <c:pt idx="175">
                  <c:v>308.40410487383713</c:v>
                </c:pt>
                <c:pt idx="176">
                  <c:v>300.6460395227399</c:v>
                </c:pt>
                <c:pt idx="177">
                  <c:v>292.9932669161314</c:v>
                </c:pt>
                <c:pt idx="178">
                  <c:v>285.45295309174861</c:v>
                </c:pt>
                <c:pt idx="179">
                  <c:v>278.03122889838784</c:v>
                </c:pt>
                <c:pt idx="180">
                  <c:v>270.73328269687477</c:v>
                </c:pt>
                <c:pt idx="181">
                  <c:v>263.56344655348647</c:v>
                </c:pt>
                <c:pt idx="182">
                  <c:v>256.52527613866738</c:v>
                </c:pt>
                <c:pt idx="183">
                  <c:v>249.62162459235691</c:v>
                </c:pt>
                <c:pt idx="184">
                  <c:v>242.85471064975053</c:v>
                </c:pt>
                <c:pt idx="185">
                  <c:v>236.22618134110954</c:v>
                </c:pt>
                <c:pt idx="186">
                  <c:v>229.73716958906604</c:v>
                </c:pt>
                <c:pt idx="187">
                  <c:v>223.38834702897992</c:v>
                </c:pt>
                <c:pt idx="188">
                  <c:v>217.17997237415722</c:v>
                </c:pt>
                <c:pt idx="189">
                  <c:v>211.11193563963661</c:v>
                </c:pt>
                <c:pt idx="190">
                  <c:v>205.18379852701034</c:v>
                </c:pt>
                <c:pt idx="191">
                  <c:v>199.39483125933481</c:v>
                </c:pt>
                <c:pt idx="192">
                  <c:v>193.74404614037834</c:v>
                </c:pt>
                <c:pt idx="193">
                  <c:v>188.23022809684568</c:v>
                </c:pt>
                <c:pt idx="194">
                  <c:v>182.85196244627974</c:v>
                </c:pt>
                <c:pt idx="195">
                  <c:v>177.60766011742089</c:v>
                </c:pt>
                <c:pt idx="196">
                  <c:v>172.49558053417095</c:v>
                </c:pt>
                <c:pt idx="197">
                  <c:v>167.51385235915177</c:v>
                </c:pt>
                <c:pt idx="198">
                  <c:v>162.66049227830322</c:v>
                </c:pt>
                <c:pt idx="199">
                  <c:v>157.93342199412365</c:v>
                </c:pt>
                <c:pt idx="200">
                  <c:v>153.33048358207014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BB-4367-90D4-4D0E3FC4B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4919272"/>
        <c:axId val="614916320"/>
      </c:lineChart>
      <c:catAx>
        <c:axId val="6149192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4916320"/>
        <c:crosses val="autoZero"/>
        <c:auto val="1"/>
        <c:lblAlgn val="ctr"/>
        <c:lblOffset val="100"/>
        <c:noMultiLvlLbl val="0"/>
      </c:catAx>
      <c:valAx>
        <c:axId val="61491632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4919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/>
              <a:t>Santa Ana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'Santa Ana'!$I$3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'Santa Ana'!$C$3:$C$204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'Santa Ana'!$I$4:$I$204</c:f>
              <c:numCache>
                <c:formatCode>0</c:formatCode>
                <c:ptCount val="201"/>
                <c:pt idx="1">
                  <c:v>0.13199974792611943</c:v>
                </c:pt>
                <c:pt idx="2">
                  <c:v>0.14502365423992011</c:v>
                </c:pt>
                <c:pt idx="3">
                  <c:v>0.15933257064283063</c:v>
                </c:pt>
                <c:pt idx="4">
                  <c:v>0.17505328151483626</c:v>
                </c:pt>
                <c:pt idx="5">
                  <c:v>0.19232507993790335</c:v>
                </c:pt>
                <c:pt idx="6">
                  <c:v>0.21130100174395458</c:v>
                </c:pt>
                <c:pt idx="7">
                  <c:v>0.23214918129233475</c:v>
                </c:pt>
                <c:pt idx="8">
                  <c:v>0.25505434098120694</c:v>
                </c:pt>
                <c:pt idx="9">
                  <c:v>0.2802194276804702</c:v>
                </c:pt>
                <c:pt idx="10">
                  <c:v>0.30786741057341638</c:v>
                </c:pt>
                <c:pt idx="11">
                  <c:v>0.33824325632187563</c:v>
                </c:pt>
                <c:pt idx="12">
                  <c:v>0.37161609903759096</c:v>
                </c:pt>
                <c:pt idx="13">
                  <c:v>0.40828162426480358</c:v>
                </c:pt>
                <c:pt idx="14">
                  <c:v>0.44856468807062039</c:v>
                </c:pt>
                <c:pt idx="15">
                  <c:v>0.49282219441729402</c:v>
                </c:pt>
                <c:pt idx="16">
                  <c:v>0.54144625627225373</c:v>
                </c:pt>
                <c:pt idx="17">
                  <c:v>0.59486766841757865</c:v>
                </c:pt>
                <c:pt idx="18">
                  <c:v>0.65355972267249751</c:v>
                </c:pt>
                <c:pt idx="19">
                  <c:v>0.718042399264463</c:v>
                </c:pt>
                <c:pt idx="20">
                  <c:v>0.78888697140273623</c:v>
                </c:pt>
                <c:pt idx="21">
                  <c:v>0.86672106375210356</c:v>
                </c:pt>
                <c:pt idx="22">
                  <c:v>0.95223420950500737</c:v>
                </c:pt>
                <c:pt idx="23">
                  <c:v>1.0461839551426795</c:v>
                </c:pt>
                <c:pt idx="24">
                  <c:v>1.1494025667978469</c:v>
                </c:pt>
                <c:pt idx="25">
                  <c:v>1.262804397424854</c:v>
                </c:pt>
                <c:pt idx="26">
                  <c:v>1.3873939797931771</c:v>
                </c:pt>
                <c:pt idx="27">
                  <c:v>1.5242749166971941</c:v>
                </c:pt>
                <c:pt idx="28">
                  <c:v>1.6746596467732715</c:v>
                </c:pt>
                <c:pt idx="29">
                  <c:v>1.8398801719944275</c:v>
                </c:pt>
                <c:pt idx="30">
                  <c:v>2.0213998413382326</c:v>
                </c:pt>
                <c:pt idx="31">
                  <c:v>2.2208262943664958</c:v>
                </c:pt>
                <c:pt idx="32">
                  <c:v>2.4399256785934527</c:v>
                </c:pt>
                <c:pt idx="33">
                  <c:v>2.6806382656374526</c:v>
                </c:pt>
                <c:pt idx="34">
                  <c:v>2.9450956033421893</c:v>
                </c:pt>
                <c:pt idx="35">
                  <c:v>3.2356393544179927</c:v>
                </c:pt>
                <c:pt idx="36">
                  <c:v>3.554841986801486</c:v>
                </c:pt>
                <c:pt idx="37">
                  <c:v>3.9055294969821688</c:v>
                </c:pt>
                <c:pt idx="38">
                  <c:v>4.2908063651269064</c:v>
                </c:pt>
                <c:pt idx="39">
                  <c:v>4.7140829600882261</c:v>
                </c:pt>
                <c:pt idx="40">
                  <c:v>5.1791056334622079</c:v>
                </c:pt>
                <c:pt idx="41">
                  <c:v>5.6899897649308393</c:v>
                </c:pt>
                <c:pt idx="42">
                  <c:v>6.2512560463599138</c:v>
                </c:pt>
                <c:pt idx="43">
                  <c:v>6.8678703197178779</c:v>
                </c:pt>
                <c:pt idx="44">
                  <c:v>7.545287314039288</c:v>
                </c:pt>
                <c:pt idx="45">
                  <c:v>8.2894986595986264</c:v>
                </c:pt>
                <c:pt idx="46">
                  <c:v>9.1070855934216297</c:v>
                </c:pt>
                <c:pt idx="47">
                  <c:v>10.005276809492118</c:v>
                </c:pt>
                <c:pt idx="48">
                  <c:v>10.992011949777879</c:v>
                </c:pt>
                <c:pt idx="49">
                  <c:v>12.076011278779077</c:v>
                </c:pt>
                <c:pt idx="50">
                  <c:v>13.266852134989998</c:v>
                </c:pt>
                <c:pt idx="51">
                  <c:v>14.575052807764521</c:v>
                </c:pt>
                <c:pt idx="52">
                  <c:v>16.01216454790222</c:v>
                </c:pt>
                <c:pt idx="53">
                  <c:v>17.590872485145962</c:v>
                </c:pt>
                <c:pt idx="54">
                  <c:v>19.325106296026455</c:v>
                </c:pt>
                <c:pt idx="55">
                  <c:v>21.23016154142314</c:v>
                </c:pt>
                <c:pt idx="56">
                  <c:v>23.322832675141516</c:v>
                </c:pt>
                <c:pt idx="57">
                  <c:v>25.62155881302176</c:v>
                </c:pt>
                <c:pt idx="58">
                  <c:v>28.146583446843799</c:v>
                </c:pt>
                <c:pt idx="59">
                  <c:v>30.920129388785128</c:v>
                </c:pt>
                <c:pt idx="60">
                  <c:v>33.966590340553395</c:v>
                </c:pt>
                <c:pt idx="61">
                  <c:v>37.312740596598466</c:v>
                </c:pt>
                <c:pt idx="62">
                  <c:v>40.987964512926268</c:v>
                </c:pt>
                <c:pt idx="63">
                  <c:v>45.024507501748154</c:v>
                </c:pt>
                <c:pt idx="64">
                  <c:v>49.457750447054231</c:v>
                </c:pt>
                <c:pt idx="65">
                  <c:v>54.326509576490039</c:v>
                </c:pt>
                <c:pt idx="66">
                  <c:v>59.67336396960102</c:v>
                </c:pt>
                <c:pt idx="67">
                  <c:v>65.545013030139259</c:v>
                </c:pt>
                <c:pt idx="68">
                  <c:v>71.99266639873963</c:v>
                </c:pt>
                <c:pt idx="69">
                  <c:v>79.072468929278671</c:v>
                </c:pt>
                <c:pt idx="70">
                  <c:v>86.845963494264694</c:v>
                </c:pt>
                <c:pt idx="71">
                  <c:v>95.380594517369644</c:v>
                </c:pt>
                <c:pt idx="72">
                  <c:v>104.7502552492506</c:v>
                </c:pt>
                <c:pt idx="73">
                  <c:v>115.03588189928696</c:v>
                </c:pt>
                <c:pt idx="74">
                  <c:v>126.32609780228012</c:v>
                </c:pt>
                <c:pt idx="75">
                  <c:v>138.71791082501804</c:v>
                </c:pt>
                <c:pt idx="76">
                  <c:v>152.31746719001472</c:v>
                </c:pt>
                <c:pt idx="77">
                  <c:v>167.2408647969624</c:v>
                </c:pt>
                <c:pt idx="78">
                  <c:v>183.61502893740385</c:v>
                </c:pt>
                <c:pt idx="79">
                  <c:v>201.57865300180808</c:v>
                </c:pt>
                <c:pt idx="80">
                  <c:v>221.28320634296512</c:v>
                </c:pt>
                <c:pt idx="81">
                  <c:v>242.89401085237537</c:v>
                </c:pt>
                <c:pt idx="82">
                  <c:v>266.59138698786279</c:v>
                </c:pt>
                <c:pt idx="83">
                  <c:v>292.57186891464619</c:v>
                </c:pt>
                <c:pt idx="84">
                  <c:v>321.0494870341368</c:v>
                </c:pt>
                <c:pt idx="85">
                  <c:v>352.25711441131909</c:v>
                </c:pt>
                <c:pt idx="86">
                  <c:v>386.44787139917605</c:v>
                </c:pt>
                <c:pt idx="87">
                  <c:v>423.89658001277792</c:v>
                </c:pt>
                <c:pt idx="88">
                  <c:v>464.90125623018503</c:v>
                </c:pt>
                <c:pt idx="89">
                  <c:v>509.78462428392822</c:v>
                </c:pt>
                <c:pt idx="90">
                  <c:v>558.89563203511489</c:v>
                </c:pt>
                <c:pt idx="91">
                  <c:v>612.61094056035847</c:v>
                </c:pt>
                <c:pt idx="92">
                  <c:v>671.33635398830143</c:v>
                </c:pt>
                <c:pt idx="93">
                  <c:v>735.50814724952011</c:v>
                </c:pt>
                <c:pt idx="94">
                  <c:v>805.59423960160427</c:v>
                </c:pt>
                <c:pt idx="95">
                  <c:v>882.09515041683176</c:v>
                </c:pt>
                <c:pt idx="96">
                  <c:v>965.54466064665257</c:v>
                </c:pt>
                <c:pt idx="97">
                  <c:v>1056.5100885106215</c:v>
                </c:pt>
                <c:pt idx="98">
                  <c:v>1155.592071255109</c:v>
                </c:pt>
                <c:pt idx="99">
                  <c:v>1263.4237263253385</c:v>
                </c:pt>
                <c:pt idx="100">
                  <c:v>1380.6690451419843</c:v>
                </c:pt>
                <c:pt idx="101">
                  <c:v>1508.0203511750483</c:v>
                </c:pt>
                <c:pt idx="102">
                  <c:v>1646.1946316745953</c:v>
                </c:pt>
                <c:pt idx="103">
                  <c:v>1795.92853003138</c:v>
                </c:pt>
                <c:pt idx="104">
                  <c:v>1957.9717644221798</c:v>
                </c:pt>
                <c:pt idx="105">
                  <c:v>2133.0787196865358</c:v>
                </c:pt>
                <c:pt idx="106">
                  <c:v>2321.9979453276042</c:v>
                </c:pt>
                <c:pt idx="107">
                  <c:v>2525.4592857565463</c:v>
                </c:pt>
                <c:pt idx="108">
                  <c:v>2744.1583726826343</c:v>
                </c:pt>
                <c:pt idx="109">
                  <c:v>2978.7382278524874</c:v>
                </c:pt>
                <c:pt idx="110">
                  <c:v>3229.7677617998406</c:v>
                </c:pt>
                <c:pt idx="111">
                  <c:v>3497.717016108807</c:v>
                </c:pt>
                <c:pt idx="112">
                  <c:v>3782.9290885369901</c:v>
                </c:pt>
                <c:pt idx="113">
                  <c:v>4085.5888078557468</c:v>
                </c:pt>
                <c:pt idx="114">
                  <c:v>4405.6883936246968</c:v>
                </c:pt>
                <c:pt idx="115">
                  <c:v>4742.9905492701473</c:v>
                </c:pt>
                <c:pt idx="116">
                  <c:v>5096.9896964901673</c:v>
                </c:pt>
                <c:pt idx="117">
                  <c:v>5466.8723633976506</c:v>
                </c:pt>
                <c:pt idx="118">
                  <c:v>5851.4780812681993</c:v>
                </c:pt>
                <c:pt idx="119">
                  <c:v>6249.2625121987212</c:v>
                </c:pt>
                <c:pt idx="120">
                  <c:v>6658.2649015002225</c:v>
                </c:pt>
                <c:pt idx="121">
                  <c:v>7076.082294502462</c:v>
                </c:pt>
                <c:pt idx="122">
                  <c:v>7499.8532388038393</c:v>
                </c:pt>
                <c:pt idx="123">
                  <c:v>7926.2538628760412</c:v>
                </c:pt>
                <c:pt idx="124">
                  <c:v>8351.509227798646</c:v>
                </c:pt>
                <c:pt idx="125">
                  <c:v>8771.4226372835892</c:v>
                </c:pt>
                <c:pt idx="126">
                  <c:v>9181.4251144083082</c:v>
                </c:pt>
                <c:pt idx="127">
                  <c:v>9576.6464784780783</c:v>
                </c:pt>
                <c:pt idx="128">
                  <c:v>9952.0083734150066</c:v>
                </c:pt>
                <c:pt idx="129">
                  <c:v>10302.338235264933</c:v>
                </c:pt>
                <c:pt idx="130">
                  <c:v>10622.501607575829</c:v>
                </c:pt>
                <c:pt idx="131">
                  <c:v>10907.548530852941</c:v>
                </c:pt>
                <c:pt idx="132">
                  <c:v>11152.868098330213</c:v>
                </c:pt>
                <c:pt idx="133">
                  <c:v>11354.343866387528</c:v>
                </c:pt>
                <c:pt idx="134">
                  <c:v>11508.501824569832</c:v>
                </c:pt>
                <c:pt idx="135">
                  <c:v>11612.642239960009</c:v>
                </c:pt>
                <c:pt idx="136">
                  <c:v>11664.947018637478</c:v>
                </c:pt>
                <c:pt idx="137">
                  <c:v>11664.5553232657</c:v>
                </c:pt>
                <c:pt idx="138">
                  <c:v>11611.60200717264</c:v>
                </c:pt>
                <c:pt idx="139">
                  <c:v>11507.21583019733</c:v>
                </c:pt>
                <c:pt idx="140">
                  <c:v>11353.477182851213</c:v>
                </c:pt>
                <c:pt idx="141">
                  <c:v>11153.337878600771</c:v>
                </c:pt>
                <c:pt idx="142">
                  <c:v>10910.508178287542</c:v>
                </c:pt>
                <c:pt idx="143">
                  <c:v>10629.318313051435</c:v>
                </c:pt>
                <c:pt idx="144">
                  <c:v>10314.563168357183</c:v>
                </c:pt>
                <c:pt idx="145">
                  <c:v>9971.3393739891308</c:v>
                </c:pt>
                <c:pt idx="146">
                  <c:v>9604.8838120302698</c:v>
                </c:pt>
                <c:pt idx="147">
                  <c:v>9220.4216042368989</c:v>
                </c:pt>
                <c:pt idx="148">
                  <c:v>8823.0301441344582</c:v>
                </c:pt>
                <c:pt idx="149">
                  <c:v>8417.5239118780028</c:v>
                </c:pt>
                <c:pt idx="150">
                  <c:v>8008.3628727690066</c:v>
                </c:pt>
                <c:pt idx="151">
                  <c:v>7599.5854112078268</c:v>
                </c:pt>
                <c:pt idx="152">
                  <c:v>7194.7651438468647</c:v>
                </c:pt>
                <c:pt idx="153">
                  <c:v>6796.9896864644725</c:v>
                </c:pt>
                <c:pt idx="154">
                  <c:v>6408.8585606220249</c:v>
                </c:pt>
                <c:pt idx="155">
                  <c:v>6032.4969124866811</c:v>
                </c:pt>
                <c:pt idx="156">
                  <c:v>5669.5815355778459</c:v>
                </c:pt>
                <c:pt idx="157">
                  <c:v>5321.3757780375136</c:v>
                </c:pt>
                <c:pt idx="158">
                  <c:v>4988.7702007532653</c:v>
                </c:pt>
                <c:pt idx="159">
                  <c:v>4672.3262640179601</c:v>
                </c:pt>
                <c:pt idx="160">
                  <c:v>4372.3207945348186</c:v>
                </c:pt>
                <c:pt idx="161">
                  <c:v>4088.7894709229122</c:v>
                </c:pt>
                <c:pt idx="162">
                  <c:v>3821.5680274607316</c:v>
                </c:pt>
                <c:pt idx="163">
                  <c:v>3570.3302885339144</c:v>
                </c:pt>
                <c:pt idx="164">
                  <c:v>3334.6224970872413</c:v>
                </c:pt>
                <c:pt idx="165">
                  <c:v>3113.8936849492002</c:v>
                </c:pt>
                <c:pt idx="166">
                  <c:v>2907.522053048303</c:v>
                </c:pt>
                <c:pt idx="167">
                  <c:v>2714.8374911320725</c:v>
                </c:pt>
                <c:pt idx="168">
                  <c:v>2535.1404776825393</c:v>
                </c:pt>
                <c:pt idx="169">
                  <c:v>2367.7176701634148</c:v>
                </c:pt>
                <c:pt idx="170">
                  <c:v>2211.8545322614318</c:v>
                </c:pt>
                <c:pt idx="171">
                  <c:v>2066.8453563849171</c:v>
                </c:pt>
                <c:pt idx="172">
                  <c:v>1932.0010332828281</c:v>
                </c:pt>
                <c:pt idx="173">
                  <c:v>1806.6549019942897</c:v>
                </c:pt>
                <c:pt idx="174">
                  <c:v>1690.1669870179471</c:v>
                </c:pt>
                <c:pt idx="175">
                  <c:v>1581.926899127152</c:v>
                </c:pt>
                <c:pt idx="176">
                  <c:v>1481.3556442570471</c:v>
                </c:pt>
                <c:pt idx="177">
                  <c:v>1387.9065531966385</c:v>
                </c:pt>
                <c:pt idx="178">
                  <c:v>1301.065514666325</c:v>
                </c:pt>
                <c:pt idx="179">
                  <c:v>1220.3506665106238</c:v>
                </c:pt>
                <c:pt idx="180">
                  <c:v>1145.3116745953291</c:v>
                </c:pt>
                <c:pt idx="181">
                  <c:v>1075.5287067216229</c:v>
                </c:pt>
                <c:pt idx="182">
                  <c:v>1010.6111894339388</c:v>
                </c:pt>
                <c:pt idx="183">
                  <c:v>950.19641886528211</c:v>
                </c:pt>
                <c:pt idx="184">
                  <c:v>893.94808252524251</c:v>
                </c:pt>
                <c:pt idx="185">
                  <c:v>841.55473694763373</c:v>
                </c:pt>
                <c:pt idx="186">
                  <c:v>792.72827611936998</c:v>
                </c:pt>
                <c:pt idx="187">
                  <c:v>747.20241735577156</c:v>
                </c:pt>
                <c:pt idx="188">
                  <c:v>704.73122452923042</c:v>
                </c:pt>
                <c:pt idx="189">
                  <c:v>665.08768307661785</c:v>
                </c:pt>
                <c:pt idx="190">
                  <c:v>628.06233680680327</c:v>
                </c:pt>
                <c:pt idx="191">
                  <c:v>593.46199302713171</c:v>
                </c:pt>
                <c:pt idx="192">
                  <c:v>561.10849975334509</c:v>
                </c:pt>
                <c:pt idx="193">
                  <c:v>530.83759662918874</c:v>
                </c:pt>
                <c:pt idx="194">
                  <c:v>502.49783954734124</c:v>
                </c:pt>
                <c:pt idx="195">
                  <c:v>475.94959773731995</c:v>
                </c:pt>
                <c:pt idx="196">
                  <c:v>451.06412118904177</c:v>
                </c:pt>
                <c:pt idx="197">
                  <c:v>427.72267564652356</c:v>
                </c:pt>
                <c:pt idx="198">
                  <c:v>405.81574198006768</c:v>
                </c:pt>
                <c:pt idx="199">
                  <c:v>385.24227648224678</c:v>
                </c:pt>
                <c:pt idx="200">
                  <c:v>365.9090284964056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3-43F7-9E35-B19E2FF2EB79}"/>
            </c:ext>
          </c:extLst>
        </c:ser>
        <c:ser>
          <c:idx val="1"/>
          <c:order val="1"/>
          <c:tx>
            <c:strRef>
              <c:f>'Santa Ana'!$J$3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'Santa Ana'!$C$3:$C$204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'Santa Ana'!$J$4:$J$204</c:f>
              <c:numCache>
                <c:formatCode>0</c:formatCode>
                <c:ptCount val="201"/>
                <c:pt idx="1">
                  <c:v>2.9666666666666664E-2</c:v>
                </c:pt>
                <c:pt idx="2">
                  <c:v>3.2593770299585982E-2</c:v>
                </c:pt>
                <c:pt idx="3">
                  <c:v>3.5809679698717407E-2</c:v>
                </c:pt>
                <c:pt idx="4">
                  <c:v>3.9342889971164134E-2</c:v>
                </c:pt>
                <c:pt idx="5">
                  <c:v>4.3224707657065466E-2</c:v>
                </c:pt>
                <c:pt idx="6">
                  <c:v>4.7489528106654418E-2</c:v>
                </c:pt>
                <c:pt idx="7">
                  <c:v>5.2175140221503255E-2</c:v>
                </c:pt>
                <c:pt idx="8">
                  <c:v>5.7323061259125743E-2</c:v>
                </c:pt>
                <c:pt idx="9">
                  <c:v>6.2978904666264046E-2</c:v>
                </c:pt>
                <c:pt idx="10">
                  <c:v>6.9192784198575857E-2</c:v>
                </c:pt>
                <c:pt idx="11">
                  <c:v>7.6019757905634686E-2</c:v>
                </c:pt>
                <c:pt idx="12">
                  <c:v>8.3520315912995829E-2</c:v>
                </c:pt>
                <c:pt idx="13">
                  <c:v>9.1760916320677843E-2</c:v>
                </c:pt>
                <c:pt idx="14">
                  <c:v>0.10081457396317775</c:v>
                </c:pt>
                <c:pt idx="15">
                  <c:v>0.11076150724383356</c:v>
                </c:pt>
                <c:pt idx="16">
                  <c:v>0.12168984877008551</c:v>
                </c:pt>
                <c:pt idx="17">
                  <c:v>0.13369642608049287</c:v>
                </c:pt>
                <c:pt idx="18">
                  <c:v>0.14688761937419795</c:v>
                </c:pt>
                <c:pt idx="19">
                  <c:v>0.1613803038343421</c:v>
                </c:pt>
                <c:pt idx="20">
                  <c:v>0.17730288488470977</c:v>
                </c:pt>
                <c:pt idx="21">
                  <c:v>0.19479643554016729</c:v>
                </c:pt>
                <c:pt idx="22">
                  <c:v>0.21401594591347409</c:v>
                </c:pt>
                <c:pt idx="23">
                  <c:v>0.23513169593167349</c:v>
                </c:pt>
                <c:pt idx="24">
                  <c:v>0.25833076340318384</c:v>
                </c:pt>
                <c:pt idx="25">
                  <c:v>0.28381868077141381</c:v>
                </c:pt>
                <c:pt idx="26">
                  <c:v>0.31182125520263726</c:v>
                </c:pt>
                <c:pt idx="27">
                  <c:v>0.34258656809641364</c:v>
                </c:pt>
                <c:pt idx="28">
                  <c:v>0.37638717168854996</c:v>
                </c:pt>
                <c:pt idx="29">
                  <c:v>0.41352250215320535</c:v>
                </c:pt>
                <c:pt idx="30">
                  <c:v>0.45432153051726659</c:v>
                </c:pt>
                <c:pt idx="31">
                  <c:v>0.4991456747930586</c:v>
                </c:pt>
                <c:pt idx="32">
                  <c:v>0.54839199903282931</c:v>
                </c:pt>
                <c:pt idx="33">
                  <c:v>0.60249672753000749</c:v>
                </c:pt>
                <c:pt idx="34">
                  <c:v>0.66193910515958498</c:v>
                </c:pt>
                <c:pt idx="35">
                  <c:v>0.72724563788675034</c:v>
                </c:pt>
                <c:pt idx="36">
                  <c:v>0.79899475080492599</c:v>
                </c:pt>
                <c:pt idx="37">
                  <c:v>0.87782190471987254</c:v>
                </c:pt>
                <c:pt idx="38">
                  <c:v>0.96442521630634759</c:v>
                </c:pt>
                <c:pt idx="39">
                  <c:v>1.0595716312615673</c:v>
                </c:pt>
                <c:pt idx="40">
                  <c:v>1.1641037047021325</c:v>
                </c:pt>
                <c:pt idx="41">
                  <c:v>1.2789470483381069</c:v>
                </c:pt>
                <c:pt idx="42">
                  <c:v>1.4051185097531187</c:v>
                </c:pt>
                <c:pt idx="43">
                  <c:v>1.5437351554700254</c:v>
                </c:pt>
                <c:pt idx="44">
                  <c:v>1.6960241364393218</c:v>
                </c:pt>
                <c:pt idx="45">
                  <c:v>1.8633335222078435</c:v>
                </c:pt>
                <c:pt idx="46">
                  <c:v>2.0471441983690082</c:v>
                </c:pt>
                <c:pt idx="47">
                  <c:v>2.2490829310282163</c:v>
                </c:pt>
                <c:pt idx="48">
                  <c:v>2.4709367120088754</c:v>
                </c:pt>
                <c:pt idx="49">
                  <c:v>2.7146685094519896</c:v>
                </c:pt>
                <c:pt idx="50">
                  <c:v>2.9824345604073685</c:v>
                </c:pt>
                <c:pt idx="51">
                  <c:v>3.2766033550651601</c:v>
                </c:pt>
                <c:pt idx="52">
                  <c:v>3.5997764765266687</c:v>
                </c:pt>
                <c:pt idx="53">
                  <c:v>3.9548114755635457</c:v>
                </c:pt>
                <c:pt idx="54">
                  <c:v>4.3448469767707563</c:v>
                </c:pt>
                <c:pt idx="55">
                  <c:v>4.7733302309938495</c:v>
                </c:pt>
                <c:pt idx="56">
                  <c:v>5.2440473490229405</c:v>
                </c:pt>
                <c:pt idx="57">
                  <c:v>5.7611564734180414</c:v>
                </c:pt>
                <c:pt idx="58">
                  <c:v>6.3292241690904181</c:v>
                </c:pt>
                <c:pt idx="59">
                  <c:v>6.95326533904377</c:v>
                </c:pt>
                <c:pt idx="60">
                  <c:v>7.6387869996096036</c:v>
                </c:pt>
                <c:pt idx="61">
                  <c:v>8.3918362797257018</c:v>
                </c:pt>
                <c:pt idx="62">
                  <c:v>9.2190530414339342</c:v>
                </c:pt>
                <c:pt idx="63">
                  <c:v>10.12772755393628</c:v>
                </c:pt>
                <c:pt idx="64">
                  <c:v>11.125863691356933</c:v>
                </c:pt>
                <c:pt idx="65">
                  <c:v>12.222248164907647</c:v>
                </c:pt>
                <c:pt idx="66">
                  <c:v>13.426526343513263</c:v>
                </c:pt>
                <c:pt idx="67">
                  <c:v>14.749285263160983</c:v>
                </c:pt>
                <c:pt idx="68">
                  <c:v>16.202144474283081</c:v>
                </c:pt>
                <c:pt idx="69">
                  <c:v>17.79785542830292</c:v>
                </c:pt>
                <c:pt idx="70">
                  <c:v>19.550410158928095</c:v>
                </c:pt>
                <c:pt idx="71">
                  <c:v>21.475160070627005</c:v>
                </c:pt>
                <c:pt idx="72">
                  <c:v>23.588945705621409</c:v>
                </c:pt>
                <c:pt idx="73">
                  <c:v>25.910238421161793</c:v>
                </c:pt>
                <c:pt idx="74">
                  <c:v>28.45929497013525</c:v>
                </c:pt>
                <c:pt idx="75">
                  <c:v>31.258326039265054</c:v>
                </c:pt>
                <c:pt idx="76">
                  <c:v>34.331679859098422</c:v>
                </c:pt>
                <c:pt idx="77">
                  <c:v>37.706042057098912</c:v>
                </c:pt>
                <c:pt idx="78">
                  <c:v>41.410652977505492</c:v>
                </c:pt>
                <c:pt idx="79">
                  <c:v>45.477543736731619</c:v>
                </c:pt>
                <c:pt idx="80">
                  <c:v>49.941792317894198</c:v>
                </c:pt>
                <c:pt idx="81">
                  <c:v>54.841801028805691</c:v>
                </c:pt>
                <c:pt idx="82">
                  <c:v>60.2195966497993</c:v>
                </c:pt>
                <c:pt idx="83">
                  <c:v>66.121154575445914</c:v>
                </c:pt>
                <c:pt idx="84">
                  <c:v>72.596748200732222</c:v>
                </c:pt>
                <c:pt idx="85">
                  <c:v>79.701324709387208</c:v>
                </c:pt>
                <c:pt idx="86">
                  <c:v>87.494908279943431</c:v>
                </c:pt>
                <c:pt idx="87">
                  <c:v>96.04303152212087</c:v>
                </c:pt>
                <c:pt idx="88">
                  <c:v>105.41719567842925</c:v>
                </c:pt>
                <c:pt idx="89">
                  <c:v>115.69535975731043</c:v>
                </c:pt>
                <c:pt idx="90">
                  <c:v>126.96245828582327</c:v>
                </c:pt>
                <c:pt idx="91">
                  <c:v>139.31094676000424</c:v>
                </c:pt>
                <c:pt idx="92">
                  <c:v>152.84137310462805</c:v>
                </c:pt>
                <c:pt idx="93">
                  <c:v>167.66297250279337</c:v>
                </c:pt>
                <c:pt idx="94">
                  <c:v>183.89428178776933</c:v>
                </c:pt>
                <c:pt idx="95">
                  <c:v>201.66376816969128</c:v>
                </c:pt>
                <c:pt idx="96">
                  <c:v>221.11046535973426</c:v>
                </c:pt>
                <c:pt idx="97">
                  <c:v>242.38460811359383</c:v>
                </c:pt>
                <c:pt idx="98">
                  <c:v>265.6482538022891</c:v>
                </c:pt>
                <c:pt idx="99">
                  <c:v>291.0758767894477</c:v>
                </c:pt>
                <c:pt idx="100">
                  <c:v>318.85491811078452</c:v>
                </c:pt>
                <c:pt idx="101">
                  <c:v>349.18626917963712</c:v>
                </c:pt>
                <c:pt idx="102">
                  <c:v>382.28466395850899</c:v>
                </c:pt>
                <c:pt idx="103">
                  <c:v>418.37894923290503</c:v>
                </c:pt>
                <c:pt idx="104">
                  <c:v>457.71219731607249</c:v>
                </c:pt>
                <c:pt idx="105">
                  <c:v>500.54161975006144</c:v>
                </c:pt>
                <c:pt idx="106">
                  <c:v>547.13823444242666</c:v>
                </c:pt>
                <c:pt idx="107">
                  <c:v>597.78623233906467</c:v>
                </c:pt>
                <c:pt idx="108">
                  <c:v>652.78198340520657</c:v>
                </c:pt>
                <c:pt idx="109">
                  <c:v>712.43261568128457</c:v>
                </c:pt>
                <c:pt idx="110">
                  <c:v>777.05409591819887</c:v>
                </c:pt>
                <c:pt idx="111">
                  <c:v>846.96873632098743</c:v>
                </c:pt>
                <c:pt idx="112">
                  <c:v>922.50204992151566</c:v>
                </c:pt>
                <c:pt idx="113">
                  <c:v>1003.9788778840625</c:v>
                </c:pt>
                <c:pt idx="114">
                  <c:v>1091.7187165876478</c:v>
                </c:pt>
                <c:pt idx="115">
                  <c:v>1186.0301817122588</c:v>
                </c:pt>
                <c:pt idx="116">
                  <c:v>1287.2045619501978</c:v>
                </c:pt>
                <c:pt idx="117">
                  <c:v>1395.5084375477329</c:v>
                </c:pt>
                <c:pt idx="118">
                  <c:v>1511.1753697436054</c:v>
                </c:pt>
                <c:pt idx="119">
                  <c:v>1634.3967071631084</c:v>
                </c:pt>
                <c:pt idx="120">
                  <c:v>1765.3116047862338</c:v>
                </c:pt>
                <c:pt idx="121">
                  <c:v>1903.9964100378659</c:v>
                </c:pt>
                <c:pt idx="122">
                  <c:v>2050.4536377735099</c:v>
                </c:pt>
                <c:pt idx="123">
                  <c:v>2204.6008292655733</c:v>
                </c:pt>
                <c:pt idx="124">
                  <c:v>2366.2596662220435</c:v>
                </c:pt>
                <c:pt idx="125">
                  <c:v>2535.1457844393344</c:v>
                </c:pt>
                <c:pt idx="126">
                  <c:v>2710.8597965307695</c:v>
                </c:pt>
                <c:pt idx="127">
                  <c:v>2892.8800817071901</c:v>
                </c:pt>
                <c:pt idx="128">
                  <c:v>3080.5579245118006</c:v>
                </c:pt>
                <c:pt idx="129">
                  <c:v>3273.1155754393858</c:v>
                </c:pt>
                <c:pt idx="130">
                  <c:v>3469.6477572375998</c:v>
                </c:pt>
                <c:pt idx="131">
                  <c:v>3669.1270463544292</c:v>
                </c:pt>
                <c:pt idx="132">
                  <c:v>3870.4134178912518</c:v>
                </c:pt>
                <c:pt idx="133">
                  <c:v>4072.2680575453392</c:v>
                </c:pt>
                <c:pt idx="134">
                  <c:v>4273.3713236633248</c:v>
                </c:pt>
                <c:pt idx="135">
                  <c:v>4472.3445003367851</c:v>
                </c:pt>
                <c:pt idx="136">
                  <c:v>4667.7747367777056</c:v>
                </c:pt>
                <c:pt idx="137">
                  <c:v>4858.242340438027</c:v>
                </c:pt>
                <c:pt idx="138">
                  <c:v>5042.3494036803077</c:v>
                </c:pt>
                <c:pt idx="139">
                  <c:v>5218.7486164370875</c:v>
                </c:pt>
                <c:pt idx="140">
                  <c:v>5386.1710655183715</c:v>
                </c:pt>
                <c:pt idx="141">
                  <c:v>5543.4518530923442</c:v>
                </c:pt>
                <c:pt idx="142">
                  <c:v>5689.552481721089</c:v>
                </c:pt>
                <c:pt idx="143">
                  <c:v>5823.5791416195825</c:v>
                </c:pt>
                <c:pt idx="144">
                  <c:v>5944.7962801861222</c:v>
                </c:pt>
                <c:pt idx="145">
                  <c:v>6052.6351115078469</c:v>
                </c:pt>
                <c:pt idx="146">
                  <c:v>6146.6970092192623</c:v>
                </c:pt>
                <c:pt idx="147">
                  <c:v>6226.7519953355186</c:v>
                </c:pt>
                <c:pt idx="148">
                  <c:v>6292.7327697500295</c:v>
                </c:pt>
                <c:pt idx="149">
                  <c:v>6344.7249050343517</c:v>
                </c:pt>
                <c:pt idx="150">
                  <c:v>6382.9539509189208</c:v>
                </c:pt>
                <c:pt idx="151">
                  <c:v>6407.7702511137704</c:v>
                </c:pt>
                <c:pt idx="152">
                  <c:v>6419.6322766091434</c:v>
                </c:pt>
                <c:pt idx="153">
                  <c:v>6419.0892333229613</c:v>
                </c:pt>
                <c:pt idx="154">
                  <c:v>6406.7636195773093</c:v>
                </c:pt>
                <c:pt idx="155">
                  <c:v>6383.3343028898526</c:v>
                </c:pt>
                <c:pt idx="156">
                  <c:v>6349.5205678639622</c:v>
                </c:pt>
                <c:pt idx="157">
                  <c:v>6306.067467823972</c:v>
                </c:pt>
                <c:pt idx="158">
                  <c:v>6253.7327003116188</c:v>
                </c:pt>
                <c:pt idx="159">
                  <c:v>6193.2751262569118</c:v>
                </c:pt>
                <c:pt idx="160">
                  <c:v>6125.4449678808805</c:v>
                </c:pt>
                <c:pt idx="161">
                  <c:v>6050.9756525227176</c:v>
                </c:pt>
                <c:pt idx="162">
                  <c:v>5970.5772184093394</c:v>
                </c:pt>
                <c:pt idx="163">
                  <c:v>5884.9311626103636</c:v>
                </c:pt>
                <c:pt idx="164">
                  <c:v>5794.6865890831914</c:v>
                </c:pt>
                <c:pt idx="165">
                  <c:v>5700.4575035273392</c:v>
                </c:pt>
                <c:pt idx="166">
                  <c:v>5602.8210993965868</c:v>
                </c:pt>
                <c:pt idx="167">
                  <c:v>5502.3168836571331</c:v>
                </c:pt>
                <c:pt idx="168">
                  <c:v>5399.4464997721479</c:v>
                </c:pt>
                <c:pt idx="169">
                  <c:v>5294.6741172843258</c:v>
                </c:pt>
                <c:pt idx="170">
                  <c:v>5188.4272709230281</c:v>
                </c:pt>
                <c:pt idx="171">
                  <c:v>5081.0980463493506</c:v>
                </c:pt>
                <c:pt idx="172">
                  <c:v>4973.0445237104577</c:v>
                </c:pt>
                <c:pt idx="173">
                  <c:v>4864.5924035741673</c:v>
                </c:pt>
                <c:pt idx="174">
                  <c:v>4756.0367522141914</c:v>
                </c:pt>
                <c:pt idx="175">
                  <c:v>4647.6438144219173</c:v>
                </c:pt>
                <c:pt idx="176">
                  <c:v>4539.6528519486255</c:v>
                </c:pt>
                <c:pt idx="177">
                  <c:v>4432.2779743299634</c:v>
                </c:pt>
                <c:pt idx="178">
                  <c:v>4325.7099362637973</c:v>
                </c:pt>
                <c:pt idx="179">
                  <c:v>4220.1178819901052</c:v>
                </c:pt>
                <c:pt idx="180">
                  <c:v>4115.6510223635823</c:v>
                </c:pt>
                <c:pt idx="181">
                  <c:v>4012.4402346311244</c:v>
                </c:pt>
                <c:pt idx="182">
                  <c:v>3910.5995784428278</c:v>
                </c:pt>
                <c:pt idx="183">
                  <c:v>3810.2277244479405</c:v>
                </c:pt>
                <c:pt idx="184">
                  <c:v>3711.4092940593459</c:v>
                </c:pt>
                <c:pt idx="185">
                  <c:v>3614.2161107056163</c:v>
                </c:pt>
                <c:pt idx="186">
                  <c:v>3518.7083642115422</c:v>
                </c:pt>
                <c:pt idx="187">
                  <c:v>3424.9356909293656</c:v>
                </c:pt>
                <c:pt idx="188">
                  <c:v>3332.9381729466081</c:v>
                </c:pt>
                <c:pt idx="189">
                  <c:v>3242.7472601760883</c:v>
                </c:pt>
                <c:pt idx="190">
                  <c:v>3154.3866194348252</c:v>
                </c:pt>
                <c:pt idx="191">
                  <c:v>3067.8729147789331</c:v>
                </c:pt>
                <c:pt idx="192">
                  <c:v>2983.2165234127738</c:v>
                </c:pt>
                <c:pt idx="193">
                  <c:v>2900.4221914583641</c:v>
                </c:pt>
                <c:pt idx="194">
                  <c:v>2819.489633776418</c:v>
                </c:pt>
                <c:pt idx="195">
                  <c:v>2740.414081890442</c:v>
                </c:pt>
                <c:pt idx="196">
                  <c:v>2663.1867838936337</c:v>
                </c:pt>
                <c:pt idx="197">
                  <c:v>2587.7954600257881</c:v>
                </c:pt>
                <c:pt idx="198">
                  <c:v>2514.2247174024419</c:v>
                </c:pt>
                <c:pt idx="199">
                  <c:v>2442.4564271677687</c:v>
                </c:pt>
                <c:pt idx="200">
                  <c:v>2372.4700671311498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23-43F7-9E35-B19E2FF2EB79}"/>
            </c:ext>
          </c:extLst>
        </c:ser>
        <c:ser>
          <c:idx val="2"/>
          <c:order val="2"/>
          <c:tx>
            <c:strRef>
              <c:f>'Santa Ana'!$K$3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'Santa Ana'!$C$3:$C$204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'Santa Ana'!$K$4:$K$204</c:f>
              <c:numCache>
                <c:formatCode>0</c:formatCode>
                <c:ptCount val="201"/>
                <c:pt idx="1">
                  <c:v>3.6666666666666701E-3</c:v>
                </c:pt>
                <c:pt idx="2">
                  <c:v>4.0284435201735523E-3</c:v>
                </c:pt>
                <c:pt idx="3">
                  <c:v>4.425915468380808E-3</c:v>
                </c:pt>
                <c:pt idx="4">
                  <c:v>4.8626043784584932E-3</c:v>
                </c:pt>
                <c:pt idx="5">
                  <c:v>5.3423795980642765E-3</c:v>
                </c:pt>
                <c:pt idx="6">
                  <c:v>5.8694922379011142E-3</c:v>
                </c:pt>
                <c:pt idx="7">
                  <c:v>6.4486128363655769E-3</c:v>
                </c:pt>
                <c:pt idx="8">
                  <c:v>7.0848727398919531E-3</c:v>
                </c:pt>
                <c:pt idx="9">
                  <c:v>7.7839095654933157E-3</c:v>
                </c:pt>
                <c:pt idx="10">
                  <c:v>8.5519171481385978E-3</c:v>
                </c:pt>
                <c:pt idx="11">
                  <c:v>9.3957004153031719E-3</c:v>
                </c:pt>
                <c:pt idx="12">
                  <c:v>1.0322735674639946E-2</c:v>
                </c:pt>
                <c:pt idx="13">
                  <c:v>1.1341236848623116E-2</c:v>
                </c:pt>
                <c:pt idx="14">
                  <c:v>1.2460228242639959E-2</c:v>
                </c:pt>
                <c:pt idx="15">
                  <c:v>1.3689624490810903E-2</c:v>
                </c:pt>
                <c:pt idx="16">
                  <c:v>1.5040318387313954E-2</c:v>
                </c:pt>
                <c:pt idx="17">
                  <c:v>1.652427738073509E-2</c:v>
                </c:pt>
                <c:pt idx="18">
                  <c:v>1.8154649585575045E-2</c:v>
                </c:pt>
                <c:pt idx="19">
                  <c:v>1.994588024918837E-2</c:v>
                </c:pt>
                <c:pt idx="20">
                  <c:v>2.1913839704851792E-2</c:v>
                </c:pt>
                <c:pt idx="21">
                  <c:v>2.4075963943166766E-2</c:v>
                </c:pt>
                <c:pt idx="22">
                  <c:v>2.645140904548559E-2</c:v>
                </c:pt>
                <c:pt idx="23">
                  <c:v>2.9061220845487765E-2</c:v>
                </c:pt>
                <c:pt idx="24">
                  <c:v>3.1928521319494661E-2</c:v>
                </c:pt>
                <c:pt idx="25">
                  <c:v>3.5078713353770288E-2</c:v>
                </c:pt>
                <c:pt idx="26">
                  <c:v>3.8539705699202398E-2</c:v>
                </c:pt>
                <c:pt idx="27">
                  <c:v>4.2342160101803979E-2</c:v>
                </c:pt>
                <c:pt idx="28">
                  <c:v>4.6519762792966893E-2</c:v>
                </c:pt>
                <c:pt idx="29">
                  <c:v>5.1109522738036671E-2</c:v>
                </c:pt>
                <c:pt idx="30">
                  <c:v>5.6152099277415025E-2</c:v>
                </c:pt>
                <c:pt idx="31">
                  <c:v>6.169216205307472E-2</c:v>
                </c:pt>
                <c:pt idx="32">
                  <c:v>6.7778786397316063E-2</c:v>
                </c:pt>
                <c:pt idx="33">
                  <c:v>7.4465887672248196E-2</c:v>
                </c:pt>
                <c:pt idx="34">
                  <c:v>8.1812698390510585E-2</c:v>
                </c:pt>
                <c:pt idx="35">
                  <c:v>8.9884292323081608E-2</c:v>
                </c:pt>
                <c:pt idx="36">
                  <c:v>9.875216021184488E-2</c:v>
                </c:pt>
                <c:pt idx="37">
                  <c:v>0.10849484215638884</c:v>
                </c:pt>
                <c:pt idx="38">
                  <c:v>0.11919862224011049</c:v>
                </c:pt>
                <c:pt idx="39">
                  <c:v>0.13095829150423879</c:v>
                </c:pt>
                <c:pt idx="40">
                  <c:v>0.14387798597442103</c:v>
                </c:pt>
                <c:pt idx="41">
                  <c:v>0.15807210709796843</c:v>
                </c:pt>
                <c:pt idx="42">
                  <c:v>0.17366633266611595</c:v>
                </c:pt>
                <c:pt idx="43">
                  <c:v>0.19079872708056514</c:v>
                </c:pt>
                <c:pt idx="44">
                  <c:v>0.20962096068351191</c:v>
                </c:pt>
                <c:pt idx="45">
                  <c:v>0.23029964881220563</c:v>
                </c:pt>
                <c:pt idx="46">
                  <c:v>0.2530178222703271</c:v>
                </c:pt>
                <c:pt idx="47">
                  <c:v>0.27797654203719552</c:v>
                </c:pt>
                <c:pt idx="48">
                  <c:v>0.30539667227076012</c:v>
                </c:pt>
                <c:pt idx="49">
                  <c:v>0.33552082701092034</c:v>
                </c:pt>
                <c:pt idx="50">
                  <c:v>0.36861550746607968</c:v>
                </c:pt>
                <c:pt idx="51">
                  <c:v>0.40497344837884042</c:v>
                </c:pt>
                <c:pt idx="52">
                  <c:v>0.44491619372801566</c:v>
                </c:pt>
                <c:pt idx="53">
                  <c:v>0.48879692394605673</c:v>
                </c:pt>
                <c:pt idx="54">
                  <c:v>0.53700355892672336</c:v>
                </c:pt>
                <c:pt idx="55">
                  <c:v>0.58996216338126284</c:v>
                </c:pt>
                <c:pt idx="56">
                  <c:v>0.64814068358710564</c:v>
                </c:pt>
                <c:pt idx="57">
                  <c:v>0.71205304727638785</c:v>
                </c:pt>
                <c:pt idx="58">
                  <c:v>0.78226366134825465</c:v>
                </c:pt>
                <c:pt idx="59">
                  <c:v>0.85939234527507358</c:v>
                </c:pt>
                <c:pt idx="60">
                  <c:v>0.9441197415247834</c:v>
                </c:pt>
                <c:pt idx="61">
                  <c:v>1.0371932480559864</c:v>
                </c:pt>
                <c:pt idx="62">
                  <c:v>1.1394335219749818</c:v>
                </c:pt>
                <c:pt idx="63">
                  <c:v>1.2517416077898786</c:v>
                </c:pt>
                <c:pt idx="64">
                  <c:v>1.3751067483699595</c:v>
                </c:pt>
                <c:pt idx="65">
                  <c:v>1.51061494173016</c:v>
                </c:pt>
                <c:pt idx="66">
                  <c:v>1.6594583121196183</c:v>
                </c:pt>
                <c:pt idx="67">
                  <c:v>1.8229453696041682</c:v>
                </c:pt>
                <c:pt idx="68">
                  <c:v>2.00251223839454</c:v>
                </c:pt>
                <c:pt idx="69">
                  <c:v>2.1997349405767679</c:v>
                </c:pt>
                <c:pt idx="70">
                  <c:v>2.4163428286315645</c:v>
                </c:pt>
                <c:pt idx="71">
                  <c:v>2.6542332671561497</c:v>
                </c:pt>
                <c:pt idx="72">
                  <c:v>2.9154876714813005</c:v>
                </c:pt>
                <c:pt idx="73">
                  <c:v>3.2023890183458428</c:v>
                </c:pt>
                <c:pt idx="74">
                  <c:v>3.517440951365034</c:v>
                </c:pt>
                <c:pt idx="75">
                  <c:v>3.8633886115945608</c:v>
                </c:pt>
                <c:pt idx="76">
                  <c:v>4.2432413308998091</c:v>
                </c:pt>
                <c:pt idx="77">
                  <c:v>4.6602973328998702</c:v>
                </c:pt>
                <c:pt idx="78">
                  <c:v>5.1181705927254031</c:v>
                </c:pt>
                <c:pt idx="79">
                  <c:v>5.6208200124050363</c:v>
                </c:pt>
                <c:pt idx="80">
                  <c:v>6.1725810729981658</c:v>
                </c:pt>
                <c:pt idx="81">
                  <c:v>6.7782001271557668</c:v>
                </c:pt>
                <c:pt idx="82">
                  <c:v>7.442871496042617</c:v>
                </c:pt>
                <c:pt idx="83">
                  <c:v>8.1722775317966949</c:v>
                </c:pt>
                <c:pt idx="84">
                  <c:v>8.9726318000905092</c:v>
                </c:pt>
                <c:pt idx="85">
                  <c:v>9.8507255258793283</c:v>
                </c:pt>
                <c:pt idx="86">
                  <c:v>10.813977427858187</c:v>
                </c:pt>
                <c:pt idx="87">
                  <c:v>11.870487042059894</c:v>
                </c:pt>
                <c:pt idx="88">
                  <c:v>13.029091600704753</c:v>
                </c:pt>
                <c:pt idx="89">
                  <c:v>14.299426486858607</c:v>
                </c:pt>
                <c:pt idx="90">
                  <c:v>15.691989226337723</c:v>
                </c:pt>
                <c:pt idx="91">
                  <c:v>17.218206902921889</c:v>
                </c:pt>
                <c:pt idx="92">
                  <c:v>18.890506788212473</c:v>
                </c:pt>
                <c:pt idx="93">
                  <c:v>20.722389859895831</c:v>
                </c:pt>
                <c:pt idx="94">
                  <c:v>22.728506737814211</c:v>
                </c:pt>
                <c:pt idx="95">
                  <c:v>24.924735391759622</c:v>
                </c:pt>
                <c:pt idx="96">
                  <c:v>27.328259763562688</c:v>
                </c:pt>
                <c:pt idx="97">
                  <c:v>29.957648193814993</c:v>
                </c:pt>
                <c:pt idx="98">
                  <c:v>32.832930245226777</c:v>
                </c:pt>
                <c:pt idx="99">
                  <c:v>35.975670164987953</c:v>
                </c:pt>
                <c:pt idx="100">
                  <c:v>39.409034822681271</c:v>
                </c:pt>
                <c:pt idx="101">
                  <c:v>43.157853494112501</c:v>
                </c:pt>
                <c:pt idx="102">
                  <c:v>47.248666331950595</c:v>
                </c:pt>
                <c:pt idx="103">
                  <c:v>51.709757770359104</c:v>
                </c:pt>
                <c:pt idx="104">
                  <c:v>56.571170454795528</c:v>
                </c:pt>
                <c:pt idx="105">
                  <c:v>61.864694575850351</c:v>
                </c:pt>
                <c:pt idx="106">
                  <c:v>67.623826728839305</c:v>
                </c:pt>
                <c:pt idx="107">
                  <c:v>73.883691637412554</c:v>
                </c:pt>
                <c:pt idx="108">
                  <c:v>80.680919297272808</c:v>
                </c:pt>
                <c:pt idx="109">
                  <c:v>88.053469353866731</c:v>
                </c:pt>
                <c:pt idx="110">
                  <c:v>96.040393877530292</c:v>
                </c:pt>
                <c:pt idx="111">
                  <c:v>104.68152920821204</c:v>
                </c:pt>
                <c:pt idx="112">
                  <c:v>114.01710729367059</c:v>
                </c:pt>
                <c:pt idx="113">
                  <c:v>124.08727704185054</c:v>
                </c:pt>
                <c:pt idx="114">
                  <c:v>134.93152676925996</c:v>
                </c:pt>
                <c:pt idx="115">
                  <c:v>146.58799998690853</c:v>
                </c:pt>
                <c:pt idx="116">
                  <c:v>159.09269866800213</c:v>
                </c:pt>
                <c:pt idx="117">
                  <c:v>172.47857093286603</c:v>
                </c:pt>
                <c:pt idx="118">
                  <c:v>186.77448390089523</c:v>
                </c:pt>
                <c:pt idx="119">
                  <c:v>202.00408740218214</c:v>
                </c:pt>
                <c:pt idx="120">
                  <c:v>218.18458036683808</c:v>
                </c:pt>
                <c:pt idx="121">
                  <c:v>235.32539899344431</c:v>
                </c:pt>
                <c:pt idx="122">
                  <c:v>253.42685410683853</c:v>
                </c:pt>
                <c:pt idx="123">
                  <c:v>272.47875417889134</c:v>
                </c:pt>
                <c:pt idx="124">
                  <c:v>292.45905987014049</c:v>
                </c:pt>
                <c:pt idx="125">
                  <c:v>313.33262504306407</c:v>
                </c:pt>
                <c:pt idx="126">
                  <c:v>335.05008721166848</c:v>
                </c:pt>
                <c:pt idx="127">
                  <c:v>357.54697639077671</c:v>
                </c:pt>
                <c:pt idx="128">
                  <c:v>380.74311426550383</c:v>
                </c:pt>
                <c:pt idx="129">
                  <c:v>404.54237449250883</c:v>
                </c:pt>
                <c:pt idx="130">
                  <c:v>428.83286887206327</c:v>
                </c:pt>
                <c:pt idx="131">
                  <c:v>453.4876124707726</c:v>
                </c:pt>
                <c:pt idx="132">
                  <c:v>478.3657033348743</c:v>
                </c:pt>
                <c:pt idx="133">
                  <c:v>503.31402958425588</c:v>
                </c:pt>
                <c:pt idx="134">
                  <c:v>528.16948944153512</c:v>
                </c:pt>
                <c:pt idx="135">
                  <c:v>552.76167981690662</c:v>
                </c:pt>
                <c:pt idx="136">
                  <c:v>576.91597870286307</c:v>
                </c:pt>
                <c:pt idx="137">
                  <c:v>600.45691848110505</c:v>
                </c:pt>
                <c:pt idx="138">
                  <c:v>623.21172405037578</c:v>
                </c:pt>
                <c:pt idx="139">
                  <c:v>645.01387394166306</c:v>
                </c:pt>
                <c:pt idx="140">
                  <c:v>665.7065361876646</c:v>
                </c:pt>
                <c:pt idx="141">
                  <c:v>685.14573465186345</c:v>
                </c:pt>
                <c:pt idx="142">
                  <c:v>703.20311571833759</c:v>
                </c:pt>
                <c:pt idx="143">
                  <c:v>719.76820851478055</c:v>
                </c:pt>
                <c:pt idx="144">
                  <c:v>734.75010204547641</c:v>
                </c:pt>
                <c:pt idx="145">
                  <c:v>748.07849692793695</c:v>
                </c:pt>
                <c:pt idx="146">
                  <c:v>759.70412473496583</c:v>
                </c:pt>
                <c:pt idx="147">
                  <c:v>769.59856122124461</c:v>
                </c:pt>
                <c:pt idx="148">
                  <c:v>777.75348839607193</c:v>
                </c:pt>
                <c:pt idx="149">
                  <c:v>784.1794826446959</c:v>
                </c:pt>
                <c:pt idx="150">
                  <c:v>788.90442090009208</c:v>
                </c:pt>
                <c:pt idx="151">
                  <c:v>791.97160407024205</c:v>
                </c:pt>
                <c:pt idx="152">
                  <c:v>793.43769710899608</c:v>
                </c:pt>
                <c:pt idx="153">
                  <c:v>793.37057939946806</c:v>
                </c:pt>
                <c:pt idx="154">
                  <c:v>791.84718893652223</c:v>
                </c:pt>
                <c:pt idx="155">
                  <c:v>788.95143069425228</c:v>
                </c:pt>
                <c:pt idx="156">
                  <c:v>784.7722050168951</c:v>
                </c:pt>
                <c:pt idx="157">
                  <c:v>779.40159714678384</c:v>
                </c:pt>
                <c:pt idx="158">
                  <c:v>772.93325509469514</c:v>
                </c:pt>
                <c:pt idx="159">
                  <c:v>765.46097066096752</c:v>
                </c:pt>
                <c:pt idx="160">
                  <c:v>757.07746794033437</c:v>
                </c:pt>
                <c:pt idx="161">
                  <c:v>747.87339525561754</c:v>
                </c:pt>
                <c:pt idx="162">
                  <c:v>737.93651014048089</c:v>
                </c:pt>
                <c:pt idx="163">
                  <c:v>727.35104256982095</c:v>
                </c:pt>
                <c:pt idx="164">
                  <c:v>716.19721887545131</c:v>
                </c:pt>
                <c:pt idx="165">
                  <c:v>704.55092740225598</c:v>
                </c:pt>
                <c:pt idx="166">
                  <c:v>692.48350666699457</c:v>
                </c:pt>
                <c:pt idx="167">
                  <c:v>680.06163730593858</c:v>
                </c:pt>
                <c:pt idx="168">
                  <c:v>667.34732019655826</c:v>
                </c:pt>
                <c:pt idx="169">
                  <c:v>654.39792460817569</c:v>
                </c:pt>
                <c:pt idx="170">
                  <c:v>641.26629191183565</c:v>
                </c:pt>
                <c:pt idx="171">
                  <c:v>628.00088213306651</c:v>
                </c:pt>
                <c:pt idx="172">
                  <c:v>614.64595236870889</c:v>
                </c:pt>
                <c:pt idx="173">
                  <c:v>601.2417577451223</c:v>
                </c:pt>
                <c:pt idx="174">
                  <c:v>587.82476712759728</c:v>
                </c:pt>
                <c:pt idx="175">
                  <c:v>574.42788717574319</c:v>
                </c:pt>
                <c:pt idx="176">
                  <c:v>561.08068956668455</c:v>
                </c:pt>
                <c:pt idx="177">
                  <c:v>547.80963727673759</c:v>
                </c:pt>
                <c:pt idx="178">
                  <c:v>534.63830672923393</c:v>
                </c:pt>
                <c:pt idx="179">
                  <c:v>521.58760339203593</c:v>
                </c:pt>
                <c:pt idx="180">
                  <c:v>508.67596905617364</c:v>
                </c:pt>
                <c:pt idx="181">
                  <c:v>495.91957956115067</c:v>
                </c:pt>
                <c:pt idx="182">
                  <c:v>483.33253216709159</c:v>
                </c:pt>
                <c:pt idx="183">
                  <c:v>470.92702212277965</c:v>
                </c:pt>
                <c:pt idx="184">
                  <c:v>458.71350825452635</c:v>
                </c:pt>
                <c:pt idx="185">
                  <c:v>446.70086761530132</c:v>
                </c:pt>
                <c:pt idx="186">
                  <c:v>434.89653939693267</c:v>
                </c:pt>
                <c:pt idx="187">
                  <c:v>423.30665842947258</c:v>
                </c:pt>
                <c:pt idx="188">
                  <c:v>411.93617867879465</c:v>
                </c:pt>
                <c:pt idx="189">
                  <c:v>400.78898721277534</c:v>
                </c:pt>
                <c:pt idx="190">
                  <c:v>389.8680091436305</c:v>
                </c:pt>
                <c:pt idx="191">
                  <c:v>379.1753040738011</c:v>
                </c:pt>
                <c:pt idx="192">
                  <c:v>368.71215457910722</c:v>
                </c:pt>
                <c:pt idx="193">
                  <c:v>358.47914725889927</c:v>
                </c:pt>
                <c:pt idx="194">
                  <c:v>348.47624687124306</c:v>
                </c:pt>
                <c:pt idx="195">
                  <c:v>338.7028640538752</c:v>
                </c:pt>
                <c:pt idx="196">
                  <c:v>329.15791711044949</c:v>
                </c:pt>
                <c:pt idx="197">
                  <c:v>319.83988831779436</c:v>
                </c:pt>
                <c:pt idx="198">
                  <c:v>310.74687518457176</c:v>
                </c:pt>
                <c:pt idx="199">
                  <c:v>301.87663706567963</c:v>
                </c:pt>
                <c:pt idx="200">
                  <c:v>293.22663751059184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23-43F7-9E35-B19E2FF2E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9871040"/>
        <c:axId val="809870056"/>
      </c:lineChart>
      <c:catAx>
        <c:axId val="809871040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9870056"/>
        <c:crosses val="autoZero"/>
        <c:auto val="1"/>
        <c:lblAlgn val="ctr"/>
        <c:lblOffset val="100"/>
        <c:noMultiLvlLbl val="0"/>
      </c:catAx>
      <c:valAx>
        <c:axId val="80987005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80987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SV"/>
              <a:t>Sonsonate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Sonsonate!$K$3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Sonsonate!$C$3:$C$204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Sonsonate!$K$4:$K$204</c:f>
              <c:numCache>
                <c:formatCode>0</c:formatCode>
                <c:ptCount val="201"/>
                <c:pt idx="1">
                  <c:v>3.6666666666666701E-3</c:v>
                </c:pt>
                <c:pt idx="2">
                  <c:v>4.0284433418408001E-3</c:v>
                </c:pt>
                <c:pt idx="3">
                  <c:v>4.4259150513803972E-3</c:v>
                </c:pt>
                <c:pt idx="4">
                  <c:v>4.8626036470790761E-3</c:v>
                </c:pt>
                <c:pt idx="5">
                  <c:v>5.3423784576930779E-3</c:v>
                </c:pt>
                <c:pt idx="6">
                  <c:v>5.8694905707298182E-3</c:v>
                </c:pt>
                <c:pt idx="7">
                  <c:v>6.4486104961633999E-3</c:v>
                </c:pt>
                <c:pt idx="8">
                  <c:v>7.0848695456478417E-3</c:v>
                </c:pt>
                <c:pt idx="9">
                  <c:v>7.7839052936876634E-3</c:v>
                </c:pt>
                <c:pt idx="10">
                  <c:v>8.5519115233546345E-3</c:v>
                </c:pt>
                <c:pt idx="11">
                  <c:v>9.3956930988275227E-3</c:v>
                </c:pt>
                <c:pt idx="12">
                  <c:v>1.0322726250628514E-2</c:v>
                </c:pt>
                <c:pt idx="13">
                  <c:v>1.1341224807319885E-2</c:v>
                </c:pt>
                <c:pt idx="14">
                  <c:v>1.2460212960029297E-2</c:v>
                </c:pt>
                <c:pt idx="15">
                  <c:v>1.3689605203954654E-2</c:v>
                </c:pt>
                <c:pt idx="16">
                  <c:v>1.5040294164468539E-2</c:v>
                </c:pt>
                <c:pt idx="17">
                  <c:v>1.6524247085155163E-2</c:v>
                </c:pt>
                <c:pt idx="18">
                  <c:v>1.8154611831682568E-2</c:v>
                </c:pt>
                <c:pt idx="19">
                  <c:v>1.994583334951085E-2</c:v>
                </c:pt>
                <c:pt idx="20">
                  <c:v>2.1913781605801257E-2</c:v>
                </c:pt>
                <c:pt idx="21">
                  <c:v>2.4075892147329976E-2</c:v>
                </c:pt>
                <c:pt idx="22">
                  <c:v>2.6451320517611527E-2</c:v>
                </c:pt>
                <c:pt idx="23">
                  <c:v>2.9061111898773688E-2</c:v>
                </c:pt>
                <c:pt idx="24">
                  <c:v>3.1928387478065715E-2</c:v>
                </c:pt>
                <c:pt idx="25">
                  <c:v>3.5078549186395101E-2</c:v>
                </c:pt>
                <c:pt idx="26">
                  <c:v>3.8539504618257808E-2</c:v>
                </c:pt>
                <c:pt idx="27">
                  <c:v>4.2341914120258735E-2</c:v>
                </c:pt>
                <c:pt idx="28">
                  <c:v>4.6519462230654555E-2</c:v>
                </c:pt>
                <c:pt idx="29">
                  <c:v>5.1109155866675686E-2</c:v>
                </c:pt>
                <c:pt idx="30">
                  <c:v>5.6151651891647961E-2</c:v>
                </c:pt>
                <c:pt idx="31">
                  <c:v>6.1691616952158523E-2</c:v>
                </c:pt>
                <c:pt idx="32">
                  <c:v>6.777812275890896E-2</c:v>
                </c:pt>
                <c:pt idx="33">
                  <c:v>7.4465080295892438E-2</c:v>
                </c:pt>
                <c:pt idx="34">
                  <c:v>8.1811716783767141E-2</c:v>
                </c:pt>
                <c:pt idx="35">
                  <c:v>8.9883099597669089E-2</c:v>
                </c:pt>
                <c:pt idx="36">
                  <c:v>9.8750711750370576E-2</c:v>
                </c:pt>
                <c:pt idx="37">
                  <c:v>0.10849308400209545</c:v>
                </c:pt>
                <c:pt idx="38">
                  <c:v>0.11919648915220854</c:v>
                </c:pt>
                <c:pt idx="39">
                  <c:v>0.13095570460950209</c:v>
                </c:pt>
                <c:pt idx="40">
                  <c:v>0.14387484993137004</c:v>
                </c:pt>
                <c:pt idx="41">
                  <c:v>0.15806830667264549</c:v>
                </c:pt>
                <c:pt idx="42">
                  <c:v>0.17366172859755241</c:v>
                </c:pt>
                <c:pt idx="43">
                  <c:v>0.19079315108881845</c:v>
                </c:pt>
                <c:pt idx="44">
                  <c:v>0.20961420944270992</c:v>
                </c:pt>
                <c:pt idx="45">
                  <c:v>0.2302914766743108</c:v>
                </c:pt>
                <c:pt idx="46">
                  <c:v>0.25300793248101633</c:v>
                </c:pt>
                <c:pt idx="47">
                  <c:v>0.27796457613178521</c:v>
                </c:pt>
                <c:pt idx="48">
                  <c:v>0.3053821972736005</c:v>
                </c:pt>
                <c:pt idx="49">
                  <c:v>0.33550331998386279</c:v>
                </c:pt>
                <c:pt idx="50">
                  <c:v>0.36859433685774795</c:v>
                </c:pt>
                <c:pt idx="51">
                  <c:v>0.40494785151320012</c:v>
                </c:pt>
                <c:pt idx="52">
                  <c:v>0.4448852496341601</c:v>
                </c:pt>
                <c:pt idx="53">
                  <c:v>0.48875952056641003</c:v>
                </c:pt>
                <c:pt idx="54">
                  <c:v>0.53695835354222099</c:v>
                </c:pt>
                <c:pt idx="55">
                  <c:v>0.58990753485254699</c:v>
                </c:pt>
                <c:pt idx="56">
                  <c:v>0.64807467472198332</c:v>
                </c:pt>
                <c:pt idx="57">
                  <c:v>0.71197329528564712</c:v>
                </c:pt>
                <c:pt idx="58">
                  <c:v>0.78216731393227734</c:v>
                </c:pt>
                <c:pt idx="59">
                  <c:v>0.8592759593778988</c:v>
                </c:pt>
                <c:pt idx="60">
                  <c:v>0.94397916118279568</c:v>
                </c:pt>
                <c:pt idx="61">
                  <c:v>1.0370234570340682</c:v>
                </c:pt>
                <c:pt idx="62">
                  <c:v>1.1392284659984049</c:v>
                </c:pt>
                <c:pt idx="63">
                  <c:v>1.251493980114867</c:v>
                </c:pt>
                <c:pt idx="64">
                  <c:v>1.3748077311530831</c:v>
                </c:pt>
                <c:pt idx="65">
                  <c:v>1.510253894112572</c:v>
                </c:pt>
                <c:pt idx="66">
                  <c:v>1.6590223940837938</c:v>
                </c:pt>
                <c:pt idx="67">
                  <c:v>1.822419088425058</c:v>
                </c:pt>
                <c:pt idx="68">
                  <c:v>2.0018769018181337</c:v>
                </c:pt>
                <c:pt idx="69">
                  <c:v>2.1989679976262866</c:v>
                </c:pt>
                <c:pt idx="70">
                  <c:v>2.4154170750564745</c:v>
                </c:pt>
                <c:pt idx="71">
                  <c:v>2.653115887872318</c:v>
                </c:pt>
                <c:pt idx="72">
                  <c:v>2.91413908674738</c:v>
                </c:pt>
                <c:pt idx="73">
                  <c:v>3.2007614936970543</c:v>
                </c:pt>
                <c:pt idx="74">
                  <c:v>3.5154769232616259</c:v>
                </c:pt>
                <c:pt idx="75">
                  <c:v>3.8610186710776646</c:v>
                </c:pt>
                <c:pt idx="76">
                  <c:v>4.2403817959728611</c:v>
                </c:pt>
                <c:pt idx="77">
                  <c:v>4.656847326502902</c:v>
                </c:pt>
                <c:pt idx="78">
                  <c:v>5.1140085266093251</c:v>
                </c:pt>
                <c:pt idx="79">
                  <c:v>5.6157993574331151</c:v>
                </c:pt>
                <c:pt idx="80">
                  <c:v>6.1665252728018576</c:v>
                </c:pt>
                <c:pt idx="81">
                  <c:v>6.7708964839482286</c:v>
                </c:pt>
                <c:pt idx="82">
                  <c:v>7.4340638239232169</c:v>
                </c:pt>
                <c:pt idx="83">
                  <c:v>8.1616573331068789</c:v>
                </c:pt>
                <c:pt idx="84">
                  <c:v>8.9598276731967577</c:v>
                </c:pt>
                <c:pt idx="85">
                  <c:v>9.8352904568848984</c:v>
                </c:pt>
                <c:pt idx="86">
                  <c:v>10.795373552718241</c:v>
                </c:pt>
                <c:pt idx="87">
                  <c:v>11.848067387729419</c:v>
                </c:pt>
                <c:pt idx="88">
                  <c:v>13.002078222407688</c:v>
                </c:pt>
                <c:pt idx="89">
                  <c:v>14.266884311233159</c:v>
                </c:pt>
                <c:pt idx="90">
                  <c:v>15.652794784775153</c:v>
                </c:pt>
                <c:pt idx="91">
                  <c:v>17.171010993364305</c:v>
                </c:pt>
                <c:pt idx="92">
                  <c:v>18.83368993433821</c:v>
                </c:pt>
                <c:pt idx="93">
                  <c:v>20.654009241230433</c:v>
                </c:pt>
                <c:pt idx="94">
                  <c:v>22.646233040097332</c:v>
                </c:pt>
                <c:pt idx="95">
                  <c:v>24.825777771262974</c:v>
                </c:pt>
                <c:pt idx="96">
                  <c:v>27.209276829752202</c:v>
                </c:pt>
                <c:pt idx="97">
                  <c:v>29.814642590206777</c:v>
                </c:pt>
                <c:pt idx="98">
                  <c:v>32.661124047994541</c:v>
                </c:pt>
                <c:pt idx="99">
                  <c:v>35.769357923926513</c:v>
                </c:pt>
                <c:pt idx="100">
                  <c:v>39.161410642878941</c:v>
                </c:pt>
                <c:pt idx="101">
                  <c:v>42.860808105635073</c:v>
                </c:pt>
                <c:pt idx="102">
                  <c:v>46.892549629692809</c:v>
                </c:pt>
                <c:pt idx="103">
                  <c:v>51.283101843168957</c:v>
                </c:pt>
                <c:pt idx="104">
                  <c:v>56.060367685221337</c:v>
                </c:pt>
                <c:pt idx="105">
                  <c:v>61.253625011335842</c:v>
                </c:pt>
                <c:pt idx="106">
                  <c:v>66.893428644460371</c:v>
                </c:pt>
                <c:pt idx="107">
                  <c:v>73.011469084462377</c:v>
                </c:pt>
                <c:pt idx="108">
                  <c:v>79.640380530761675</c:v>
                </c:pt>
                <c:pt idx="109">
                  <c:v>86.813490440875469</c:v>
                </c:pt>
                <c:pt idx="110">
                  <c:v>94.564502609677575</c:v>
                </c:pt>
                <c:pt idx="111">
                  <c:v>102.92710579396748</c:v>
                </c:pt>
                <c:pt idx="112">
                  <c:v>111.93450032270077</c:v>
                </c:pt>
                <c:pt idx="113">
                  <c:v>121.61883603613612</c:v>
                </c:pt>
                <c:pt idx="114">
                  <c:v>132.01055640743277</c:v>
                </c:pt>
                <c:pt idx="115">
                  <c:v>143.13764594040816</c:v>
                </c:pt>
                <c:pt idx="116">
                  <c:v>155.02478102181831</c:v>
                </c:pt>
                <c:pt idx="117">
                  <c:v>167.69238842805487</c:v>
                </c:pt>
                <c:pt idx="118">
                  <c:v>181.15562069638833</c:v>
                </c:pt>
                <c:pt idx="119">
                  <c:v>195.42326355887585</c:v>
                </c:pt>
                <c:pt idx="120">
                  <c:v>210.49659750430911</c:v>
                </c:pt>
                <c:pt idx="121">
                  <c:v>226.3682430689374</c:v>
                </c:pt>
                <c:pt idx="122">
                  <c:v>243.02102731447141</c:v>
                </c:pt>
                <c:pt idx="123">
                  <c:v>260.42691663789594</c:v>
                </c:pt>
                <c:pt idx="124">
                  <c:v>278.54606792923306</c:v>
                </c:pt>
                <c:pt idx="125">
                  <c:v>297.32605537931516</c:v>
                </c:pt>
                <c:pt idx="126">
                  <c:v>316.70133308524811</c:v>
                </c:pt>
                <c:pt idx="127">
                  <c:v>336.59299314245925</c:v>
                </c:pt>
                <c:pt idx="128">
                  <c:v>356.90887437675877</c:v>
                </c:pt>
                <c:pt idx="129">
                  <c:v>377.54406769953749</c:v>
                </c:pt>
                <c:pt idx="130">
                  <c:v>398.38185004965919</c:v>
                </c:pt>
                <c:pt idx="131">
                  <c:v>419.29506026329807</c:v>
                </c:pt>
                <c:pt idx="132">
                  <c:v>440.14790777568561</c:v>
                </c:pt>
                <c:pt idx="133">
                  <c:v>460.79818015413491</c:v>
                </c:pt>
                <c:pt idx="134">
                  <c:v>481.09978993501051</c:v>
                </c:pt>
                <c:pt idx="135">
                  <c:v>500.90557727966956</c:v>
                </c:pt>
                <c:pt idx="136">
                  <c:v>520.07026488070653</c:v>
                </c:pt>
                <c:pt idx="137">
                  <c:v>538.45344747271133</c:v>
                </c:pt>
                <c:pt idx="138">
                  <c:v>555.92249189480151</c:v>
                </c:pt>
                <c:pt idx="139">
                  <c:v>572.35522585425861</c:v>
                </c:pt>
                <c:pt idx="140">
                  <c:v>587.64230440089818</c:v>
                </c:pt>
                <c:pt idx="141">
                  <c:v>601.68916176147047</c:v>
                </c:pt>
                <c:pt idx="142">
                  <c:v>614.41748089619659</c:v>
                </c:pt>
                <c:pt idx="143">
                  <c:v>625.76614161629425</c:v>
                </c:pt>
                <c:pt idx="144">
                  <c:v>635.6916377383227</c:v>
                </c:pt>
                <c:pt idx="145">
                  <c:v>644.16798198720994</c:v>
                </c:pt>
                <c:pt idx="146">
                  <c:v>651.18614198359239</c:v>
                </c:pt>
                <c:pt idx="147">
                  <c:v>656.75307003091098</c:v>
                </c:pt>
                <c:pt idx="148">
                  <c:v>660.89040262467392</c:v>
                </c:pt>
                <c:pt idx="149">
                  <c:v>663.63291242564571</c:v>
                </c:pt>
                <c:pt idx="150">
                  <c:v>665.02679628441945</c:v>
                </c:pt>
                <c:pt idx="151">
                  <c:v>665.12787866715496</c:v>
                </c:pt>
                <c:pt idx="152">
                  <c:v>663.99980169401658</c:v>
                </c:pt>
                <c:pt idx="153">
                  <c:v>661.71226225600594</c:v>
                </c:pt>
                <c:pt idx="154">
                  <c:v>658.33934457048474</c:v>
                </c:pt>
                <c:pt idx="155">
                  <c:v>653.95798416032233</c:v>
                </c:pt>
                <c:pt idx="156">
                  <c:v>648.64658746021985</c:v>
                </c:pt>
                <c:pt idx="157">
                  <c:v>642.48382067995328</c:v>
                </c:pt>
                <c:pt idx="158">
                  <c:v>635.5475725602472</c:v>
                </c:pt>
                <c:pt idx="159">
                  <c:v>627.91408840525935</c:v>
                </c:pt>
                <c:pt idx="160">
                  <c:v>619.6572672628796</c:v>
                </c:pt>
                <c:pt idx="161">
                  <c:v>610.8481102280989</c:v>
                </c:pt>
                <c:pt idx="162">
                  <c:v>601.5543053688001</c:v>
                </c:pt>
                <c:pt idx="163">
                  <c:v>591.83993348328863</c:v>
                </c:pt>
                <c:pt idx="164">
                  <c:v>581.76527855197617</c:v>
                </c:pt>
                <c:pt idx="165">
                  <c:v>571.38672711094102</c:v>
                </c:pt>
                <c:pt idx="166">
                  <c:v>560.75674164612713</c:v>
                </c:pt>
                <c:pt idx="167">
                  <c:v>549.92389430832407</c:v>
                </c:pt>
                <c:pt idx="168">
                  <c:v>538.93294863835604</c:v>
                </c:pt>
                <c:pt idx="169">
                  <c:v>527.82497845839089</c:v>
                </c:pt>
                <c:pt idx="170">
                  <c:v>516.63751454689759</c:v>
                </c:pt>
                <c:pt idx="171">
                  <c:v>505.40471111386699</c:v>
                </c:pt>
                <c:pt idx="172">
                  <c:v>494.15752539191203</c:v>
                </c:pt>
                <c:pt idx="173">
                  <c:v>482.92390483594323</c:v>
                </c:pt>
                <c:pt idx="174">
                  <c:v>471.72897746943181</c:v>
                </c:pt>
                <c:pt idx="175">
                  <c:v>460.59524182763204</c:v>
                </c:pt>
                <c:pt idx="176">
                  <c:v>449.54275373229564</c:v>
                </c:pt>
                <c:pt idx="177">
                  <c:v>438.58930779702507</c:v>
                </c:pt>
                <c:pt idx="178">
                  <c:v>427.7506121182866</c:v>
                </c:pt>
                <c:pt idx="179">
                  <c:v>417.04045506609805</c:v>
                </c:pt>
                <c:pt idx="180">
                  <c:v>406.47086346252723</c:v>
                </c:pt>
                <c:pt idx="181">
                  <c:v>396.05225173696789</c:v>
                </c:pt>
                <c:pt idx="182">
                  <c:v>385.79356188553254</c:v>
                </c:pt>
                <c:pt idx="183">
                  <c:v>375.70239424763804</c:v>
                </c:pt>
                <c:pt idx="184">
                  <c:v>365.78512925474035</c:v>
                </c:pt>
                <c:pt idx="185">
                  <c:v>356.04704041187949</c:v>
                </c:pt>
                <c:pt idx="186">
                  <c:v>346.49239884887254</c:v>
                </c:pt>
                <c:pt idx="187">
                  <c:v>337.1245698303216</c:v>
                </c:pt>
                <c:pt idx="188">
                  <c:v>327.94610164688288</c:v>
                </c:pt>
                <c:pt idx="189">
                  <c:v>318.95880732849469</c:v>
                </c:pt>
                <c:pt idx="190">
                  <c:v>310.16383962682045</c:v>
                </c:pt>
                <c:pt idx="191">
                  <c:v>301.5617597117718</c:v>
                </c:pt>
                <c:pt idx="192">
                  <c:v>293.15260001787806</c:v>
                </c:pt>
                <c:pt idx="193">
                  <c:v>284.93592166226904</c:v>
                </c:pt>
                <c:pt idx="194">
                  <c:v>276.91086683859976</c:v>
                </c:pt>
                <c:pt idx="195">
                  <c:v>269.07620657151153</c:v>
                </c:pt>
                <c:pt idx="196">
                  <c:v>261.43038419511021</c:v>
                </c:pt>
                <c:pt idx="197">
                  <c:v>253.97155489715018</c:v>
                </c:pt>
                <c:pt idx="198">
                  <c:v>246.69762164868283</c:v>
                </c:pt>
                <c:pt idx="199">
                  <c:v>239.60626781726504</c:v>
                </c:pt>
                <c:pt idx="200">
                  <c:v>232.69498674072838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90-44B3-B1E4-DC550F293A64}"/>
            </c:ext>
          </c:extLst>
        </c:ser>
        <c:ser>
          <c:idx val="0"/>
          <c:order val="1"/>
          <c:tx>
            <c:strRef>
              <c:f>Sonsonate!$I$3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Sonsonate!$C$3:$C$204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Sonsonate!$I$4:$I$204</c:f>
              <c:numCache>
                <c:formatCode>0</c:formatCode>
                <c:ptCount val="201"/>
                <c:pt idx="1">
                  <c:v>0.13199969928991415</c:v>
                </c:pt>
                <c:pt idx="2">
                  <c:v>0.14502358752753364</c:v>
                </c:pt>
                <c:pt idx="3">
                  <c:v>0.1593324811121887</c:v>
                </c:pt>
                <c:pt idx="4">
                  <c:v>0.17505316332271958</c:v>
                </c:pt>
                <c:pt idx="5">
                  <c:v>0.19232492589813874</c:v>
                </c:pt>
                <c:pt idx="6">
                  <c:v>0.21130080303397503</c:v>
                </c:pt>
                <c:pt idx="7">
                  <c:v>0.23214892709724208</c:v>
                </c:pt>
                <c:pt idx="8">
                  <c:v>0.25505401806220401</c:v>
                </c:pt>
                <c:pt idx="9">
                  <c:v>0.28021901985178893</c:v>
                </c:pt>
                <c:pt idx="10">
                  <c:v>0.30786689806855722</c:v>
                </c:pt>
                <c:pt idx="11">
                  <c:v>0.33824261502597464</c:v>
                </c:pt>
                <c:pt idx="12">
                  <c:v>0.3716152995579059</c:v>
                </c:pt>
                <c:pt idx="13">
                  <c:v>0.40828063080547394</c:v>
                </c:pt>
                <c:pt idx="14">
                  <c:v>0.44856345707081802</c:v>
                </c:pt>
                <c:pt idx="15">
                  <c:v>0.49282067290337378</c:v>
                </c:pt>
                <c:pt idx="16">
                  <c:v>0.54144437986424754</c:v>
                </c:pt>
                <c:pt idx="17">
                  <c:v>0.59486535891797576</c:v>
                </c:pt>
                <c:pt idx="18">
                  <c:v>0.65355688515028099</c:v>
                </c:pt>
                <c:pt idx="19">
                  <c:v>0.71803891852929969</c:v>
                </c:pt>
                <c:pt idx="20">
                  <c:v>0.78888270774238811</c:v>
                </c:pt>
                <c:pt idx="21">
                  <c:v>0.86671584777978605</c:v>
                </c:pt>
                <c:pt idx="22">
                  <c:v>0.95222783593160243</c:v>
                </c:pt>
                <c:pt idx="23">
                  <c:v>1.0461761752503123</c:v>
                </c:pt>
                <c:pt idx="24">
                  <c:v>1.1493930793449765</c:v>
                </c:pt>
                <c:pt idx="25">
                  <c:v>1.2627928376570545</c:v>
                </c:pt>
                <c:pt idx="26">
                  <c:v>1.3873799061662326</c:v>
                </c:pt>
                <c:pt idx="27">
                  <c:v>1.5242577948375755</c:v>
                </c:pt>
                <c:pt idx="28">
                  <c:v>1.6746388301026216</c:v>
                </c:pt>
                <c:pt idx="29">
                  <c:v>1.8398548783258521</c:v>
                </c:pt>
                <c:pt idx="30">
                  <c:v>2.0213691246087682</c:v>
                </c:pt>
                <c:pt idx="31">
                  <c:v>2.2207890104970152</c:v>
                </c:pt>
                <c:pt idx="32">
                  <c:v>2.4398804442582995</c:v>
                </c:pt>
                <c:pt idx="33">
                  <c:v>2.6805834084739386</c:v>
                </c:pt>
                <c:pt idx="34">
                  <c:v>2.9450291018256856</c:v>
                </c:pt>
                <c:pt idx="35">
                  <c:v>3.2355587652610294</c:v>
                </c:pt>
                <c:pt idx="36">
                  <c:v>3.5547443572919675</c:v>
                </c:pt>
                <c:pt idx="37">
                  <c:v>3.9054112591407981</c:v>
                </c:pt>
                <c:pt idx="38">
                  <c:v>4.2906632079183158</c:v>
                </c:pt>
                <c:pt idx="39">
                  <c:v>4.7139096751412826</c:v>
                </c:pt>
                <c:pt idx="40">
                  <c:v>5.1788959288148382</c:v>
                </c:pt>
                <c:pt idx="41">
                  <c:v>5.6897360401804882</c:v>
                </c:pt>
                <c:pt idx="42">
                  <c:v>6.2509491212321073</c:v>
                </c:pt>
                <c:pt idx="43">
                  <c:v>6.8674991064142006</c:v>
                </c:pt>
                <c:pt idx="44">
                  <c:v>7.5448384217339628</c:v>
                </c:pt>
                <c:pt idx="45">
                  <c:v>8.2889559170497797</c:v>
                </c:pt>
                <c:pt idx="46">
                  <c:v>9.1064294727643844</c:v>
                </c:pt>
                <c:pt idx="47">
                  <c:v>10.004483730784004</c:v>
                </c:pt>
                <c:pt idx="48">
                  <c:v>10.991053441649724</c:v>
                </c:pt>
                <c:pt idx="49">
                  <c:v>12.074852965458341</c:v>
                </c:pt>
                <c:pt idx="50">
                  <c:v>13.265452513830091</c:v>
                </c:pt>
                <c:pt idx="51">
                  <c:v>14.57336177401818</c:v>
                </c:pt>
                <c:pt idx="52">
                  <c:v>16.010121614560497</c:v>
                </c:pt>
                <c:pt idx="53">
                  <c:v>17.588404634915783</c:v>
                </c:pt>
                <c:pt idx="54">
                  <c:v>19.322125389563666</c:v>
                </c:pt>
                <c:pt idx="55">
                  <c:v>21.226561190323963</c:v>
                </c:pt>
                <c:pt idx="56">
                  <c:v>23.318484469380852</c:v>
                </c:pt>
                <c:pt idx="57">
                  <c:v>25.616307769859549</c:v>
                </c:pt>
                <c:pt idx="58">
                  <c:v>28.140242520917468</c:v>
                </c:pt>
                <c:pt idx="59">
                  <c:v>30.912472850225416</c:v>
                </c:pt>
                <c:pt idx="60">
                  <c:v>33.957345788372436</c:v>
                </c:pt>
                <c:pt idx="61">
                  <c:v>37.301579326947028</c:v>
                </c:pt>
                <c:pt idx="62">
                  <c:v>40.974489904475064</c:v>
                </c:pt>
                <c:pt idx="63">
                  <c:v>45.008241011466716</c:v>
                </c:pt>
                <c:pt idx="64">
                  <c:v>49.438114726706779</c:v>
                </c:pt>
                <c:pt idx="65">
                  <c:v>54.302808120447452</c:v>
                </c:pt>
                <c:pt idx="66">
                  <c:v>59.644756584742915</c:v>
                </c:pt>
                <c:pt idx="67">
                  <c:v>65.51048627470287</c:v>
                </c:pt>
                <c:pt idx="68">
                  <c:v>71.950997964206579</c:v>
                </c:pt>
                <c:pt idx="69">
                  <c:v>79.022184732108258</c:v>
                </c:pt>
                <c:pt idx="70">
                  <c:v>86.785285995743379</c:v>
                </c:pt>
                <c:pt idx="71">
                  <c:v>95.307380492037822</c:v>
                </c:pt>
                <c:pt idx="72">
                  <c:v>104.66192086579643</c:v>
                </c:pt>
                <c:pt idx="73">
                  <c:v>114.92931255121997</c:v>
                </c:pt>
                <c:pt idx="74">
                  <c:v>126.19753961584337</c:v>
                </c:pt>
                <c:pt idx="75">
                  <c:v>138.56284016303243</c:v>
                </c:pt>
                <c:pt idx="76">
                  <c:v>152.13043374430961</c:v>
                </c:pt>
                <c:pt idx="77">
                  <c:v>167.01530299723251</c:v>
                </c:pt>
                <c:pt idx="78">
                  <c:v>183.34303137566346</c:v>
                </c:pt>
                <c:pt idx="79">
                  <c:v>201.2506983499579</c:v>
                </c:pt>
                <c:pt idx="80">
                  <c:v>220.88783279266349</c:v>
                </c:pt>
                <c:pt idx="81">
                  <c:v>242.417424392708</c:v>
                </c:pt>
                <c:pt idx="82">
                  <c:v>266.01699181302769</c:v>
                </c:pt>
                <c:pt idx="83">
                  <c:v>291.87970487093816</c:v>
                </c:pt>
                <c:pt idx="84">
                  <c:v>320.21555621673639</c:v>
                </c:pt>
                <c:pt idx="85">
                  <c:v>351.25257574441065</c:v>
                </c:pt>
                <c:pt idx="86">
                  <c:v>385.23807820957728</c:v>
                </c:pt>
                <c:pt idx="87">
                  <c:v>422.43993116434052</c:v>
                </c:pt>
                <c:pt idx="88">
                  <c:v>463.14782624701655</c:v>
                </c:pt>
                <c:pt idx="89">
                  <c:v>507.67453197720852</c:v>
                </c:pt>
                <c:pt idx="90">
                  <c:v>556.3571003859073</c:v>
                </c:pt>
                <c:pt idx="91">
                  <c:v>609.5579929325578</c:v>
                </c:pt>
                <c:pt idx="92">
                  <c:v>667.6660831009541</c:v>
                </c:pt>
                <c:pt idx="93">
                  <c:v>731.09748370215675</c:v>
                </c:pt>
                <c:pt idx="94">
                  <c:v>800.29613613696847</c:v>
                </c:pt>
                <c:pt idx="95">
                  <c:v>875.73408659945312</c:v>
                </c:pt>
                <c:pt idx="96">
                  <c:v>957.91136039444768</c:v>
                </c:pt>
                <c:pt idx="97">
                  <c:v>1047.3553302167238</c:v>
                </c:pt>
                <c:pt idx="98">
                  <c:v>1144.6194575086697</c:v>
                </c:pt>
                <c:pt idx="99">
                  <c:v>1250.2812681136268</c:v>
                </c:pt>
                <c:pt idx="100">
                  <c:v>1364.9394047778428</c:v>
                </c:pt>
                <c:pt idx="101">
                  <c:v>1489.2095802487934</c:v>
                </c:pt>
                <c:pt idx="102">
                  <c:v>1623.7192366725167</c:v>
                </c:pt>
                <c:pt idx="103">
                  <c:v>1769.1007009521859</c:v>
                </c:pt>
                <c:pt idx="104">
                  <c:v>1925.9826133514214</c:v>
                </c:pt>
                <c:pt idx="105">
                  <c:v>2094.979400046107</c:v>
                </c:pt>
                <c:pt idx="106">
                  <c:v>2276.6785622229136</c:v>
                </c:pt>
                <c:pt idx="107">
                  <c:v>2471.6255679403739</c:v>
                </c:pt>
                <c:pt idx="108">
                  <c:v>2680.3061621288625</c:v>
                </c:pt>
                <c:pt idx="109">
                  <c:v>2903.1259591358039</c:v>
                </c:pt>
                <c:pt idx="110">
                  <c:v>3140.3872558034091</c:v>
                </c:pt>
                <c:pt idx="111">
                  <c:v>3392.2631059633222</c:v>
                </c:pt>
                <c:pt idx="112">
                  <c:v>3658.7688338705457</c:v>
                </c:pt>
                <c:pt idx="113">
                  <c:v>3939.7313379548636</c:v>
                </c:pt>
                <c:pt idx="114">
                  <c:v>4234.7567490608571</c:v>
                </c:pt>
                <c:pt idx="115">
                  <c:v>4543.197258024642</c:v>
                </c:pt>
                <c:pt idx="116">
                  <c:v>4864.118210990142</c:v>
                </c:pt>
                <c:pt idx="117">
                  <c:v>5196.2668770732516</c:v>
                </c:pt>
                <c:pt idx="118">
                  <c:v>5538.044605191034</c:v>
                </c:pt>
                <c:pt idx="119">
                  <c:v>5887.4843811079372</c:v>
                </c:pt>
                <c:pt idx="120">
                  <c:v>6242.2360403923431</c:v>
                </c:pt>
                <c:pt idx="121">
                  <c:v>6599.5615494086996</c:v>
                </c:pt>
                <c:pt idx="122">
                  <c:v>6956.3427910655128</c:v>
                </c:pt>
                <c:pt idx="123">
                  <c:v>7309.1041398000962</c:v>
                </c:pt>
                <c:pt idx="124">
                  <c:v>7654.0517402881214</c:v>
                </c:pt>
                <c:pt idx="125">
                  <c:v>7987.1307868845652</c:v>
                </c:pt>
                <c:pt idx="126">
                  <c:v>8304.1012254689213</c:v>
                </c:pt>
                <c:pt idx="127">
                  <c:v>8600.6311833767504</c:v>
                </c:pt>
                <c:pt idx="128">
                  <c:v>8872.4061278192839</c:v>
                </c:pt>
                <c:pt idx="129">
                  <c:v>9115.2503473017096</c:v>
                </c:pt>
                <c:pt idx="130">
                  <c:v>9325.2559678074922</c:v>
                </c:pt>
                <c:pt idx="131">
                  <c:v>9498.913505772025</c:v>
                </c:pt>
                <c:pt idx="132">
                  <c:v>9633.2370829923948</c:v>
                </c:pt>
                <c:pt idx="133">
                  <c:v>9725.8770325491314</c:v>
                </c:pt>
                <c:pt idx="134">
                  <c:v>9775.2128206798625</c:v>
                </c:pt>
                <c:pt idx="135">
                  <c:v>9780.4200482797623</c:v>
                </c:pt>
                <c:pt idx="136">
                  <c:v>9741.5067512804471</c:v>
                </c:pt>
                <c:pt idx="137">
                  <c:v>9659.3161830492299</c:v>
                </c:pt>
                <c:pt idx="138">
                  <c:v>9535.4955516228674</c:v>
                </c:pt>
                <c:pt idx="139">
                  <c:v>9372.4325659404276</c:v>
                </c:pt>
                <c:pt idx="140">
                  <c:v>9173.1638656187406</c:v>
                </c:pt>
                <c:pt idx="141">
                  <c:v>8941.2612345750367</c:v>
                </c:pt>
                <c:pt idx="142">
                  <c:v>8680.7027499920459</c:v>
                </c:pt>
                <c:pt idx="143">
                  <c:v>8395.7365934286336</c:v>
                </c:pt>
                <c:pt idx="144">
                  <c:v>8090.7451382267263</c:v>
                </c:pt>
                <c:pt idx="145">
                  <c:v>7770.1161988970998</c:v>
                </c:pt>
                <c:pt idx="146">
                  <c:v>7438.1271218468337</c:v>
                </c:pt>
                <c:pt idx="147">
                  <c:v>7098.8458894890409</c:v>
                </c:pt>
                <c:pt idx="148">
                  <c:v>6756.0517877620714</c:v>
                </c:pt>
                <c:pt idx="149">
                  <c:v>6413.1766198987198</c:v>
                </c:pt>
                <c:pt idx="150">
                  <c:v>6073.2660706043798</c:v>
                </c:pt>
                <c:pt idx="151">
                  <c:v>5738.9597224818508</c:v>
                </c:pt>
                <c:pt idx="152">
                  <c:v>5412.4874413972684</c:v>
                </c:pt>
                <c:pt idx="153">
                  <c:v>5095.6793790033689</c:v>
                </c:pt>
                <c:pt idx="154">
                  <c:v>4789.9866569600908</c:v>
                </c:pt>
                <c:pt idx="155">
                  <c:v>4496.5098468840451</c:v>
                </c:pt>
                <c:pt idx="156">
                  <c:v>4216.0325822929435</c:v>
                </c:pt>
                <c:pt idx="157">
                  <c:v>3949.0579735342826</c:v>
                </c:pt>
                <c:pt idx="158">
                  <c:v>3695.8458900964806</c:v>
                </c:pt>
                <c:pt idx="159">
                  <c:v>3456.449583035178</c:v>
                </c:pt>
                <c:pt idx="160">
                  <c:v>3230.7505110859588</c:v>
                </c:pt>
                <c:pt idx="161">
                  <c:v>3018.4905859012588</c:v>
                </c:pt>
                <c:pt idx="162">
                  <c:v>2819.3013527586722</c:v>
                </c:pt>
                <c:pt idx="163">
                  <c:v>2632.7298685810179</c:v>
                </c:pt>
                <c:pt idx="164">
                  <c:v>2458.261230190225</c:v>
                </c:pt>
                <c:pt idx="165">
                  <c:v>2295.3378469683958</c:v>
                </c:pt>
                <c:pt idx="166">
                  <c:v>2143.3756501094408</c:v>
                </c:pt>
                <c:pt idx="167">
                  <c:v>2001.7774928116592</c:v>
                </c:pt>
                <c:pt idx="168">
                  <c:v>1869.9440294491378</c:v>
                </c:pt>
                <c:pt idx="169">
                  <c:v>1747.2823737599156</c:v>
                </c:pt>
                <c:pt idx="170">
                  <c:v>1633.2128323270729</c:v>
                </c:pt>
                <c:pt idx="171">
                  <c:v>1527.1739950474541</c:v>
                </c:pt>
                <c:pt idx="172">
                  <c:v>1428.6264428440338</c:v>
                </c:pt>
                <c:pt idx="173">
                  <c:v>1337.0553076418339</c:v>
                </c:pt>
                <c:pt idx="174">
                  <c:v>1251.9718928676298</c:v>
                </c:pt>
                <c:pt idx="175">
                  <c:v>1172.9145360685391</c:v>
                </c:pt>
                <c:pt idx="176">
                  <c:v>1099.4488697652653</c:v>
                </c:pt>
                <c:pt idx="177">
                  <c:v>1031.1676130442677</c:v>
                </c:pt>
                <c:pt idx="178">
                  <c:v>967.69000502391657</c:v>
                </c:pt>
                <c:pt idx="179">
                  <c:v>908.66097235429424</c:v>
                </c:pt>
                <c:pt idx="180">
                  <c:v>853.75010632497208</c:v>
                </c:pt>
                <c:pt idx="181">
                  <c:v>802.65051085371022</c:v>
                </c:pt>
                <c:pt idx="182">
                  <c:v>755.07757044270738</c:v>
                </c:pt>
                <c:pt idx="183">
                  <c:v>710.76767691552061</c:v>
                </c:pt>
                <c:pt idx="184">
                  <c:v>669.47694517194202</c:v>
                </c:pt>
                <c:pt idx="185">
                  <c:v>630.97994110610034</c:v>
                </c:pt>
                <c:pt idx="186">
                  <c:v>595.068439021323</c:v>
                </c:pt>
                <c:pt idx="187">
                  <c:v>561.55022115600491</c:v>
                </c:pt>
                <c:pt idx="188">
                  <c:v>530.24792813851604</c:v>
                </c:pt>
                <c:pt idx="189">
                  <c:v>500.9979661660592</c:v>
                </c:pt>
                <c:pt idx="190">
                  <c:v>473.64947432148409</c:v>
                </c:pt>
                <c:pt idx="191">
                  <c:v>448.0633535905431</c:v>
                </c:pt>
                <c:pt idx="192">
                  <c:v>424.11135772369369</c:v>
                </c:pt>
                <c:pt idx="193">
                  <c:v>401.67524501991267</c:v>
                </c:pt>
                <c:pt idx="194">
                  <c:v>380.64598932685334</c:v>
                </c:pt>
                <c:pt idx="195">
                  <c:v>360.92304799520048</c:v>
                </c:pt>
                <c:pt idx="196">
                  <c:v>342.41368414826258</c:v>
                </c:pt>
                <c:pt idx="197">
                  <c:v>325.03234039207342</c:v>
                </c:pt>
                <c:pt idx="198">
                  <c:v>308.70006096498247</c:v>
                </c:pt>
                <c:pt idx="199">
                  <c:v>293.34395928332776</c:v>
                </c:pt>
                <c:pt idx="200">
                  <c:v>278.89672786061033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90-44B3-B1E4-DC550F293A64}"/>
            </c:ext>
          </c:extLst>
        </c:ser>
        <c:ser>
          <c:idx val="1"/>
          <c:order val="2"/>
          <c:tx>
            <c:strRef>
              <c:f>Sonsonate!$J$3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Sonsonate!$C$3:$C$204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Sonsonate!$J$4:$J$204</c:f>
              <c:numCache>
                <c:formatCode>0</c:formatCode>
                <c:ptCount val="201"/>
                <c:pt idx="1">
                  <c:v>2.9666666666666664E-2</c:v>
                </c:pt>
                <c:pt idx="2">
                  <c:v>3.2593768856711891E-2</c:v>
                </c:pt>
                <c:pt idx="3">
                  <c:v>3.5809676324804994E-2</c:v>
                </c:pt>
                <c:pt idx="4">
                  <c:v>3.9342884053639761E-2</c:v>
                </c:pt>
                <c:pt idx="5">
                  <c:v>4.3224698430425777E-2</c:v>
                </c:pt>
                <c:pt idx="6">
                  <c:v>4.7489514617723029E-2</c:v>
                </c:pt>
                <c:pt idx="7">
                  <c:v>5.2175121287140185E-2</c:v>
                </c:pt>
                <c:pt idx="8">
                  <c:v>5.7323035414787026E-2</c:v>
                </c:pt>
                <c:pt idx="9">
                  <c:v>6.2978870103472848E-2</c:v>
                </c:pt>
                <c:pt idx="10">
                  <c:v>6.9192738688960156E-2</c:v>
                </c:pt>
                <c:pt idx="11">
                  <c:v>7.6019698708695335E-2</c:v>
                </c:pt>
                <c:pt idx="12">
                  <c:v>8.3520239664176071E-2</c:v>
                </c:pt>
                <c:pt idx="13">
                  <c:v>9.176081889558807E-2</c:v>
                </c:pt>
                <c:pt idx="14">
                  <c:v>0.10081445031296421</c:v>
                </c:pt>
                <c:pt idx="15">
                  <c:v>0.11076135119563299</c:v>
                </c:pt>
                <c:pt idx="16">
                  <c:v>0.12168965278524534</c:v>
                </c:pt>
                <c:pt idx="17">
                  <c:v>0.13369618096170982</c:v>
                </c:pt>
                <c:pt idx="18">
                  <c:v>0.14688731391088611</c:v>
                </c:pt>
                <c:pt idx="19">
                  <c:v>0.16137992437331491</c:v>
                </c:pt>
                <c:pt idx="20">
                  <c:v>0.17730241481057363</c:v>
                </c:pt>
                <c:pt idx="21">
                  <c:v>0.19479585464657873</c:v>
                </c:pt>
                <c:pt idx="22">
                  <c:v>0.21401522964249306</c:v>
                </c:pt>
                <c:pt idx="23">
                  <c:v>0.23513081445371414</c:v>
                </c:pt>
                <c:pt idx="24">
                  <c:v>0.25832968050434957</c:v>
                </c:pt>
                <c:pt idx="25">
                  <c:v>0.28381735250810552</c:v>
                </c:pt>
                <c:pt idx="26">
                  <c:v>0.31181962827499465</c:v>
                </c:pt>
                <c:pt idx="27">
                  <c:v>0.34258457788209307</c:v>
                </c:pt>
                <c:pt idx="28">
                  <c:v>0.37638473986620469</c:v>
                </c:pt>
                <c:pt idx="29">
                  <c:v>0.4135195338303756</c:v>
                </c:pt>
                <c:pt idx="30">
                  <c:v>0.45431791075969669</c:v>
                </c:pt>
                <c:pt idx="31">
                  <c:v>0.49914126443110024</c:v>
                </c:pt>
                <c:pt idx="32">
                  <c:v>0.54838662959480833</c:v>
                </c:pt>
                <c:pt idx="33">
                  <c:v>0.60249019512131086</c:v>
                </c:pt>
                <c:pt idx="34">
                  <c:v>0.66193116306866073</c:v>
                </c:pt>
                <c:pt idx="35">
                  <c:v>0.72723598765386732</c:v>
                </c:pt>
                <c:pt idx="36">
                  <c:v>0.79898303143481564</c:v>
                </c:pt>
                <c:pt idx="37">
                  <c:v>0.87780767965331685</c:v>
                </c:pt>
                <c:pt idx="38">
                  <c:v>0.96440795768604981</c:v>
                </c:pt>
                <c:pt idx="39">
                  <c:v>1.0595507009314249</c:v>
                </c:pt>
                <c:pt idx="40">
                  <c:v>1.1640783312629019</c:v>
                </c:pt>
                <c:pt idx="41">
                  <c:v>1.278916299442312</c:v>
                </c:pt>
                <c:pt idx="42">
                  <c:v>1.4050812586529227</c:v>
                </c:pt>
                <c:pt idx="43">
                  <c:v>1.5436900406277112</c:v>
                </c:pt>
                <c:pt idx="44">
                  <c:v>1.6959695127637422</c:v>
                </c:pt>
                <c:pt idx="45">
                  <c:v>1.8632674021830582</c:v>
                </c:pt>
                <c:pt idx="46">
                  <c:v>2.0470641809827668</c:v>
                </c:pt>
                <c:pt idx="47">
                  <c:v>2.248986115975351</c:v>
                </c:pt>
                <c:pt idx="48">
                  <c:v>2.470819596122765</c:v>
                </c:pt>
                <c:pt idx="49">
                  <c:v>2.7145268616876144</c:v>
                </c:pt>
                <c:pt idx="50">
                  <c:v>2.9822632709399581</c:v>
                </c:pt>
                <c:pt idx="51">
                  <c:v>3.2763962531522521</c:v>
                </c:pt>
                <c:pt idx="52">
                  <c:v>3.5995261106763832</c:v>
                </c:pt>
                <c:pt idx="53">
                  <c:v>3.954508848219132</c:v>
                </c:pt>
                <c:pt idx="54">
                  <c:v>4.3444812241143289</c:v>
                </c:pt>
                <c:pt idx="55">
                  <c:v>4.7728882365342402</c:v>
                </c:pt>
                <c:pt idx="56">
                  <c:v>5.2435132772960422</c:v>
                </c:pt>
                <c:pt idx="57">
                  <c:v>5.7605112073111391</c:v>
                </c:pt>
                <c:pt idx="58">
                  <c:v>6.3284446309066018</c:v>
                </c:pt>
                <c:pt idx="59">
                  <c:v>6.952323671330265</c:v>
                </c:pt>
                <c:pt idx="60">
                  <c:v>7.6376495768426116</c:v>
                </c:pt>
                <c:pt idx="61">
                  <c:v>8.3904625160029074</c:v>
                </c:pt>
                <c:pt idx="62">
                  <c:v>9.2173939521689032</c:v>
                </c:pt>
                <c:pt idx="63">
                  <c:v>10.125724020929368</c:v>
                </c:pt>
                <c:pt idx="64">
                  <c:v>11.123444370238568</c:v>
                </c:pt>
                <c:pt idx="65">
                  <c:v>12.219326961456252</c:v>
                </c:pt>
                <c:pt idx="66">
                  <c:v>13.422999370314319</c:v>
                </c:pt>
                <c:pt idx="67">
                  <c:v>14.745027169984546</c:v>
                </c:pt>
                <c:pt idx="68">
                  <c:v>16.197004023801249</c:v>
                </c:pt>
                <c:pt idx="69">
                  <c:v>17.791650162612665</c:v>
                </c:pt>
                <c:pt idx="70">
                  <c:v>19.542919970911456</c:v>
                </c:pt>
                <c:pt idx="71">
                  <c:v>21.46611945642146</c:v>
                </c:pt>
                <c:pt idx="72">
                  <c:v>23.578034429137865</c:v>
                </c:pt>
                <c:pt idx="73">
                  <c:v>25.897070267185235</c:v>
                </c:pt>
                <c:pt idx="74">
                  <c:v>28.443404197298584</c:v>
                </c:pt>
                <c:pt idx="75">
                  <c:v>31.23915106599198</c:v>
                </c:pt>
                <c:pt idx="76">
                  <c:v>34.308543621962208</c:v>
                </c:pt>
                <c:pt idx="77">
                  <c:v>37.678128368977994</c:v>
                </c:pt>
                <c:pt idx="78">
                  <c:v>41.376978078929952</c:v>
                </c:pt>
                <c:pt idx="79">
                  <c:v>45.436922073776969</c:v>
                </c:pt>
                <c:pt idx="80">
                  <c:v>49.892795389033161</c:v>
                </c:pt>
                <c:pt idx="81">
                  <c:v>54.782707915581071</c:v>
                </c:pt>
                <c:pt idx="82">
                  <c:v>60.148334575378698</c:v>
                </c:pt>
                <c:pt idx="83">
                  <c:v>66.035227513319228</c:v>
                </c:pt>
                <c:pt idx="84">
                  <c:v>72.493151174046417</c:v>
                </c:pt>
                <c:pt idx="85">
                  <c:v>79.576440969341377</c:v>
                </c:pt>
                <c:pt idx="86">
                  <c:v>87.344386017447491</c:v>
                </c:pt>
                <c:pt idx="87">
                  <c:v>95.86163613708338</c:v>
                </c:pt>
                <c:pt idx="88">
                  <c:v>105.19863289038936</c:v>
                </c:pt>
                <c:pt idx="89">
                  <c:v>115.43206397270454</c:v>
                </c:pt>
                <c:pt idx="90">
                  <c:v>126.64533962227156</c:v>
                </c:pt>
                <c:pt idx="91">
                  <c:v>138.92908894631108</c:v>
                </c:pt>
                <c:pt idx="92">
                  <c:v>152.38167310509991</c:v>
                </c:pt>
                <c:pt idx="93">
                  <c:v>167.10971113359153</c:v>
                </c:pt>
                <c:pt idx="94">
                  <c:v>183.22861277896911</c:v>
                </c:pt>
                <c:pt idx="95">
                  <c:v>200.86311105840022</c:v>
                </c:pt>
                <c:pt idx="96">
                  <c:v>220.14778525890401</c:v>
                </c:pt>
                <c:pt idx="97">
                  <c:v>241.22756277530914</c:v>
                </c:pt>
                <c:pt idx="98">
                  <c:v>264.25818547922825</c:v>
                </c:pt>
                <c:pt idx="99">
                  <c:v>289.40662320267791</c:v>
                </c:pt>
                <c:pt idx="100">
                  <c:v>316.85141338329294</c:v>
                </c:pt>
                <c:pt idx="101">
                  <c:v>346.78290194559247</c:v>
                </c:pt>
                <c:pt idx="102">
                  <c:v>379.40335609478694</c:v>
                </c:pt>
                <c:pt idx="103">
                  <c:v>414.92691491291208</c:v>
                </c:pt>
                <c:pt idx="104">
                  <c:v>453.57933854406309</c:v>
                </c:pt>
                <c:pt idx="105">
                  <c:v>495.59751145535307</c:v>
                </c:pt>
                <c:pt idx="106">
                  <c:v>541.22864994154247</c:v>
                </c:pt>
                <c:pt idx="107">
                  <c:v>590.72915895610413</c:v>
                </c:pt>
                <c:pt idx="108">
                  <c:v>644.36307883979839</c:v>
                </c:pt>
                <c:pt idx="109">
                  <c:v>702.40005902162807</c:v>
                </c:pt>
                <c:pt idx="110">
                  <c:v>765.11279384193597</c:v>
                </c:pt>
                <c:pt idx="111">
                  <c:v>832.77385596937245</c:v>
                </c:pt>
                <c:pt idx="112">
                  <c:v>905.65186624730529</c:v>
                </c:pt>
                <c:pt idx="113">
                  <c:v>984.00694611055485</c:v>
                </c:pt>
                <c:pt idx="114">
                  <c:v>1068.0854109328641</c:v>
                </c:pt>
                <c:pt idx="115">
                  <c:v>1158.1136807905741</c:v>
                </c:pt>
                <c:pt idx="116">
                  <c:v>1254.2914100856194</c:v>
                </c:pt>
                <c:pt idx="117">
                  <c:v>1356.7838700088062</c:v>
                </c:pt>
                <c:pt idx="118">
                  <c:v>1465.7136583616857</c:v>
                </c:pt>
                <c:pt idx="119">
                  <c:v>1581.1518597036302</c:v>
                </c:pt>
                <c:pt idx="120">
                  <c:v>1703.1088343530448</c:v>
                </c:pt>
                <c:pt idx="121">
                  <c:v>1831.5248757395827</c:v>
                </c:pt>
                <c:pt idx="122">
                  <c:v>1966.2610391807214</c:v>
                </c:pt>
                <c:pt idx="123">
                  <c:v>2107.090507342974</c:v>
                </c:pt>
                <c:pt idx="124">
                  <c:v>2253.6909132456112</c:v>
                </c:pt>
                <c:pt idx="125">
                  <c:v>2405.6380844326386</c:v>
                </c:pt>
                <c:pt idx="126">
                  <c:v>2562.4016949624593</c:v>
                </c:pt>
                <c:pt idx="127">
                  <c:v>2723.3433081526223</c:v>
                </c:pt>
                <c:pt idx="128">
                  <c:v>2887.7172563210452</c:v>
                </c:pt>
                <c:pt idx="129">
                  <c:v>3054.6747295689825</c:v>
                </c:pt>
                <c:pt idx="130">
                  <c:v>3223.2713322199666</c:v>
                </c:pt>
                <c:pt idx="131">
                  <c:v>3392.47821485759</c:v>
                </c:pt>
                <c:pt idx="132">
                  <c:v>3561.1967083669074</c:v>
                </c:pt>
                <c:pt idx="133">
                  <c:v>3728.2761848834516</c:v>
                </c:pt>
                <c:pt idx="134">
                  <c:v>3892.5346640196267</c:v>
                </c:pt>
                <c:pt idx="135">
                  <c:v>4052.7814888991411</c:v>
                </c:pt>
                <c:pt idx="136">
                  <c:v>4207.8412340348032</c:v>
                </c:pt>
                <c:pt idx="137">
                  <c:v>4356.5778931882969</c:v>
                </c:pt>
                <c:pt idx="138">
                  <c:v>4497.9183435124805</c:v>
                </c:pt>
                <c:pt idx="139">
                  <c:v>4630.8741000935424</c:v>
                </c:pt>
                <c:pt idx="140">
                  <c:v>4754.5604628799902</c:v>
                </c:pt>
                <c:pt idx="141">
                  <c:v>4868.2123087973459</c:v>
                </c:pt>
                <c:pt idx="142">
                  <c:v>4971.1959817964944</c:v>
                </c:pt>
                <c:pt idx="143">
                  <c:v>5063.0169639863761</c:v>
                </c:pt>
                <c:pt idx="144">
                  <c:v>5143.3232507918783</c:v>
                </c:pt>
                <c:pt idx="145">
                  <c:v>5211.9045815328755</c:v>
                </c:pt>
                <c:pt idx="146">
                  <c:v>5268.6878760490608</c:v>
                </c:pt>
                <c:pt idx="147">
                  <c:v>5313.729384795547</c:v>
                </c:pt>
                <c:pt idx="148">
                  <c:v>5347.2041666905379</c:v>
                </c:pt>
                <c:pt idx="149">
                  <c:v>5369.3935641711278</c:v>
                </c:pt>
                <c:pt idx="150">
                  <c:v>5380.6713517557519</c:v>
                </c:pt>
                <c:pt idx="151">
                  <c:v>5381.4892001251565</c:v>
                </c:pt>
                <c:pt idx="152">
                  <c:v>5372.3620318879457</c:v>
                </c:pt>
                <c:pt idx="153">
                  <c:v>5353.8537582531335</c:v>
                </c:pt>
                <c:pt idx="154">
                  <c:v>5326.5637878884618</c:v>
                </c:pt>
                <c:pt idx="155">
                  <c:v>5291.1145991153298</c:v>
                </c:pt>
                <c:pt idx="156">
                  <c:v>5248.1405712690466</c:v>
                </c:pt>
                <c:pt idx="157">
                  <c:v>5198.2781855014346</c:v>
                </c:pt>
                <c:pt idx="158">
                  <c:v>5142.1576325329042</c:v>
                </c:pt>
                <c:pt idx="159">
                  <c:v>5080.3958061880021</c:v>
                </c:pt>
                <c:pt idx="160">
                  <c:v>5013.5906169451127</c:v>
                </c:pt>
                <c:pt idx="161">
                  <c:v>4942.3165282091595</c:v>
                </c:pt>
                <c:pt idx="162">
                  <c:v>4867.1211979839236</c:v>
                </c:pt>
                <c:pt idx="163">
                  <c:v>4788.5230981829664</c:v>
                </c:pt>
                <c:pt idx="164">
                  <c:v>4707.009981011438</c:v>
                </c:pt>
                <c:pt idx="165">
                  <c:v>4623.0380648066994</c:v>
                </c:pt>
                <c:pt idx="166">
                  <c:v>4537.0318187732055</c:v>
                </c:pt>
                <c:pt idx="167">
                  <c:v>4449.3842357673448</c:v>
                </c:pt>
                <c:pt idx="168">
                  <c:v>4360.4574935285118</c:v>
                </c:pt>
                <c:pt idx="169">
                  <c:v>4270.5839166178857</c:v>
                </c:pt>
                <c:pt idx="170">
                  <c:v>4180.0671631521673</c:v>
                </c:pt>
                <c:pt idx="171">
                  <c:v>4089.1835717394652</c:v>
                </c:pt>
                <c:pt idx="172">
                  <c:v>3998.1836145345574</c:v>
                </c:pt>
                <c:pt idx="173">
                  <c:v>3907.2934118544458</c:v>
                </c:pt>
                <c:pt idx="174">
                  <c:v>3816.7162722526714</c:v>
                </c:pt>
                <c:pt idx="175">
                  <c:v>3726.6342293326552</c:v>
                </c:pt>
                <c:pt idx="176">
                  <c:v>3637.2095529249336</c:v>
                </c:pt>
                <c:pt idx="177">
                  <c:v>3548.5862176304722</c:v>
                </c:pt>
                <c:pt idx="178">
                  <c:v>3460.8913162297695</c:v>
                </c:pt>
                <c:pt idx="179">
                  <c:v>3374.2364091711543</c:v>
                </c:pt>
                <c:pt idx="180">
                  <c:v>3288.7188043786259</c:v>
                </c:pt>
                <c:pt idx="181">
                  <c:v>3204.422764053646</c:v>
                </c:pt>
                <c:pt idx="182">
                  <c:v>3121.4206370738511</c:v>
                </c:pt>
                <c:pt idx="183">
                  <c:v>3039.7739170945229</c:v>
                </c:pt>
                <c:pt idx="184">
                  <c:v>2959.534227606533</c:v>
                </c:pt>
                <c:pt idx="185">
                  <c:v>2880.7442360597493</c:v>
                </c:pt>
                <c:pt idx="186">
                  <c:v>2803.4384997772381</c:v>
                </c:pt>
                <c:pt idx="187">
                  <c:v>2727.6442468089631</c:v>
                </c:pt>
                <c:pt idx="188">
                  <c:v>2653.3820951429589</c:v>
                </c:pt>
                <c:pt idx="189">
                  <c:v>2580.666713839636</c:v>
                </c:pt>
                <c:pt idx="190">
                  <c:v>2509.5074297079077</c:v>
                </c:pt>
                <c:pt idx="191">
                  <c:v>2439.9087831225147</c:v>
                </c:pt>
                <c:pt idx="192">
                  <c:v>2371.8710365082834</c:v>
                </c:pt>
                <c:pt idx="193">
                  <c:v>2305.3906389038107</c:v>
                </c:pt>
                <c:pt idx="194">
                  <c:v>2240.4606498759413</c:v>
                </c:pt>
                <c:pt idx="195">
                  <c:v>2177.0711258967731</c:v>
                </c:pt>
                <c:pt idx="196">
                  <c:v>2115.209472124071</c:v>
                </c:pt>
                <c:pt idx="197">
                  <c:v>2054.8607623496673</c:v>
                </c:pt>
                <c:pt idx="198">
                  <c:v>1996.0080297029774</c:v>
                </c:pt>
                <c:pt idx="199">
                  <c:v>1938.6325305215059</c:v>
                </c:pt>
                <c:pt idx="200">
                  <c:v>1882.7139836295278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90-44B3-B1E4-DC550F293A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0653216"/>
        <c:axId val="560657152"/>
      </c:lineChart>
      <c:catAx>
        <c:axId val="56065321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0657152"/>
        <c:crosses val="autoZero"/>
        <c:auto val="1"/>
        <c:lblAlgn val="ctr"/>
        <c:lblOffset val="100"/>
        <c:noMultiLvlLbl val="0"/>
      </c:catAx>
      <c:valAx>
        <c:axId val="56065715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6065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La Libertad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'La Libertad'!$I$3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Libertad'!$C$3:$C$204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Libertad'!$I$4:$I$204</c:f>
              <c:numCache>
                <c:formatCode>0</c:formatCode>
                <c:ptCount val="201"/>
                <c:pt idx="1">
                  <c:v>0.1319998001976832</c:v>
                </c:pt>
                <c:pt idx="2">
                  <c:v>0.14502372593879767</c:v>
                </c:pt>
                <c:pt idx="3">
                  <c:v>0.1593326668655555</c:v>
                </c:pt>
                <c:pt idx="4">
                  <c:v>0.17505340854139784</c:v>
                </c:pt>
                <c:pt idx="5">
                  <c:v>0.1923252454916308</c:v>
                </c:pt>
                <c:pt idx="6">
                  <c:v>0.21130121530689341</c:v>
                </c:pt>
                <c:pt idx="7">
                  <c:v>0.23214945448779228</c:v>
                </c:pt>
                <c:pt idx="8">
                  <c:v>0.25505468803758219</c:v>
                </c:pt>
                <c:pt idx="9">
                  <c:v>0.28021986599342985</c:v>
                </c:pt>
                <c:pt idx="10">
                  <c:v>0.30786796138703576</c:v>
                </c:pt>
                <c:pt idx="11">
                  <c:v>0.33824394555365894</c:v>
                </c:pt>
                <c:pt idx="12">
                  <c:v>0.37161695827747965</c:v>
                </c:pt>
                <c:pt idx="13">
                  <c:v>0.40828269198454398</c:v>
                </c:pt>
                <c:pt idx="14">
                  <c:v>0.44856601108743527</c:v>
                </c:pt>
                <c:pt idx="15">
                  <c:v>0.49282382966493943</c:v>
                </c:pt>
                <c:pt idx="16">
                  <c:v>0.54144827294358355</c:v>
                </c:pt>
                <c:pt idx="17">
                  <c:v>0.59487015055606318</c:v>
                </c:pt>
                <c:pt idx="18">
                  <c:v>0.65356277230623749</c:v>
                </c:pt>
                <c:pt idx="19">
                  <c:v>0.71804614019566493</c:v>
                </c:pt>
                <c:pt idx="20">
                  <c:v>0.78889155378907938</c:v>
                </c:pt>
                <c:pt idx="21">
                  <c:v>0.86672666964474787</c:v>
                </c:pt>
                <c:pt idx="22">
                  <c:v>0.95224105954218263</c:v>
                </c:pt>
                <c:pt idx="23">
                  <c:v>1.046192316639079</c:v>
                </c:pt>
                <c:pt idx="24">
                  <c:v>1.1494127635198836</c:v>
                </c:pt>
                <c:pt idx="25">
                  <c:v>1.2628168214019979</c:v>
                </c:pt>
                <c:pt idx="26">
                  <c:v>1.3874091055882107</c:v>
                </c:pt>
                <c:pt idx="27">
                  <c:v>1.5242933186459005</c:v>
                </c:pt>
                <c:pt idx="28">
                  <c:v>1.6746820198098971</c:v>
                </c:pt>
                <c:pt idx="29">
                  <c:v>1.8399073568069884</c:v>
                </c:pt>
                <c:pt idx="30">
                  <c:v>2.0214328547519478</c:v>
                </c:pt>
                <c:pt idx="31">
                  <c:v>2.2208663660397425</c:v>
                </c:pt>
                <c:pt idx="32">
                  <c:v>2.4399742953352788</c:v>
                </c:pt>
                <c:pt idx="33">
                  <c:v>2.6806972249268477</c:v>
                </c:pt>
                <c:pt idx="34">
                  <c:v>2.9451670779565529</c:v>
                </c:pt>
                <c:pt idx="35">
                  <c:v>3.2357259704732493</c:v>
                </c:pt>
                <c:pt idx="36">
                  <c:v>3.5549469179829871</c:v>
                </c:pt>
                <c:pt idx="37">
                  <c:v>3.9056565783208339</c:v>
                </c:pt>
                <c:pt idx="38">
                  <c:v>4.290960230369361</c:v>
                </c:pt>
                <c:pt idx="39">
                  <c:v>4.7142692075476038</c:v>
                </c:pt>
                <c:pt idx="40">
                  <c:v>5.1793310262473451</c:v>
                </c:pt>
                <c:pt idx="41">
                  <c:v>5.6902624726717912</c:v>
                </c:pt>
                <c:pt idx="42">
                  <c:v>6.2515859370198861</c:v>
                </c:pt>
                <c:pt idx="43">
                  <c:v>6.868269311858259</c:v>
                </c:pt>
                <c:pt idx="44">
                  <c:v>7.5457698020477437</c:v>
                </c:pt>
                <c:pt idx="45">
                  <c:v>8.2900820269763269</c:v>
                </c:pt>
                <c:pt idx="46">
                  <c:v>9.1077908323455059</c:v>
                </c:pt>
                <c:pt idx="47">
                  <c:v>10.006129268631735</c:v>
                </c:pt>
                <c:pt idx="48">
                  <c:v>10.993042236886659</c:v>
                </c:pt>
                <c:pt idx="49">
                  <c:v>12.077256350055883</c:v>
                </c:pt>
                <c:pt idx="50">
                  <c:v>13.268356609812274</c:v>
                </c:pt>
                <c:pt idx="51">
                  <c:v>14.576870555359948</c:v>
                </c:pt>
                <c:pt idx="52">
                  <c:v>16.01436060213209</c:v>
                </c:pt>
                <c:pt idx="53">
                  <c:v>17.593525355156419</c:v>
                </c:pt>
                <c:pt idx="54">
                  <c:v>19.328310754488992</c:v>
                </c:pt>
                <c:pt idx="55">
                  <c:v>21.234031988921039</c:v>
                </c:pt>
                <c:pt idx="56">
                  <c:v>23.32750719955159</c:v>
                </c:pt>
                <c:pt idx="57">
                  <c:v>25.627204087197359</c:v>
                </c:pt>
                <c:pt idx="58">
                  <c:v>28.153400637375082</c:v>
                </c:pt>
                <c:pt idx="59">
                  <c:v>30.928361284118214</c:v>
                </c:pt>
                <c:pt idx="60">
                  <c:v>33.976529949518572</c:v>
                </c:pt>
                <c:pt idx="61">
                  <c:v>37.324741519904386</c:v>
                </c:pt>
                <c:pt idx="62">
                  <c:v>41.002453452193691</c:v>
                </c:pt>
                <c:pt idx="63">
                  <c:v>45.041999345307033</c:v>
                </c:pt>
                <c:pt idx="64">
                  <c:v>49.478866461563477</c:v>
                </c:pt>
                <c:pt idx="65">
                  <c:v>54.351999341512922</c:v>
                </c:pt>
                <c:pt idx="66">
                  <c:v>59.704131822241813</c:v>
                </c:pt>
                <c:pt idx="67">
                  <c:v>65.582149943096326</c:v>
                </c:pt>
                <c:pt idx="68">
                  <c:v>72.037488402893757</c:v>
                </c:pt>
                <c:pt idx="69">
                  <c:v>79.126563417465263</c:v>
                </c:pt>
                <c:pt idx="70">
                  <c:v>86.911245013637355</c:v>
                </c:pt>
                <c:pt idx="71">
                  <c:v>95.459371982641045</c:v>
                </c:pt>
                <c:pt idx="72">
                  <c:v>104.84531289867603</c:v>
                </c:pt>
                <c:pt idx="73">
                  <c:v>115.15057678210782</c:v>
                </c:pt>
                <c:pt idx="74">
                  <c:v>126.46447714537962</c:v>
                </c:pt>
                <c:pt idx="75">
                  <c:v>138.8848532954141</c:v>
                </c:pt>
                <c:pt idx="76">
                  <c:v>152.51885286937571</c:v>
                </c:pt>
                <c:pt idx="77">
                  <c:v>167.48377963915109</c:v>
                </c:pt>
                <c:pt idx="78">
                  <c:v>183.90801061901058</c:v>
                </c:pt>
                <c:pt idx="79">
                  <c:v>201.9319864325405</c:v>
                </c:pt>
                <c:pt idx="80">
                  <c:v>221.70927871710404</c:v>
                </c:pt>
                <c:pt idx="81">
                  <c:v>243.40773804015998</c:v>
                </c:pt>
                <c:pt idx="82">
                  <c:v>267.21072533972551</c:v>
                </c:pt>
                <c:pt idx="83">
                  <c:v>293.31842924273826</c:v>
                </c:pt>
                <c:pt idx="84">
                  <c:v>321.94927071438525</c:v>
                </c:pt>
                <c:pt idx="85">
                  <c:v>353.3413952944997</c:v>
                </c:pt>
                <c:pt idx="86">
                  <c:v>387.75425162017928</c:v>
                </c:pt>
                <c:pt idx="87">
                  <c:v>425.47025294228268</c:v>
                </c:pt>
                <c:pt idx="88">
                  <c:v>466.7965158307519</c:v>
                </c:pt>
                <c:pt idx="89">
                  <c:v>512.0666671298394</c:v>
                </c:pt>
                <c:pt idx="90">
                  <c:v>561.64270635498372</c:v>
                </c:pt>
                <c:pt idx="91">
                  <c:v>615.91690598887078</c:v>
                </c:pt>
                <c:pt idx="92">
                  <c:v>675.31372639036374</c:v>
                </c:pt>
                <c:pt idx="93">
                  <c:v>740.29171511674951</c:v>
                </c:pt>
                <c:pt idx="94">
                  <c:v>811.34535220404916</c:v>
                </c:pt>
                <c:pt idx="95">
                  <c:v>889.00679316850153</c:v>
                </c:pt>
                <c:pt idx="96">
                  <c:v>973.84744999612269</c:v>
                </c:pt>
                <c:pt idx="97">
                  <c:v>1066.4793369905419</c:v>
                </c:pt>
                <c:pt idx="98">
                  <c:v>1167.5560928805594</c:v>
                </c:pt>
                <c:pt idx="99">
                  <c:v>1277.7735729071321</c:v>
                </c:pt>
                <c:pt idx="100">
                  <c:v>1397.869884626765</c:v>
                </c:pt>
                <c:pt idx="101">
                  <c:v>1528.6247188789616</c:v>
                </c:pt>
                <c:pt idx="102">
                  <c:v>1670.8578028846289</c:v>
                </c:pt>
                <c:pt idx="103">
                  <c:v>1825.4262760545405</c:v>
                </c:pt>
                <c:pt idx="104">
                  <c:v>1993.2207613057353</c:v>
                </c:pt>
                <c:pt idx="105">
                  <c:v>2175.1598763243915</c:v>
                </c:pt>
                <c:pt idx="106">
                  <c:v>2372.1829014777327</c:v>
                </c:pt>
                <c:pt idx="107">
                  <c:v>2585.2402956481883</c:v>
                </c:pt>
                <c:pt idx="108">
                  <c:v>2815.2817304085902</c:v>
                </c:pt>
                <c:pt idx="109">
                  <c:v>3063.241299634079</c:v>
                </c:pt>
                <c:pt idx="110">
                  <c:v>3330.0195595938726</c:v>
                </c:pt>
                <c:pt idx="111">
                  <c:v>3616.4620683730677</c:v>
                </c:pt>
                <c:pt idx="112">
                  <c:v>3923.3341285994734</c:v>
                </c:pt>
                <c:pt idx="113">
                  <c:v>4251.2915001599531</c:v>
                </c:pt>
                <c:pt idx="114">
                  <c:v>4600.8469467825935</c:v>
                </c:pt>
                <c:pt idx="115">
                  <c:v>4972.3326192229451</c:v>
                </c:pt>
                <c:pt idx="116">
                  <c:v>5365.8584652489881</c:v>
                </c:pt>
                <c:pt idx="117">
                  <c:v>5781.2670985168079</c:v>
                </c:pt>
                <c:pt idx="118">
                  <c:v>6218.0858584238795</c:v>
                </c:pt>
                <c:pt idx="119">
                  <c:v>6675.4771511625368</c:v>
                </c:pt>
                <c:pt idx="120">
                  <c:v>7152.1885732009741</c:v>
                </c:pt>
                <c:pt idx="121">
                  <c:v>7646.5047698247245</c:v>
                </c:pt>
                <c:pt idx="122">
                  <c:v>8156.2034516380963</c:v>
                </c:pt>
                <c:pt idx="123">
                  <c:v>8678.5184488781997</c:v>
                </c:pt>
                <c:pt idx="124">
                  <c:v>9210.113083384691</c:v>
                </c:pt>
                <c:pt idx="125">
                  <c:v>9747.0674263840519</c:v>
                </c:pt>
                <c:pt idx="126">
                  <c:v>10284.883123341619</c:v>
                </c:pt>
                <c:pt idx="127">
                  <c:v>10818.509337208587</c:v>
                </c:pt>
                <c:pt idx="128">
                  <c:v>11342.392923651527</c:v>
                </c:pt>
                <c:pt idx="129">
                  <c:v>11850.555154409065</c:v>
                </c:pt>
                <c:pt idx="130">
                  <c:v>12336.696120693779</c:v>
                </c:pt>
                <c:pt idx="131">
                  <c:v>12794.326387828924</c:v>
                </c:pt>
                <c:pt idx="132">
                  <c:v>13216.923593802159</c:v>
                </c:pt>
                <c:pt idx="133">
                  <c:v>13598.10960215639</c:v>
                </c:pt>
                <c:pt idx="134">
                  <c:v>13931.841702667441</c:v>
                </c:pt>
                <c:pt idx="135">
                  <c:v>14212.609415781348</c:v>
                </c:pt>
                <c:pt idx="136">
                  <c:v>14435.626937560723</c:v>
                </c:pt>
                <c:pt idx="137">
                  <c:v>14597.010393887758</c:v>
                </c:pt>
                <c:pt idx="138">
                  <c:v>14693.929046484436</c:v>
                </c:pt>
                <c:pt idx="139">
                  <c:v>14724.720520340952</c:v>
                </c:pt>
                <c:pt idx="140">
                  <c:v>14688.962005061525</c:v>
                </c:pt>
                <c:pt idx="141">
                  <c:v>14587.492100571306</c:v>
                </c:pt>
                <c:pt idx="142">
                  <c:v>14422.381291441257</c:v>
                </c:pt>
                <c:pt idx="143">
                  <c:v>14196.852613237048</c:v>
                </c:pt>
                <c:pt idx="144">
                  <c:v>13915.157541893232</c:v>
                </c:pt>
                <c:pt idx="145">
                  <c:v>13582.415125301826</c:v>
                </c:pt>
                <c:pt idx="146">
                  <c:v>13204.424581224983</c:v>
                </c:pt>
                <c:pt idx="147">
                  <c:v>12787.462811034109</c:v>
                </c:pt>
                <c:pt idx="148">
                  <c:v>12338.078459859278</c:v>
                </c:pt>
                <c:pt idx="149">
                  <c:v>11862.893357622892</c:v>
                </c:pt>
                <c:pt idx="150">
                  <c:v>11368.420579738546</c:v>
                </c:pt>
                <c:pt idx="151">
                  <c:v>10860.906221976898</c:v>
                </c:pt>
                <c:pt idx="152">
                  <c:v>10346.199571493134</c:v>
                </c:pt>
                <c:pt idx="153">
                  <c:v>9829.6539429952772</c:v>
                </c:pt>
                <c:pt idx="154">
                  <c:v>9316.0582576988199</c:v>
                </c:pt>
                <c:pt idx="155">
                  <c:v>8809.5976298915139</c:v>
                </c:pt>
                <c:pt idx="156">
                  <c:v>8313.8398769357209</c:v>
                </c:pt>
                <c:pt idx="157">
                  <c:v>7831.7440025735241</c:v>
                </c:pt>
                <c:pt idx="158">
                  <c:v>7365.6862868553681</c:v>
                </c:pt>
                <c:pt idx="159">
                  <c:v>6917.4995794617162</c:v>
                </c:pt>
                <c:pt idx="160">
                  <c:v>6488.5216485402434</c:v>
                </c:pt>
                <c:pt idx="161">
                  <c:v>6079.6488923841107</c:v>
                </c:pt>
                <c:pt idx="162">
                  <c:v>5691.3922912012949</c:v>
                </c:pt>
                <c:pt idx="163">
                  <c:v>5323.9330894221775</c:v>
                </c:pt>
                <c:pt idx="164">
                  <c:v>4977.1763007440431</c:v>
                </c:pt>
                <c:pt idx="165">
                  <c:v>4650.800680601762</c:v>
                </c:pt>
                <c:pt idx="166">
                  <c:v>4344.304291332739</c:v>
                </c:pt>
                <c:pt idx="167">
                  <c:v>4057.0451837094715</c:v>
                </c:pt>
                <c:pt idx="168">
                  <c:v>3788.2770337630191</c:v>
                </c:pt>
                <c:pt idx="169">
                  <c:v>3537.1798112483461</c:v>
                </c:pt>
                <c:pt idx="170">
                  <c:v>3302.8857248153604</c:v>
                </c:pt>
                <c:pt idx="171">
                  <c:v>3084.5007998315377</c:v>
                </c:pt>
                <c:pt idx="172">
                  <c:v>2881.1225090664702</c:v>
                </c:pt>
                <c:pt idx="173">
                  <c:v>2691.8539046807459</c:v>
                </c:pt>
                <c:pt idx="174">
                  <c:v>2515.814701560269</c:v>
                </c:pt>
                <c:pt idx="175">
                  <c:v>2352.1497449579606</c:v>
                </c:pt>
                <c:pt idx="176">
                  <c:v>2200.0352661104694</c:v>
                </c:pt>
                <c:pt idx="177">
                  <c:v>2058.6832930440173</c:v>
                </c:pt>
                <c:pt idx="178">
                  <c:v>1927.3445439788247</c:v>
                </c:pt>
                <c:pt idx="179">
                  <c:v>1805.3100903388993</c:v>
                </c:pt>
                <c:pt idx="180">
                  <c:v>1691.9120372679176</c:v>
                </c:pt>
                <c:pt idx="181">
                  <c:v>1586.5234329627328</c:v>
                </c:pt>
                <c:pt idx="182">
                  <c:v>1488.5575847710452</c:v>
                </c:pt>
                <c:pt idx="183">
                  <c:v>1397.4669301900408</c:v>
                </c:pt>
                <c:pt idx="184">
                  <c:v>1312.7415847130746</c:v>
                </c:pt>
                <c:pt idx="185">
                  <c:v>1233.907665787598</c:v>
                </c:pt>
                <c:pt idx="186">
                  <c:v>1160.5254727420408</c:v>
                </c:pt>
                <c:pt idx="187">
                  <c:v>1092.1875861212359</c:v>
                </c:pt>
                <c:pt idx="188">
                  <c:v>1028.5169361191195</c:v>
                </c:pt>
                <c:pt idx="189">
                  <c:v>969.1648783895788</c:v>
                </c:pt>
                <c:pt idx="190">
                  <c:v>913.80930613851876</c:v>
                </c:pt>
                <c:pt idx="191">
                  <c:v>862.15281976106417</c:v>
                </c:pt>
                <c:pt idx="192">
                  <c:v>813.92096912247973</c:v>
                </c:pt>
                <c:pt idx="193">
                  <c:v>768.86057865412636</c:v>
                </c:pt>
                <c:pt idx="194">
                  <c:v>726.73816153976247</c:v>
                </c:pt>
                <c:pt idx="195">
                  <c:v>687.33842622385009</c:v>
                </c:pt>
                <c:pt idx="196">
                  <c:v>650.46287612901779</c:v>
                </c:pt>
                <c:pt idx="197">
                  <c:v>615.92850169457995</c:v>
                </c:pt>
                <c:pt idx="198">
                  <c:v>583.56656253277379</c:v>
                </c:pt>
                <c:pt idx="199">
                  <c:v>553.22145655295481</c:v>
                </c:pt>
                <c:pt idx="200">
                  <c:v>524.74967225084674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6D-4B2C-BDE7-1760F4715DE2}"/>
            </c:ext>
          </c:extLst>
        </c:ser>
        <c:ser>
          <c:idx val="1"/>
          <c:order val="1"/>
          <c:tx>
            <c:strRef>
              <c:f>'La Libertad'!$J$3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Libertad'!$C$3:$C$204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Libertad'!$J$4:$J$204</c:f>
              <c:numCache>
                <c:formatCode>0</c:formatCode>
                <c:ptCount val="201"/>
                <c:pt idx="1">
                  <c:v>2.9666666666666664E-2</c:v>
                </c:pt>
                <c:pt idx="2">
                  <c:v>3.2593771850309039E-2</c:v>
                </c:pt>
                <c:pt idx="3">
                  <c:v>3.5809683324816398E-2</c:v>
                </c:pt>
                <c:pt idx="4">
                  <c:v>3.9342896331000667E-2</c:v>
                </c:pt>
                <c:pt idx="5">
                  <c:v>4.3224717573362104E-2</c:v>
                </c:pt>
                <c:pt idx="6">
                  <c:v>4.7489542603835082E-2</c:v>
                </c:pt>
                <c:pt idx="7">
                  <c:v>5.2175160571145088E-2</c:v>
                </c:pt>
                <c:pt idx="8">
                  <c:v>5.7323089035244752E-2</c:v>
                </c:pt>
                <c:pt idx="9">
                  <c:v>6.2978941812518202E-2</c:v>
                </c:pt>
                <c:pt idx="10">
                  <c:v>6.919283310990601E-2</c:v>
                </c:pt>
                <c:pt idx="11">
                  <c:v>7.6019821527391188E-2</c:v>
                </c:pt>
                <c:pt idx="12">
                  <c:v>8.3520397861236689E-2</c:v>
                </c:pt>
                <c:pt idx="13">
                  <c:v>9.1761021028094011E-2</c:v>
                </c:pt>
                <c:pt idx="14">
                  <c:v>0.10081470685603236</c:v>
                </c:pt>
                <c:pt idx="15">
                  <c:v>0.11076167495642521</c:v>
                </c:pt>
                <c:pt idx="16">
                  <c:v>0.12169005940460423</c:v>
                </c:pt>
                <c:pt idx="17">
                  <c:v>0.13369668952177705</c:v>
                </c:pt>
                <c:pt idx="18">
                  <c:v>0.14688794767088101</c:v>
                </c:pt>
                <c:pt idx="19">
                  <c:v>0.16138071166027004</c:v>
                </c:pt>
                <c:pt idx="20">
                  <c:v>0.17730339009739909</c:v>
                </c:pt>
                <c:pt idx="21">
                  <c:v>0.19479705985656182</c:v>
                </c:pt>
                <c:pt idx="22">
                  <c:v>0.21401671572747058</c:v>
                </c:pt>
                <c:pt idx="23">
                  <c:v>0.23513264330297295</c:v>
                </c:pt>
                <c:pt idx="24">
                  <c:v>0.25833192725316656</c:v>
                </c:pt>
                <c:pt idx="25">
                  <c:v>0.28382010832915083</c:v>
                </c:pt>
                <c:pt idx="26">
                  <c:v>0.31182300375310507</c:v>
                </c:pt>
                <c:pt idx="27">
                  <c:v>0.34258870709378514</c:v>
                </c:pt>
                <c:pt idx="28">
                  <c:v>0.37638978531048739</c:v>
                </c:pt>
                <c:pt idx="29">
                  <c:v>0.41352569238783143</c:v>
                </c:pt>
                <c:pt idx="30">
                  <c:v>0.45432542089351108</c:v>
                </c:pt>
                <c:pt idx="31">
                  <c:v>0.49915041488803508</c:v>
                </c:pt>
                <c:pt idx="32">
                  <c:v>0.54839776991761291</c:v>
                </c:pt>
                <c:pt idx="33">
                  <c:v>0.60250374834863896</c:v>
                </c:pt>
                <c:pt idx="34">
                  <c:v>0.66194764107651427</c:v>
                </c:pt>
                <c:pt idx="35">
                  <c:v>0.72725600968667481</c:v>
                </c:pt>
                <c:pt idx="36">
                  <c:v>0.79900734648782545</c:v>
                </c:pt>
                <c:pt idx="37">
                  <c:v>0.87783719350505995</c:v>
                </c:pt>
                <c:pt idx="38">
                  <c:v>0.96444376554507605</c:v>
                </c:pt>
                <c:pt idx="39">
                  <c:v>1.0595941268611981</c:v>
                </c:pt>
                <c:pt idx="40">
                  <c:v>1.1641309757897369</c:v>
                </c:pt>
                <c:pt idx="41">
                  <c:v>1.2789800970420835</c:v>
                </c:pt>
                <c:pt idx="42">
                  <c:v>1.4051585471632773</c:v>
                </c:pt>
                <c:pt idx="43">
                  <c:v>1.5437836450560913</c:v>
                </c:pt>
                <c:pt idx="44">
                  <c:v>1.6960828464726834</c:v>
                </c:pt>
                <c:pt idx="45">
                  <c:v>1.8634045890510103</c:v>
                </c:pt>
                <c:pt idx="46">
                  <c:v>2.0472302028829406</c:v>
                </c:pt>
                <c:pt idx="47">
                  <c:v>2.2491869908130924</c:v>
                </c:pt>
                <c:pt idx="48">
                  <c:v>2.4710625927553975</c:v>
                </c:pt>
                <c:pt idx="49">
                  <c:v>2.7148207593578548</c:v>
                </c:pt>
                <c:pt idx="50">
                  <c:v>2.9826186724309172</c:v>
                </c:pt>
                <c:pt idx="51">
                  <c:v>3.2768259627743173</c:v>
                </c:pt>
                <c:pt idx="52">
                  <c:v>3.6000455904908515</c:v>
                </c:pt>
                <c:pt idx="53">
                  <c:v>3.9551367686710757</c:v>
                </c:pt>
                <c:pt idx="54">
                  <c:v>4.3452401285850133</c:v>
                </c:pt>
                <c:pt idx="55">
                  <c:v>4.7738053433486867</c:v>
                </c:pt>
                <c:pt idx="56">
                  <c:v>5.2446214475750548</c:v>
                </c:pt>
                <c:pt idx="57">
                  <c:v>5.7618501129092499</c:v>
                </c:pt>
                <c:pt idx="58">
                  <c:v>6.330062163732463</c:v>
                </c:pt>
                <c:pt idx="59">
                  <c:v>6.9542776438501743</c:v>
                </c:pt>
                <c:pt idx="60">
                  <c:v>7.6400097738173418</c:v>
                </c:pt>
                <c:pt idx="61">
                  <c:v>8.3933131698591499</c:v>
                </c:pt>
                <c:pt idx="62">
                  <c:v>9.2208367292876741</c:v>
                </c:pt>
                <c:pt idx="63">
                  <c:v>10.129881624059832</c:v>
                </c:pt>
                <c:pt idx="64">
                  <c:v>11.12846488383528</c:v>
                </c:pt>
                <c:pt idx="65">
                  <c:v>12.225389092733819</c:v>
                </c:pt>
                <c:pt idx="66">
                  <c:v>13.430318770107577</c:v>
                </c:pt>
                <c:pt idx="67">
                  <c:v>14.753864055163831</c:v>
                </c:pt>
                <c:pt idx="68">
                  <c:v>16.207672368303559</c:v>
                </c:pt>
                <c:pt idx="69">
                  <c:v>17.804528778645953</c:v>
                </c:pt>
                <c:pt idx="70">
                  <c:v>19.558465867409222</c:v>
                </c:pt>
                <c:pt idx="71">
                  <c:v>21.484883940566824</c:v>
                </c:pt>
                <c:pt idx="72">
                  <c:v>23.60068251136628</c:v>
                </c:pt>
                <c:pt idx="73">
                  <c:v>25.924404043648128</c:v>
                </c:pt>
                <c:pt idx="74">
                  <c:v>28.47639102006239</c:v>
                </c:pt>
                <c:pt idx="75">
                  <c:v>31.278957474706566</c:v>
                </c:pt>
                <c:pt idx="76">
                  <c:v>34.35657620664697</c:v>
                </c:pt>
                <c:pt idx="77">
                  <c:v>37.736082968216884</c:v>
                </c:pt>
                <c:pt idx="78">
                  <c:v>41.446898998571136</c:v>
                </c:pt>
                <c:pt idx="79">
                  <c:v>45.521273346982746</c:v>
                </c:pt>
                <c:pt idx="80">
                  <c:v>49.994546499582022</c:v>
                </c:pt>
                <c:pt idx="81">
                  <c:v>54.905436884870042</c:v>
                </c:pt>
                <c:pt idx="82">
                  <c:v>60.296351883899121</c:v>
                </c:pt>
                <c:pt idx="83">
                  <c:v>66.213725006181022</c:v>
                </c:pt>
                <c:pt idx="84">
                  <c:v>72.708380906842876</c:v>
                </c:pt>
                <c:pt idx="85">
                  <c:v>79.835929907808207</c:v>
                </c:pt>
                <c:pt idx="86">
                  <c:v>87.657193637951423</c:v>
                </c:pt>
                <c:pt idx="87">
                  <c:v>96.238663314751676</c:v>
                </c:pt>
                <c:pt idx="88">
                  <c:v>105.65299204154768</c:v>
                </c:pt>
                <c:pt idx="89">
                  <c:v>115.97952227647507</c:v>
                </c:pt>
                <c:pt idx="90">
                  <c:v>127.30484932544445</c:v>
                </c:pt>
                <c:pt idx="91">
                  <c:v>139.72342130312748</c:v>
                </c:pt>
                <c:pt idx="92">
                  <c:v>153.33817547069305</c:v>
                </c:pt>
                <c:pt idx="93">
                  <c:v>168.2612101712507</c:v>
                </c:pt>
                <c:pt idx="94">
                  <c:v>184.61449071400591</c:v>
                </c:pt>
                <c:pt idx="95">
                  <c:v>202.53058647225916</c:v>
                </c:pt>
                <c:pt idx="96">
                  <c:v>222.15343512051604</c:v>
                </c:pt>
                <c:pt idx="97">
                  <c:v>243.63912829971716</c:v>
                </c:pt>
                <c:pt idx="98">
                  <c:v>267.15671102044598</c:v>
                </c:pt>
                <c:pt idx="99">
                  <c:v>292.88898474188767</c:v>
                </c:pt>
                <c:pt idx="100">
                  <c:v>321.03330124673636</c:v>
                </c:pt>
                <c:pt idx="101">
                  <c:v>351.80233111577246</c:v>
                </c:pt>
                <c:pt idx="102">
                  <c:v>385.42478673865594</c:v>
                </c:pt>
                <c:pt idx="103">
                  <c:v>422.14607533294475</c:v>
                </c:pt>
                <c:pt idx="104">
                  <c:v>462.22885234479793</c:v>
                </c:pt>
                <c:pt idx="105">
                  <c:v>505.95343985204153</c:v>
                </c:pt>
                <c:pt idx="106">
                  <c:v>553.61806818793048</c:v>
                </c:pt>
                <c:pt idx="107">
                  <c:v>605.53889199217213</c:v>
                </c:pt>
                <c:pt idx="108">
                  <c:v>662.04972436332935</c:v>
                </c:pt>
                <c:pt idx="109">
                  <c:v>723.50142488667325</c:v>
                </c:pt>
                <c:pt idx="110">
                  <c:v>790.26086927959511</c:v>
                </c:pt>
                <c:pt idx="111">
                  <c:v>862.70942057156014</c:v>
                </c:pt>
                <c:pt idx="112">
                  <c:v>941.24081458090916</c:v>
                </c:pt>
                <c:pt idx="113">
                  <c:v>1026.2583665766631</c:v>
                </c:pt>
                <c:pt idx="114">
                  <c:v>1118.1714021955197</c:v>
                </c:pt>
                <c:pt idx="115">
                  <c:v>1217.390814876886</c:v>
                </c:pt>
                <c:pt idx="116">
                  <c:v>1324.3236554179373</c:v>
                </c:pt>
                <c:pt idx="117">
                  <c:v>1439.3666680397259</c:v>
                </c:pt>
                <c:pt idx="118">
                  <c:v>1562.8987030277335</c:v>
                </c:pt>
                <c:pt idx="119">
                  <c:v>1695.2719600600508</c:v>
                </c:pt>
                <c:pt idx="120">
                  <c:v>1836.8020502092043</c:v>
                </c:pt>
                <c:pt idx="121">
                  <c:v>1987.7569095405261</c:v>
                </c:pt>
                <c:pt idx="122">
                  <c:v>2148.3446540606415</c:v>
                </c:pt>
                <c:pt idx="123">
                  <c:v>2318.7005346572173</c:v>
                </c:pt>
                <c:pt idx="124">
                  <c:v>2498.8732308186964</c:v>
                </c:pt>
                <c:pt idx="125">
                  <c:v>2688.8108112651521</c:v>
                </c:pt>
                <c:pt idx="126">
                  <c:v>2888.3467845390405</c:v>
                </c:pt>
                <c:pt idx="127">
                  <c:v>3097.1867577135404</c:v>
                </c:pt>
                <c:pt idx="128">
                  <c:v>3314.8963094602764</c:v>
                </c:pt>
                <c:pt idx="129">
                  <c:v>3540.8907558799297</c:v>
                </c:pt>
                <c:pt idx="130">
                  <c:v>3774.4275335980678</c:v>
                </c:pt>
                <c:pt idx="131">
                  <c:v>4014.6019340587141</c:v>
                </c:pt>
                <c:pt idx="132">
                  <c:v>4260.3468857623484</c:v>
                </c:pt>
                <c:pt idx="133">
                  <c:v>4510.4373895197341</c:v>
                </c:pt>
                <c:pt idx="134">
                  <c:v>4763.5000613997154</c:v>
                </c:pt>
                <c:pt idx="135">
                  <c:v>5018.0280298655252</c:v>
                </c:pt>
                <c:pt idx="136">
                  <c:v>5272.4011748715211</c:v>
                </c:pt>
                <c:pt idx="137">
                  <c:v>5524.9114015234381</c:v>
                </c:pt>
                <c:pt idx="138">
                  <c:v>5773.7923298246596</c:v>
                </c:pt>
                <c:pt idx="139">
                  <c:v>6017.2524805428757</c:v>
                </c:pt>
                <c:pt idx="140">
                  <c:v>6253.5107732948954</c:v>
                </c:pt>
                <c:pt idx="141">
                  <c:v>6480.8329536685578</c:v>
                </c:pt>
                <c:pt idx="142">
                  <c:v>6697.5674541965554</c:v>
                </c:pt>
                <c:pt idx="143">
                  <c:v>6902.1791840360947</c:v>
                </c:pt>
                <c:pt idx="144">
                  <c:v>7093.2798387609237</c:v>
                </c:pt>
                <c:pt idx="145">
                  <c:v>7269.6535178783924</c:v>
                </c:pt>
                <c:pt idx="146">
                  <c:v>7430.2767159997338</c:v>
                </c:pt>
                <c:pt idx="147">
                  <c:v>7574.33208804275</c:v>
                </c:pt>
                <c:pt idx="148">
                  <c:v>7701.2157485020034</c:v>
                </c:pt>
                <c:pt idx="149">
                  <c:v>7810.5382178610953</c:v>
                </c:pt>
                <c:pt idx="150">
                  <c:v>7902.1194468752046</c:v>
                </c:pt>
                <c:pt idx="151">
                  <c:v>7975.9786091782762</c:v>
                </c:pt>
                <c:pt idx="152">
                  <c:v>8032.3195401243147</c:v>
                </c:pt>
                <c:pt idx="153">
                  <c:v>8071.5128094078</c:v>
                </c:pt>
                <c:pt idx="154">
                  <c:v>8094.0754494030689</c:v>
                </c:pt>
                <c:pt idx="155">
                  <c:v>8100.6493294013653</c:v>
                </c:pt>
                <c:pt idx="156">
                  <c:v>8091.9790814414355</c:v>
                </c:pt>
                <c:pt idx="157">
                  <c:v>8068.8903617424812</c:v>
                </c:pt>
                <c:pt idx="158">
                  <c:v>8032.2690884274152</c:v>
                </c:pt>
                <c:pt idx="159">
                  <c:v>7983.0421453232093</c:v>
                </c:pt>
                <c:pt idx="160">
                  <c:v>7922.1598946698005</c:v>
                </c:pt>
                <c:pt idx="161">
                  <c:v>7850.5807070874998</c:v>
                </c:pt>
                <c:pt idx="162">
                  <c:v>7769.2576006586469</c:v>
                </c:pt>
                <c:pt idx="163">
                  <c:v>7679.1269852756641</c:v>
                </c:pt>
                <c:pt idx="164">
                  <c:v>7581.0994340860007</c:v>
                </c:pt>
                <c:pt idx="165">
                  <c:v>7476.052349871874</c:v>
                </c:pt>
                <c:pt idx="166">
                  <c:v>7364.824358400665</c:v>
                </c:pt>
                <c:pt idx="167">
                  <c:v>7248.2112404301815</c:v>
                </c:pt>
                <c:pt idx="168">
                  <c:v>7126.9632061992224</c:v>
                </c:pt>
                <c:pt idx="169">
                  <c:v>7001.7833179942163</c:v>
                </c:pt>
                <c:pt idx="170">
                  <c:v>6873.3268751281121</c:v>
                </c:pt>
                <c:pt idx="171">
                  <c:v>6742.2015891266965</c:v>
                </c:pt>
                <c:pt idx="172">
                  <c:v>6608.9683932174758</c:v>
                </c:pt>
                <c:pt idx="173">
                  <c:v>6474.1427478791993</c:v>
                </c:pt>
                <c:pt idx="174">
                  <c:v>6338.1963221220876</c:v>
                </c:pt>
                <c:pt idx="175">
                  <c:v>6201.5589475309716</c:v>
                </c:pt>
                <c:pt idx="176">
                  <c:v>6064.6207583803589</c:v>
                </c:pt>
                <c:pt idx="177">
                  <c:v>5927.7344459956239</c:v>
                </c:pt>
                <c:pt idx="178">
                  <c:v>5791.2175688227426</c:v>
                </c:pt>
                <c:pt idx="179">
                  <c:v>5655.3548713333566</c:v>
                </c:pt>
                <c:pt idx="180">
                  <c:v>5520.4005749689659</c:v>
                </c:pt>
                <c:pt idx="181">
                  <c:v>5386.5806129089488</c:v>
                </c:pt>
                <c:pt idx="182">
                  <c:v>5254.0947876565451</c:v>
                </c:pt>
                <c:pt idx="183">
                  <c:v>5123.1188364162017</c:v>
                </c:pt>
                <c:pt idx="184">
                  <c:v>4993.8063941313003</c:v>
                </c:pt>
                <c:pt idx="185">
                  <c:v>4866.2908480067445</c:v>
                </c:pt>
                <c:pt idx="186">
                  <c:v>4740.6870804915516</c:v>
                </c:pt>
                <c:pt idx="187">
                  <c:v>4617.093100166514</c:v>
                </c:pt>
                <c:pt idx="188">
                  <c:v>4495.5915618825593</c:v>
                </c:pt>
                <c:pt idx="189">
                  <c:v>4376.2511789246755</c:v>
                </c:pt>
                <c:pt idx="190">
                  <c:v>4259.1280310194097</c:v>
                </c:pt>
                <c:pt idx="191">
                  <c:v>4144.2667727342059</c:v>
                </c:pt>
                <c:pt idx="192">
                  <c:v>4031.7017472959778</c:v>
                </c:pt>
                <c:pt idx="193">
                  <c:v>3921.4580111367459</c:v>
                </c:pt>
                <c:pt idx="194">
                  <c:v>3813.5522745989269</c:v>
                </c:pt>
                <c:pt idx="195">
                  <c:v>3707.993764237975</c:v>
                </c:pt>
                <c:pt idx="196">
                  <c:v>3604.7850120746834</c:v>
                </c:pt>
                <c:pt idx="197">
                  <c:v>3503.922576997355</c:v>
                </c:pt>
                <c:pt idx="198">
                  <c:v>3405.3977033143824</c:v>
                </c:pt>
                <c:pt idx="199">
                  <c:v>3309.1969212257081</c:v>
                </c:pt>
                <c:pt idx="200">
                  <c:v>3215.3025937292555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6D-4B2C-BDE7-1760F4715DE2}"/>
            </c:ext>
          </c:extLst>
        </c:ser>
        <c:ser>
          <c:idx val="2"/>
          <c:order val="2"/>
          <c:tx>
            <c:strRef>
              <c:f>'La Libertad'!$K$3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Libertad'!$C$3:$C$204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Libertad'!$K$4:$K$204</c:f>
              <c:numCache>
                <c:formatCode>0</c:formatCode>
                <c:ptCount val="201"/>
                <c:pt idx="1">
                  <c:v>3.6666666666666701E-3</c:v>
                </c:pt>
                <c:pt idx="2">
                  <c:v>4.0284437118359526E-3</c:v>
                </c:pt>
                <c:pt idx="3">
                  <c:v>4.4259159165503468E-3</c:v>
                </c:pt>
                <c:pt idx="4">
                  <c:v>4.8626051645057049E-3</c:v>
                </c:pt>
                <c:pt idx="5">
                  <c:v>5.3423808236739735E-3</c:v>
                </c:pt>
                <c:pt idx="6">
                  <c:v>5.869494029687488E-3</c:v>
                </c:pt>
                <c:pt idx="7">
                  <c:v>6.4486153514898481E-3</c:v>
                </c:pt>
                <c:pt idx="8">
                  <c:v>7.0848761728954258E-3</c:v>
                </c:pt>
                <c:pt idx="9">
                  <c:v>7.7839141566033807E-3</c:v>
                </c:pt>
                <c:pt idx="10">
                  <c:v>8.5519231933591771E-3</c:v>
                </c:pt>
                <c:pt idx="11">
                  <c:v>9.3957082786663357E-3</c:v>
                </c:pt>
                <c:pt idx="12">
                  <c:v>1.0322745803074207E-2</c:v>
                </c:pt>
                <c:pt idx="13">
                  <c:v>1.1341249789989159E-2</c:v>
                </c:pt>
                <c:pt idx="14">
                  <c:v>1.2460244667599518E-2</c:v>
                </c:pt>
                <c:pt idx="15">
                  <c:v>1.3689645219333465E-2</c:v>
                </c:pt>
                <c:pt idx="16">
                  <c:v>1.5040344420793796E-2</c:v>
                </c:pt>
                <c:pt idx="17">
                  <c:v>1.6524309940893812E-2</c:v>
                </c:pt>
                <c:pt idx="18">
                  <c:v>1.8154690161569582E-2</c:v>
                </c:pt>
                <c:pt idx="19">
                  <c:v>1.9945930654640134E-2</c:v>
                </c:pt>
                <c:pt idx="20">
                  <c:v>2.1913902146869571E-2</c:v>
                </c:pt>
                <c:pt idx="21">
                  <c:v>2.4076041105867214E-2</c:v>
                </c:pt>
                <c:pt idx="22">
                  <c:v>2.6451504191035716E-2</c:v>
                </c:pt>
                <c:pt idx="23">
                  <c:v>2.9061337936322533E-2</c:v>
                </c:pt>
                <c:pt idx="24">
                  <c:v>3.1928665166121736E-2</c:v>
                </c:pt>
                <c:pt idx="25">
                  <c:v>3.5078889793490595E-2</c:v>
                </c:pt>
                <c:pt idx="26">
                  <c:v>3.853992181218157E-2</c:v>
                </c:pt>
                <c:pt idx="27">
                  <c:v>4.2342424472265626E-2</c:v>
                </c:pt>
                <c:pt idx="28">
                  <c:v>4.6520085824891748E-2</c:v>
                </c:pt>
                <c:pt idx="29">
                  <c:v>5.1109917036698316E-2</c:v>
                </c:pt>
                <c:pt idx="30">
                  <c:v>5.615258011043401E-2</c:v>
                </c:pt>
                <c:pt idx="31">
                  <c:v>6.1692747907510011E-2</c:v>
                </c:pt>
                <c:pt idx="32">
                  <c:v>6.7779499652738745E-2</c:v>
                </c:pt>
                <c:pt idx="33">
                  <c:v>7.4466755413876803E-2</c:v>
                </c:pt>
                <c:pt idx="34">
                  <c:v>8.1813753391479366E-2</c:v>
                </c:pt>
                <c:pt idx="35">
                  <c:v>8.9885574230937432E-2</c:v>
                </c:pt>
                <c:pt idx="36">
                  <c:v>9.8753716981641454E-2</c:v>
                </c:pt>
                <c:pt idx="37">
                  <c:v>0.10849673178152437</c:v>
                </c:pt>
                <c:pt idx="38">
                  <c:v>0.11920091484264998</c:v>
                </c:pt>
                <c:pt idx="39">
                  <c:v>0.13096107185924932</c:v>
                </c:pt>
                <c:pt idx="40">
                  <c:v>0.14388135655828224</c:v>
                </c:pt>
                <c:pt idx="41">
                  <c:v>0.15807619176924645</c:v>
                </c:pt>
                <c:pt idx="42">
                  <c:v>0.17367128111006813</c:v>
                </c:pt>
                <c:pt idx="43">
                  <c:v>0.19080472017547215</c:v>
                </c:pt>
                <c:pt idx="44">
                  <c:v>0.20962821697977005</c:v>
                </c:pt>
                <c:pt idx="45">
                  <c:v>0.23030843235461948</c:v>
                </c:pt>
                <c:pt idx="46">
                  <c:v>0.25302845204171198</c:v>
                </c:pt>
                <c:pt idx="47">
                  <c:v>0.2779894033589218</c:v>
                </c:pt>
                <c:pt idx="48">
                  <c:v>0.30541223056527417</c:v>
                </c:pt>
                <c:pt idx="49">
                  <c:v>0.3355396444150161</c:v>
                </c:pt>
                <c:pt idx="50">
                  <c:v>0.3686382628847204</c:v>
                </c:pt>
                <c:pt idx="51">
                  <c:v>0.40500096169120814</c:v>
                </c:pt>
                <c:pt idx="52">
                  <c:v>0.44494945500448774</c:v>
                </c:pt>
                <c:pt idx="53">
                  <c:v>0.4888371287121559</c:v>
                </c:pt>
                <c:pt idx="54">
                  <c:v>0.53705215072399093</c:v>
                </c:pt>
                <c:pt idx="55">
                  <c:v>0.59002088513298445</c:v>
                </c:pt>
                <c:pt idx="56">
                  <c:v>0.64821163958792871</c:v>
                </c:pt>
                <c:pt idx="57">
                  <c:v>0.71213877800002046</c:v>
                </c:pt>
                <c:pt idx="58">
                  <c:v>0.78236723371974337</c:v>
                </c:pt>
                <c:pt idx="59">
                  <c:v>0.85951746159946063</c:v>
                </c:pt>
                <c:pt idx="60">
                  <c:v>0.94427087092124551</c:v>
                </c:pt>
                <c:pt idx="61">
                  <c:v>1.0373757850387724</c:v>
                </c:pt>
                <c:pt idx="62">
                  <c:v>1.1396539777771295</c:v>
                </c:pt>
                <c:pt idx="63">
                  <c:v>1.2520078411759354</c:v>
                </c:pt>
                <c:pt idx="64">
                  <c:v>1.3754282440695305</c:v>
                </c:pt>
                <c:pt idx="65">
                  <c:v>1.5110031462929454</c:v>
                </c:pt>
                <c:pt idx="66">
                  <c:v>1.6599270390020615</c:v>
                </c:pt>
                <c:pt idx="67">
                  <c:v>1.8235112877168798</c:v>
                </c:pt>
                <c:pt idx="68">
                  <c:v>2.0031954612510039</c:v>
                </c:pt>
                <c:pt idx="69">
                  <c:v>2.2005597366865803</c:v>
                </c:pt>
                <c:pt idx="70">
                  <c:v>2.4173384779944005</c:v>
                </c:pt>
                <c:pt idx="71">
                  <c:v>2.6554350937779247</c:v>
                </c:pt>
                <c:pt idx="72">
                  <c:v>2.9169382879216781</c:v>
                </c:pt>
                <c:pt idx="73">
                  <c:v>3.2041398256194347</c:v>
                </c:pt>
                <c:pt idx="74">
                  <c:v>3.5195539462998493</c:v>
                </c:pt>
                <c:pt idx="75">
                  <c:v>3.8659385642895798</c:v>
                </c:pt>
                <c:pt idx="76">
                  <c:v>4.2463184075631126</c:v>
                </c:pt>
                <c:pt idx="77">
                  <c:v>4.6640102544987201</c:v>
                </c:pt>
                <c:pt idx="78">
                  <c:v>5.1226504380256523</c:v>
                </c:pt>
                <c:pt idx="79">
                  <c:v>5.626224795694502</c:v>
                </c:pt>
                <c:pt idx="80">
                  <c:v>6.1791012527573352</c:v>
                </c:pt>
                <c:pt idx="81">
                  <c:v>6.786065232961473</c:v>
                </c:pt>
                <c:pt idx="82">
                  <c:v>7.452358098010011</c:v>
                </c:pt>
                <c:pt idx="83">
                  <c:v>8.1837188209886733</c:v>
                </c:pt>
                <c:pt idx="84">
                  <c:v>8.9864291008457577</c:v>
                </c:pt>
                <c:pt idx="85">
                  <c:v>9.8673621234369797</c:v>
                </c:pt>
                <c:pt idx="86">
                  <c:v>10.834035168735578</c:v>
                </c:pt>
                <c:pt idx="87">
                  <c:v>11.894666252385052</c:v>
                </c:pt>
                <c:pt idx="88">
                  <c:v>13.058234971427254</c:v>
                </c:pt>
                <c:pt idx="89">
                  <c:v>14.334547697092438</c:v>
                </c:pt>
                <c:pt idx="90">
                  <c:v>15.734307219998771</c:v>
                </c:pt>
                <c:pt idx="91">
                  <c:v>17.269186902633749</c:v>
                </c:pt>
                <c:pt idx="92">
                  <c:v>18.951909327838486</c:v>
                </c:pt>
                <c:pt idx="93">
                  <c:v>20.796329347008534</c:v>
                </c:pt>
                <c:pt idx="94">
                  <c:v>22.817521324203003</c:v>
                </c:pt>
                <c:pt idx="95">
                  <c:v>25.031870238144414</c:v>
                </c:pt>
                <c:pt idx="96">
                  <c:v>27.457166138490773</c:v>
                </c:pt>
                <c:pt idx="97">
                  <c:v>30.112701250526872</c:v>
                </c:pt>
                <c:pt idx="98">
                  <c:v>33.019368777807962</c:v>
                </c:pt>
                <c:pt idx="99">
                  <c:v>36.199762159109746</c:v>
                </c:pt>
                <c:pt idx="100">
                  <c:v>39.678273187798915</c:v>
                </c:pt>
                <c:pt idx="101">
                  <c:v>43.481186991837099</c:v>
                </c:pt>
                <c:pt idx="102">
                  <c:v>47.636771394665388</c:v>
                </c:pt>
                <c:pt idx="103">
                  <c:v>52.175357625420183</c:v>
                </c:pt>
                <c:pt idx="104">
                  <c:v>57.129408716772836</c:v>
                </c:pt>
                <c:pt idx="105">
                  <c:v>62.533571217668118</c:v>
                </c:pt>
                <c:pt idx="106">
                  <c:v>68.424705056935281</c:v>
                </c:pt>
                <c:pt idx="107">
                  <c:v>74.841885527122471</c:v>
                </c:pt>
                <c:pt idx="108">
                  <c:v>81.82637042692842</c:v>
                </c:pt>
                <c:pt idx="109">
                  <c:v>89.421524424195653</c:v>
                </c:pt>
                <c:pt idx="110">
                  <c:v>97.672691708714098</c:v>
                </c:pt>
                <c:pt idx="111">
                  <c:v>106.62700703693449</c:v>
                </c:pt>
                <c:pt idx="112">
                  <c:v>116.33313438640462</c:v>
                </c:pt>
                <c:pt idx="113">
                  <c:v>126.84092171172254</c:v>
                </c:pt>
                <c:pt idx="114">
                  <c:v>138.2009598219183</c:v>
                </c:pt>
                <c:pt idx="115">
                  <c:v>150.46403329939054</c:v>
                </c:pt>
                <c:pt idx="116">
                  <c:v>163.68045179322834</c:v>
                </c:pt>
                <c:pt idx="117">
                  <c:v>177.89925110603372</c:v>
                </c:pt>
                <c:pt idx="118">
                  <c:v>193.16725543039422</c:v>
                </c:pt>
                <c:pt idx="119">
                  <c:v>209.52799506360196</c:v>
                </c:pt>
                <c:pt idx="120">
                  <c:v>227.02047811574457</c:v>
                </c:pt>
                <c:pt idx="121">
                  <c:v>245.67782028028995</c:v>
                </c:pt>
                <c:pt idx="122">
                  <c:v>265.52574376030429</c:v>
                </c:pt>
                <c:pt idx="123">
                  <c:v>286.58096495763391</c:v>
                </c:pt>
                <c:pt idx="124">
                  <c:v>308.84950043826615</c:v>
                </c:pt>
                <c:pt idx="125">
                  <c:v>332.32493172940116</c:v>
                </c:pt>
                <c:pt idx="126">
                  <c:v>356.98668123516268</c:v>
                </c:pt>
                <c:pt idx="127">
                  <c:v>382.79836331290983</c:v>
                </c:pt>
                <c:pt idx="128">
                  <c:v>409.70628543891104</c:v>
                </c:pt>
                <c:pt idx="129">
                  <c:v>437.63818331100293</c:v>
                </c:pt>
                <c:pt idx="130">
                  <c:v>466.50227943346948</c:v>
                </c:pt>
                <c:pt idx="131">
                  <c:v>496.18675589489771</c:v>
                </c:pt>
                <c:pt idx="132">
                  <c:v>526.55972745377392</c:v>
                </c:pt>
                <c:pt idx="133">
                  <c:v>557.46978971592262</c:v>
                </c:pt>
                <c:pt idx="134">
                  <c:v>588.74719859996537</c:v>
                </c:pt>
                <c:pt idx="135">
                  <c:v>620.2057115564138</c:v>
                </c:pt>
                <c:pt idx="136">
                  <c:v>651.64508902906505</c:v>
                </c:pt>
                <c:pt idx="137">
                  <c:v>682.85421816581891</c:v>
                </c:pt>
                <c:pt idx="138">
                  <c:v>713.61478233788</c:v>
                </c:pt>
                <c:pt idx="139">
                  <c:v>743.70536276372707</c:v>
                </c:pt>
                <c:pt idx="140">
                  <c:v>772.90582591285306</c:v>
                </c:pt>
                <c:pt idx="141">
                  <c:v>801.00182573431687</c:v>
                </c:pt>
                <c:pt idx="142">
                  <c:v>827.78923591193461</c:v>
                </c:pt>
                <c:pt idx="143">
                  <c:v>853.07832611682159</c:v>
                </c:pt>
                <c:pt idx="144">
                  <c:v>876.69750816146336</c:v>
                </c:pt>
                <c:pt idx="145">
                  <c:v>898.49650220968977</c:v>
                </c:pt>
                <c:pt idx="146">
                  <c:v>918.34880759547366</c:v>
                </c:pt>
                <c:pt idx="147">
                  <c:v>936.15340414011609</c:v>
                </c:pt>
                <c:pt idx="148">
                  <c:v>951.83565430923738</c:v>
                </c:pt>
                <c:pt idx="149">
                  <c:v>965.34742018508018</c:v>
                </c:pt>
                <c:pt idx="150">
                  <c:v>976.66644849019474</c:v>
                </c:pt>
                <c:pt idx="151">
                  <c:v>985.79510899956324</c:v>
                </c:pt>
                <c:pt idx="152">
                  <c:v>992.75859484682633</c:v>
                </c:pt>
                <c:pt idx="153">
                  <c:v>997.60270678074039</c:v>
                </c:pt>
                <c:pt idx="154">
                  <c:v>1000.3913476790319</c:v>
                </c:pt>
                <c:pt idx="155">
                  <c:v>1001.2038497012933</c:v>
                </c:pt>
                <c:pt idx="156">
                  <c:v>1000.1322460208526</c:v>
                </c:pt>
                <c:pt idx="157">
                  <c:v>997.27858403558855</c:v>
                </c:pt>
                <c:pt idx="158">
                  <c:v>992.75235924383878</c:v>
                </c:pt>
                <c:pt idx="159">
                  <c:v>986.66813032084713</c:v>
                </c:pt>
                <c:pt idx="160">
                  <c:v>979.14335776817848</c:v>
                </c:pt>
                <c:pt idx="161">
                  <c:v>970.2964918872201</c:v>
                </c:pt>
                <c:pt idx="162">
                  <c:v>960.24532142972146</c:v>
                </c:pt>
                <c:pt idx="163">
                  <c:v>949.10558244980211</c:v>
                </c:pt>
                <c:pt idx="164">
                  <c:v>936.98981769602347</c:v>
                </c:pt>
                <c:pt idx="165">
                  <c:v>924.00647020888414</c:v>
                </c:pt>
                <c:pt idx="166">
                  <c:v>910.2591903641279</c:v>
                </c:pt>
                <c:pt idx="167">
                  <c:v>895.84633308687705</c:v>
                </c:pt>
                <c:pt idx="168">
                  <c:v>880.860620990916</c:v>
                </c:pt>
                <c:pt idx="169">
                  <c:v>865.38894941501655</c:v>
                </c:pt>
                <c:pt idx="170">
                  <c:v>849.51231040909329</c:v>
                </c:pt>
                <c:pt idx="171">
                  <c:v>833.30581438644651</c:v>
                </c:pt>
                <c:pt idx="172">
                  <c:v>816.83879017294726</c:v>
                </c:pt>
                <c:pt idx="173">
                  <c:v>800.17494636709284</c:v>
                </c:pt>
                <c:pt idx="174">
                  <c:v>783.37257913868575</c:v>
                </c:pt>
                <c:pt idx="175">
                  <c:v>766.48481373978382</c:v>
                </c:pt>
                <c:pt idx="176">
                  <c:v>749.55986901330346</c:v>
                </c:pt>
                <c:pt idx="177">
                  <c:v>732.64133602193181</c:v>
                </c:pt>
                <c:pt idx="178">
                  <c:v>715.76846356236217</c:v>
                </c:pt>
                <c:pt idx="179">
                  <c:v>698.97644477153915</c:v>
                </c:pt>
                <c:pt idx="180">
                  <c:v>682.29670027706391</c:v>
                </c:pt>
                <c:pt idx="181">
                  <c:v>665.75715440447743</c:v>
                </c:pt>
                <c:pt idx="182">
                  <c:v>649.38250184519165</c:v>
                </c:pt>
                <c:pt idx="183">
                  <c:v>633.19446292784573</c:v>
                </c:pt>
                <c:pt idx="184">
                  <c:v>617.21202624094781</c:v>
                </c:pt>
                <c:pt idx="185">
                  <c:v>601.45167784353077</c:v>
                </c:pt>
                <c:pt idx="186">
                  <c:v>585.92761668996752</c:v>
                </c:pt>
                <c:pt idx="187">
                  <c:v>570.65195620035615</c:v>
                </c:pt>
                <c:pt idx="188">
                  <c:v>555.63491214278883</c:v>
                </c:pt>
                <c:pt idx="189">
                  <c:v>540.88497717046607</c:v>
                </c:pt>
                <c:pt idx="190">
                  <c:v>526.40908248554558</c:v>
                </c:pt>
                <c:pt idx="191">
                  <c:v>512.21274719186863</c:v>
                </c:pt>
                <c:pt idx="192">
                  <c:v>498.30021595793033</c:v>
                </c:pt>
                <c:pt idx="193">
                  <c:v>484.67458564611508</c:v>
                </c:pt>
                <c:pt idx="194">
                  <c:v>471.33792157964308</c:v>
                </c:pt>
                <c:pt idx="195">
                  <c:v>458.29136411930079</c:v>
                </c:pt>
                <c:pt idx="196">
                  <c:v>445.53522621147818</c:v>
                </c:pt>
                <c:pt idx="197">
                  <c:v>433.06908255023529</c:v>
                </c:pt>
                <c:pt idx="198">
                  <c:v>420.89185097144093</c:v>
                </c:pt>
                <c:pt idx="199">
                  <c:v>409.00186666834634</c:v>
                </c:pt>
                <c:pt idx="200">
                  <c:v>397.39694978676226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6D-4B2C-BDE7-1760F4715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Chalatenango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Chalatenango!$I$3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Chalatenango!$C$3:$C$204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Chalatenango!$I$4:$I$204</c:f>
              <c:numCache>
                <c:formatCode>0</c:formatCode>
                <c:ptCount val="201"/>
                <c:pt idx="1">
                  <c:v>0.13199931531363304</c:v>
                </c:pt>
                <c:pt idx="2">
                  <c:v>0.14502306084260422</c:v>
                </c:pt>
                <c:pt idx="3">
                  <c:v>0.15933177428084716</c:v>
                </c:pt>
                <c:pt idx="4">
                  <c:v>0.175052230213944</c:v>
                </c:pt>
                <c:pt idx="5">
                  <c:v>0.19232370977866034</c:v>
                </c:pt>
                <c:pt idx="6">
                  <c:v>0.21129923425168284</c:v>
                </c:pt>
                <c:pt idx="7">
                  <c:v>0.2321469202712125</c:v>
                </c:pt>
                <c:pt idx="8">
                  <c:v>0.25505146867567774</c:v>
                </c:pt>
                <c:pt idx="9">
                  <c:v>0.28021580012278491</c:v>
                </c:pt>
                <c:pt idx="10">
                  <c:v>0.30786285194668467</c:v>
                </c:pt>
                <c:pt idx="11">
                  <c:v>0.33823755213244561</c:v>
                </c:pt>
                <c:pt idx="12">
                  <c:v>0.37160898784763785</c:v>
                </c:pt>
                <c:pt idx="13">
                  <c:v>0.40827278768414199</c:v>
                </c:pt>
                <c:pt idx="14">
                  <c:v>0.448553738644137</c:v>
                </c:pt>
                <c:pt idx="15">
                  <c:v>0.4928086609687688</c:v>
                </c:pt>
                <c:pt idx="16">
                  <c:v>0.54142956617402815</c:v>
                </c:pt>
                <c:pt idx="17">
                  <c:v>0.59484712614527557</c:v>
                </c:pt>
                <c:pt idx="18">
                  <c:v>0.65353448387087176</c:v>
                </c:pt>
                <c:pt idx="19">
                  <c:v>0.7180114393897461</c:v>
                </c:pt>
                <c:pt idx="20">
                  <c:v>0.7888490478127923</c:v>
                </c:pt>
                <c:pt idx="21">
                  <c:v>0.8666746698814598</c:v>
                </c:pt>
                <c:pt idx="22">
                  <c:v>0.95217751947901774</c:v>
                </c:pt>
                <c:pt idx="23">
                  <c:v>1.0461147568436915</c:v>
                </c:pt>
                <c:pt idx="24">
                  <c:v>1.1493181809841322</c:v>
                </c:pt>
                <c:pt idx="25">
                  <c:v>1.2627015800055963</c:v>
                </c:pt>
                <c:pt idx="26">
                  <c:v>1.3872688037623537</c:v>
                </c:pt>
                <c:pt idx="27">
                  <c:v>1.5241226295043964</c:v>
                </c:pt>
                <c:pt idx="28">
                  <c:v>1.6744744980347066</c:v>
                </c:pt>
                <c:pt idx="29">
                  <c:v>1.8396552053914981</c:v>
                </c:pt>
                <c:pt idx="30">
                  <c:v>2.0211266432767707</c:v>
                </c:pt>
                <c:pt idx="31">
                  <c:v>2.2204946904318161</c:v>
                </c:pt>
                <c:pt idx="32">
                  <c:v>2.4395233669803638</c:v>
                </c:pt>
                <c:pt idx="33">
                  <c:v>2.680150374494616</c:v>
                </c:pt>
                <c:pt idx="34">
                  <c:v>2.9445041562673895</c:v>
                </c:pt>
                <c:pt idx="35">
                  <c:v>3.2349226250795038</c:v>
                </c:pt>
                <c:pt idx="36">
                  <c:v>3.5539737197254775</c:v>
                </c:pt>
                <c:pt idx="37">
                  <c:v>3.9044779667980056</c:v>
                </c:pt>
                <c:pt idx="38">
                  <c:v>4.2895332408336495</c:v>
                </c:pt>
                <c:pt idx="39">
                  <c:v>4.7125419339946966</c:v>
                </c:pt>
                <c:pt idx="40">
                  <c:v>5.1772407661159168</c:v>
                </c:pt>
                <c:pt idx="41">
                  <c:v>5.6877334872945191</c:v>
                </c:pt>
                <c:pt idx="42">
                  <c:v>6.24852674836439</c:v>
                </c:pt>
                <c:pt idx="43">
                  <c:v>6.8645694396905226</c:v>
                </c:pt>
                <c:pt idx="44">
                  <c:v>7.5412958258645517</c:v>
                </c:pt>
                <c:pt idx="45">
                  <c:v>8.2846728331928414</c:v>
                </c:pt>
                <c:pt idx="46">
                  <c:v>9.1012518784534713</c:v>
                </c:pt>
                <c:pt idx="47">
                  <c:v>9.9982256613561855</c:v>
                </c:pt>
                <c:pt idx="48">
                  <c:v>10.983490379552522</c:v>
                </c:pt>
                <c:pt idx="49">
                  <c:v>12.065713863972229</c:v>
                </c:pt>
                <c:pt idx="50">
                  <c:v>13.254410173736428</c:v>
                </c:pt>
                <c:pt idx="51">
                  <c:v>14.560021233906209</c:v>
                </c:pt>
                <c:pt idx="52">
                  <c:v>15.994006145803105</c:v>
                </c:pt>
                <c:pt idx="53">
                  <c:v>17.568938848450482</c:v>
                </c:pt>
                <c:pt idx="54">
                  <c:v>19.298614860611174</c:v>
                </c:pt>
                <c:pt idx="55">
                  <c:v>21.198167885602508</c:v>
                </c:pt>
                <c:pt idx="56">
                  <c:v>23.284197115083348</c:v>
                </c:pt>
                <c:pt idx="57">
                  <c:v>25.574906122682751</c:v>
                </c:pt>
                <c:pt idx="58">
                  <c:v>28.090254292816663</c:v>
                </c:pt>
                <c:pt idx="59">
                  <c:v>30.852121783194463</c:v>
                </c:pt>
                <c:pt idx="60">
                  <c:v>33.884489069907325</c:v>
                </c:pt>
                <c:pt idx="61">
                  <c:v>37.213632169777718</c:v>
                </c:pt>
                <c:pt idx="62">
                  <c:v>40.868334673524288</c:v>
                </c:pt>
                <c:pt idx="63">
                  <c:v>44.880117752375888</c:v>
                </c:pt>
                <c:pt idx="64">
                  <c:v>49.283489316481457</c:v>
                </c:pt>
                <c:pt idx="65">
                  <c:v>54.116213501416404</c:v>
                </c:pt>
                <c:pt idx="66">
                  <c:v>59.419601633911796</c:v>
                </c:pt>
                <c:pt idx="67">
                  <c:v>65.238825773095456</c:v>
                </c:pt>
                <c:pt idx="68">
                  <c:v>71.623255831139389</c:v>
                </c:pt>
                <c:pt idx="69">
                  <c:v>78.626821137750511</c:v>
                </c:pt>
                <c:pt idx="70">
                  <c:v>86.308397115052671</c:v>
                </c:pt>
                <c:pt idx="71">
                  <c:v>94.732217459547527</c:v>
                </c:pt>
                <c:pt idx="72">
                  <c:v>103.96831186998882</c:v>
                </c:pt>
                <c:pt idx="73">
                  <c:v>114.09296889529323</c:v>
                </c:pt>
                <c:pt idx="74">
                  <c:v>125.18922288299022</c:v>
                </c:pt>
                <c:pt idx="75">
                  <c:v>137.3473632605527</c:v>
                </c:pt>
                <c:pt idx="76">
                  <c:v>150.66546344973025</c:v>
                </c:pt>
                <c:pt idx="77">
                  <c:v>165.24992556397609</c:v>
                </c:pt>
                <c:pt idx="78">
                  <c:v>181.21603563306485</c:v>
                </c:pt>
                <c:pt idx="79">
                  <c:v>198.68852239438556</c:v>
                </c:pt>
                <c:pt idx="80">
                  <c:v>217.80211064018803</c:v>
                </c:pt>
                <c:pt idx="81">
                  <c:v>238.70205766342593</c:v>
                </c:pt>
                <c:pt idx="82">
                  <c:v>261.54465844804315</c:v>
                </c:pt>
                <c:pt idx="83">
                  <c:v>286.49770184749536</c:v>
                </c:pt>
                <c:pt idx="84">
                  <c:v>313.74085603395764</c:v>
                </c:pt>
                <c:pt idx="85">
                  <c:v>343.46595693054672</c:v>
                </c:pt>
                <c:pt idx="86">
                  <c:v>375.87716811995034</c:v>
                </c:pt>
                <c:pt idx="87">
                  <c:v>411.19097483117554</c:v>
                </c:pt>
                <c:pt idx="88">
                  <c:v>449.63596804271248</c:v>
                </c:pt>
                <c:pt idx="89">
                  <c:v>491.45236754264846</c:v>
                </c:pt>
                <c:pt idx="90">
                  <c:v>536.89122504233717</c:v>
                </c:pt>
                <c:pt idx="91">
                  <c:v>586.21324030696076</c:v>
                </c:pt>
                <c:pt idx="92">
                  <c:v>639.68711499060726</c:v>
                </c:pt>
                <c:pt idx="93">
                  <c:v>697.58736080730444</c:v>
                </c:pt>
                <c:pt idx="94">
                  <c:v>760.19147133798788</c:v>
                </c:pt>
                <c:pt idx="95">
                  <c:v>827.77636084522226</c:v>
                </c:pt>
                <c:pt idx="96">
                  <c:v>900.61396982473013</c:v>
                </c:pt>
                <c:pt idx="97">
                  <c:v>978.96593677801241</c:v>
                </c:pt>
                <c:pt idx="98">
                  <c:v>1063.0772402054083</c:v>
                </c:pt>
                <c:pt idx="99">
                  <c:v>1153.1687257087917</c:v>
                </c:pt>
                <c:pt idx="100">
                  <c:v>1249.4284522056705</c:v>
                </c:pt>
                <c:pt idx="101">
                  <c:v>1352.0018206170207</c:v>
                </c:pt>
                <c:pt idx="102">
                  <c:v>1460.9804900979843</c:v>
                </c:pt>
                <c:pt idx="103">
                  <c:v>1576.3901429371529</c:v>
                </c:pt>
                <c:pt idx="104">
                  <c:v>1698.1772313202005</c:v>
                </c:pt>
                <c:pt idx="105">
                  <c:v>1826.1949282284552</c:v>
                </c:pt>
                <c:pt idx="106">
                  <c:v>1960.1886107181745</c:v>
                </c:pt>
                <c:pt idx="107">
                  <c:v>2099.7813249991268</c:v>
                </c:pt>
                <c:pt idx="108">
                  <c:v>2244.4598152486637</c:v>
                </c:pt>
                <c:pt idx="109">
                  <c:v>2393.5618354140306</c:v>
                </c:pt>
                <c:pt idx="110">
                  <c:v>2546.2655956892277</c:v>
                </c:pt>
                <c:pt idx="111">
                  <c:v>2701.5823098665201</c:v>
                </c:pt>
                <c:pt idx="112">
                  <c:v>2858.3528901252266</c:v>
                </c:pt>
                <c:pt idx="113">
                  <c:v>3015.2498633116707</c:v>
                </c:pt>
                <c:pt idx="114">
                  <c:v>3170.7855375791733</c:v>
                </c:pt>
                <c:pt idx="115">
                  <c:v>3323.3273116956589</c:v>
                </c:pt>
                <c:pt idx="116">
                  <c:v>3471.1207767441206</c:v>
                </c:pt>
                <c:pt idx="117">
                  <c:v>3612.3209042595099</c:v>
                </c:pt>
                <c:pt idx="118">
                  <c:v>3745.031150205647</c:v>
                </c:pt>
                <c:pt idx="119">
                  <c:v>3867.3497491157432</c:v>
                </c:pt>
                <c:pt idx="120">
                  <c:v>3977.4218619457779</c:v>
                </c:pt>
                <c:pt idx="121">
                  <c:v>4073.4956253893433</c:v>
                </c:pt>
                <c:pt idx="122">
                  <c:v>4153.979593012391</c:v>
                </c:pt>
                <c:pt idx="123">
                  <c:v>4217.4986295075914</c:v>
                </c:pt>
                <c:pt idx="124">
                  <c:v>4262.9450859715307</c:v>
                </c:pt>
                <c:pt idx="125">
                  <c:v>4289.5221003545512</c:v>
                </c:pt>
                <c:pt idx="126">
                  <c:v>4296.7761631053118</c:v>
                </c:pt>
                <c:pt idx="127">
                  <c:v>4284.6166611934632</c:v>
                </c:pt>
                <c:pt idx="128">
                  <c:v>4253.3209256392256</c:v>
                </c:pt>
                <c:pt idx="129">
                  <c:v>4203.5242858378369</c:v>
                </c:pt>
                <c:pt idx="130">
                  <c:v>4136.1956800769685</c:v>
                </c:pt>
                <c:pt idx="131">
                  <c:v>4052.6003752796464</c:v>
                </c:pt>
                <c:pt idx="132">
                  <c:v>3954.2522038572142</c:v>
                </c:pt>
                <c:pt idx="133">
                  <c:v>3842.8583453072374</c:v>
                </c:pt>
                <c:pt idx="134">
                  <c:v>3720.2600108014481</c:v>
                </c:pt>
                <c:pt idx="135">
                  <c:v>3588.3724151019901</c:v>
                </c:pt>
                <c:pt idx="136">
                  <c:v>3449.1271645178736</c:v>
                </c:pt>
                <c:pt idx="137">
                  <c:v>3304.4197064955156</c:v>
                </c:pt>
                <c:pt idx="138">
                  <c:v>3156.0638503675218</c:v>
                </c:pt>
                <c:pt idx="139">
                  <c:v>3005.7546617189896</c:v>
                </c:pt>
                <c:pt idx="140">
                  <c:v>2855.0403320509267</c:v>
                </c:pt>
                <c:pt idx="141">
                  <c:v>2705.3029942399844</c:v>
                </c:pt>
                <c:pt idx="142">
                  <c:v>2557.7479366355233</c:v>
                </c:pt>
                <c:pt idx="143">
                  <c:v>2413.4002875689621</c:v>
                </c:pt>
                <c:pt idx="144">
                  <c:v>2273.1080016261326</c:v>
                </c:pt>
                <c:pt idx="145">
                  <c:v>2137.5498683003034</c:v>
                </c:pt>
                <c:pt idx="146">
                  <c:v>2007.2472616598166</c:v>
                </c:pt>
                <c:pt idx="147">
                  <c:v>1882.5784304608671</c:v>
                </c:pt>
                <c:pt idx="148">
                  <c:v>1763.7942649185591</c:v>
                </c:pt>
                <c:pt idx="149">
                  <c:v>1651.034644568781</c:v>
                </c:pt>
                <c:pt idx="150">
                  <c:v>1544.344650873046</c:v>
                </c:pt>
                <c:pt idx="151">
                  <c:v>1443.6901029179849</c:v>
                </c:pt>
                <c:pt idx="152">
                  <c:v>1348.9720341268999</c:v>
                </c:pt>
                <c:pt idx="153">
                  <c:v>1260.0398660804597</c:v>
                </c:pt>
                <c:pt idx="154">
                  <c:v>1176.7031496212383</c:v>
                </c:pt>
                <c:pt idx="155">
                  <c:v>1098.7418333038668</c:v>
                </c:pt>
                <c:pt idx="156">
                  <c:v>1025.9150866314872</c:v>
                </c:pt>
                <c:pt idx="157">
                  <c:v>957.96875311523297</c:v>
                </c:pt>
                <c:pt idx="158">
                  <c:v>894.64153920618958</c:v>
                </c:pt>
                <c:pt idx="159">
                  <c:v>835.6700628441032</c:v>
                </c:pt>
                <c:pt idx="160">
                  <c:v>780.79289280717694</c:v>
                </c:pt>
                <c:pt idx="161">
                  <c:v>729.75370993996376</c:v>
                </c:pt>
                <c:pt idx="162">
                  <c:v>682.30371596410293</c:v>
                </c:pt>
                <c:pt idx="163">
                  <c:v>638.20340678749869</c:v>
                </c:pt>
                <c:pt idx="164">
                  <c:v>597.22381646224278</c:v>
                </c:pt>
                <c:pt idx="165">
                  <c:v>559.14732628167815</c:v>
                </c:pt>
                <c:pt idx="166">
                  <c:v>523.76812173122983</c:v>
                </c:pt>
                <c:pt idx="167">
                  <c:v>490.89236864924959</c:v>
                </c:pt>
                <c:pt idx="168">
                  <c:v>460.33816935405684</c:v>
                </c:pt>
                <c:pt idx="169">
                  <c:v>431.93534984674227</c:v>
                </c:pt>
                <c:pt idx="170">
                  <c:v>405.52512059459195</c:v>
                </c:pt>
                <c:pt idx="171">
                  <c:v>380.95964585051485</c:v>
                </c:pt>
                <c:pt idx="172">
                  <c:v>358.1015499326229</c:v>
                </c:pt>
                <c:pt idx="173">
                  <c:v>336.82338330660434</c:v>
                </c:pt>
                <c:pt idx="174">
                  <c:v>317.00706659565992</c:v>
                </c:pt>
                <c:pt idx="175">
                  <c:v>298.54332669481431</c:v>
                </c:pt>
                <c:pt idx="176">
                  <c:v>281.33113589384016</c:v>
                </c:pt>
                <c:pt idx="177">
                  <c:v>265.27716222501203</c:v>
                </c:pt>
                <c:pt idx="178">
                  <c:v>250.29523706402446</c:v>
                </c:pt>
                <c:pt idx="179">
                  <c:v>236.30584424814271</c:v>
                </c:pt>
                <c:pt idx="180">
                  <c:v>223.23563356695064</c:v>
                </c:pt>
                <c:pt idx="181">
                  <c:v>211.0169603683224</c:v>
                </c:pt>
                <c:pt idx="182">
                  <c:v>199.58745215395763</c:v>
                </c:pt>
                <c:pt idx="183">
                  <c:v>188.88960237090984</c:v>
                </c:pt>
                <c:pt idx="184">
                  <c:v>178.87039110067471</c:v>
                </c:pt>
                <c:pt idx="185">
                  <c:v>169.4809319741978</c:v>
                </c:pt>
                <c:pt idx="186">
                  <c:v>160.67614437345293</c:v>
                </c:pt>
                <c:pt idx="187">
                  <c:v>152.41444979633368</c:v>
                </c:pt>
                <c:pt idx="188">
                  <c:v>144.65749114365846</c:v>
                </c:pt>
                <c:pt idx="189">
                  <c:v>137.36987362050405</c:v>
                </c:pt>
                <c:pt idx="190">
                  <c:v>130.51892591699399</c:v>
                </c:pt>
                <c:pt idx="191">
                  <c:v>124.07448033648033</c:v>
                </c:pt>
                <c:pt idx="192">
                  <c:v>118.00867056407397</c:v>
                </c:pt>
                <c:pt idx="193">
                  <c:v>112.29574580956158</c:v>
                </c:pt>
                <c:pt idx="194">
                  <c:v>106.9119001110341</c:v>
                </c:pt>
                <c:pt idx="195">
                  <c:v>101.83511564523427</c:v>
                </c:pt>
                <c:pt idx="196">
                  <c:v>97.045018954738012</c:v>
                </c:pt>
                <c:pt idx="197">
                  <c:v>92.522749068343629</c:v>
                </c:pt>
                <c:pt idx="198">
                  <c:v>88.25083655772211</c:v>
                </c:pt>
                <c:pt idx="199">
                  <c:v>84.213092639199118</c:v>
                </c:pt>
                <c:pt idx="200">
                  <c:v>80.394507493553974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C1-4B2D-AF6A-FBCD6CD98966}"/>
            </c:ext>
          </c:extLst>
        </c:ser>
        <c:ser>
          <c:idx val="1"/>
          <c:order val="1"/>
          <c:tx>
            <c:strRef>
              <c:f>Chalatenango!$J$3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Chalatenango!$C$3:$C$204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Chalatenango!$J$4:$J$204</c:f>
              <c:numCache>
                <c:formatCode>0</c:formatCode>
                <c:ptCount val="201"/>
                <c:pt idx="1">
                  <c:v>2.9666666666666664E-2</c:v>
                </c:pt>
                <c:pt idx="2">
                  <c:v>3.2593757465415547E-2</c:v>
                </c:pt>
                <c:pt idx="3">
                  <c:v>3.5809649688232283E-2</c:v>
                </c:pt>
                <c:pt idx="4">
                  <c:v>3.9342837335623007E-2</c:v>
                </c:pt>
                <c:pt idx="5">
                  <c:v>4.3224625587449238E-2</c:v>
                </c:pt>
                <c:pt idx="6">
                  <c:v>4.7489408124634515E-2</c:v>
                </c:pt>
                <c:pt idx="7">
                  <c:v>5.217497180327995E-2</c:v>
                </c:pt>
                <c:pt idx="8">
                  <c:v>5.7322831377883264E-2</c:v>
                </c:pt>
                <c:pt idx="9">
                  <c:v>6.2978597235998912E-2</c:v>
                </c:pt>
                <c:pt idx="10">
                  <c:v>6.919237939844157E-2</c:v>
                </c:pt>
                <c:pt idx="11">
                  <c:v>7.6019231359578499E-2</c:v>
                </c:pt>
                <c:pt idx="12">
                  <c:v>8.3519637694188423E-2</c:v>
                </c:pt>
                <c:pt idx="13">
                  <c:v>9.1760049743862065E-2</c:v>
                </c:pt>
                <c:pt idx="14">
                  <c:v>0.10081347412036289</c:v>
                </c:pt>
                <c:pt idx="15">
                  <c:v>0.11076011922946019</c:v>
                </c:pt>
                <c:pt idx="16">
                  <c:v>0.12168810553055165</c:v>
                </c:pt>
                <c:pt idx="17">
                  <c:v>0.13369424580936279</c:v>
                </c:pt>
                <c:pt idx="18">
                  <c:v>0.14688490235802723</c:v>
                </c:pt>
                <c:pt idx="19">
                  <c:v>0.16137692863426217</c:v>
                </c:pt>
                <c:pt idx="20">
                  <c:v>0.17729870371501588</c:v>
                </c:pt>
                <c:pt idx="21">
                  <c:v>0.19479126867629487</c:v>
                </c:pt>
                <c:pt idx="22">
                  <c:v>0.21400957492690167</c:v>
                </c:pt>
                <c:pt idx="23">
                  <c:v>0.23512385550721579</c:v>
                </c:pt>
                <c:pt idx="24">
                  <c:v>0.25832113144333818</c:v>
                </c:pt>
                <c:pt idx="25">
                  <c:v>0.28380686643108949</c:v>
                </c:pt>
                <c:pt idx="26">
                  <c:v>0.31180678442355247</c:v>
                </c:pt>
                <c:pt idx="27">
                  <c:v>0.34256886612105053</c:v>
                </c:pt>
                <c:pt idx="28">
                  <c:v>0.37636554192564603</c:v>
                </c:pt>
                <c:pt idx="29">
                  <c:v>0.4134961006364874</c:v>
                </c:pt>
                <c:pt idx="30">
                  <c:v>0.45428933504188562</c:v>
                </c:pt>
                <c:pt idx="31">
                  <c:v>0.49910644762436707</c:v>
                </c:pt>
                <c:pt idx="32">
                  <c:v>0.54834424185303199</c:v>
                </c:pt>
                <c:pt idx="33">
                  <c:v>0.6024386270116816</c:v>
                </c:pt>
                <c:pt idx="34">
                  <c:v>0.66186846722129922</c:v>
                </c:pt>
                <c:pt idx="35">
                  <c:v>0.72715980828318838</c:v>
                </c:pt>
                <c:pt idx="36">
                  <c:v>0.7988905192177741</c:v>
                </c:pt>
                <c:pt idx="37">
                  <c:v>0.87769538892903731</c:v>
                </c:pt>
                <c:pt idx="38">
                  <c:v>0.96427172231307712</c:v>
                </c:pt>
                <c:pt idx="39">
                  <c:v>1.0593854843807062</c:v>
                </c:pt>
                <c:pt idx="40">
                  <c:v>1.1638780456098587</c:v>
                </c:pt>
                <c:pt idx="41">
                  <c:v>1.2786735868176355</c:v>
                </c:pt>
                <c:pt idx="42">
                  <c:v>1.4047872273801185</c:v>
                </c:pt>
                <c:pt idx="43">
                  <c:v>1.5433339466689246</c:v>
                </c:pt>
                <c:pt idx="44">
                  <c:v>1.6955383751574462</c:v>
                </c:pt>
                <c:pt idx="45">
                  <c:v>1.8627455388195129</c:v>
                </c:pt>
                <c:pt idx="46">
                  <c:v>2.0464326482435835</c:v>
                </c:pt>
                <c:pt idx="47">
                  <c:v>2.248222032362917</c:v>
                </c:pt>
                <c:pt idx="48">
                  <c:v>2.4698953259043868</c:v>
                </c:pt>
                <c:pt idx="49">
                  <c:v>2.7134090296342985</c:v>
                </c:pt>
                <c:pt idx="50">
                  <c:v>2.9809115732776648</c:v>
                </c:pt>
                <c:pt idx="51">
                  <c:v>3.2747620226559233</c:v>
                </c:pt>
                <c:pt idx="52">
                  <c:v>3.5975505851732774</c:v>
                </c:pt>
                <c:pt idx="53">
                  <c:v>3.9521210813263261</c:v>
                </c:pt>
                <c:pt idx="54">
                  <c:v>4.3415955644528124</c:v>
                </c:pt>
                <c:pt idx="55">
                  <c:v>4.769401286502517</c:v>
                </c:pt>
                <c:pt idx="56">
                  <c:v>5.2393002242253068</c:v>
                </c:pt>
                <c:pt idx="57">
                  <c:v>5.7554213978319364</c:v>
                </c:pt>
                <c:pt idx="58">
                  <c:v>6.3222962328771279</c:v>
                </c:pt>
                <c:pt idx="59">
                  <c:v>6.9448972358014514</c:v>
                </c:pt>
                <c:pt idx="60">
                  <c:v>7.6286802741761708</c:v>
                </c:pt>
                <c:pt idx="61">
                  <c:v>8.3796307741108809</c:v>
                </c:pt>
                <c:pt idx="62">
                  <c:v>9.2043141693439221</c:v>
                </c:pt>
                <c:pt idx="63">
                  <c:v>10.109930959013679</c:v>
                </c:pt>
                <c:pt idx="64">
                  <c:v>11.104376753700373</c:v>
                </c:pt>
                <c:pt idx="65">
                  <c:v>12.196307711632645</c:v>
                </c:pt>
                <c:pt idx="66">
                  <c:v>13.395211788453576</c:v>
                </c:pt>
                <c:pt idx="67">
                  <c:v>14.71148624397784</c:v>
                </c:pt>
                <c:pt idx="68">
                  <c:v>16.156521867113746</c:v>
                </c:pt>
                <c:pt idx="69">
                  <c:v>17.742794394533757</c:v>
                </c:pt>
                <c:pt idx="70">
                  <c:v>19.483963608469232</c:v>
                </c:pt>
                <c:pt idx="71">
                  <c:v>21.39498060260015</c:v>
                </c:pt>
                <c:pt idx="72">
                  <c:v>23.492203700480058</c:v>
                </c:pt>
                <c:pt idx="73">
                  <c:v>25.793523495940388</c:v>
                </c:pt>
                <c:pt idx="74">
                  <c:v>28.318497456636074</c:v>
                </c:pt>
                <c:pt idx="75">
                  <c:v>31.088494486943578</c:v>
                </c:pt>
                <c:pt idx="76">
                  <c:v>34.126849780775188</c:v>
                </c:pt>
                <c:pt idx="77">
                  <c:v>37.459030203757997</c:v>
                </c:pt>
                <c:pt idx="78">
                  <c:v>41.112810322030697</c:v>
                </c:pt>
                <c:pt idx="79">
                  <c:v>45.118459035077258</c:v>
                </c:pt>
                <c:pt idx="80">
                  <c:v>49.50893656494145</c:v>
                </c:pt>
                <c:pt idx="81">
                  <c:v>54.320101295102312</c:v>
                </c:pt>
                <c:pt idx="82">
                  <c:v>59.590925629280541</c:v>
                </c:pt>
                <c:pt idx="83">
                  <c:v>65.363719642263135</c:v>
                </c:pt>
                <c:pt idx="84">
                  <c:v>71.684360808996715</c:v>
                </c:pt>
                <c:pt idx="85">
                  <c:v>78.602527511037565</c:v>
                </c:pt>
                <c:pt idx="86">
                  <c:v>86.171933316275883</c:v>
                </c:pt>
                <c:pt idx="87">
                  <c:v>94.450558193291883</c:v>
                </c:pt>
                <c:pt idx="88">
                  <c:v>103.50087184017369</c:v>
                </c:pt>
                <c:pt idx="89">
                  <c:v>113.3900431641017</c:v>
                </c:pt>
                <c:pt idx="90">
                  <c:v>124.19012862906355</c:v>
                </c:pt>
                <c:pt idx="91">
                  <c:v>135.97823068435079</c:v>
                </c:pt>
                <c:pt idx="92">
                  <c:v>148.8366157906456</c:v>
                </c:pt>
                <c:pt idx="93">
                  <c:v>162.85277967567876</c:v>
                </c:pt>
                <c:pt idx="94">
                  <c:v>178.11944539043949</c:v>
                </c:pt>
                <c:pt idx="95">
                  <c:v>194.73447752711846</c:v>
                </c:pt>
                <c:pt idx="96">
                  <c:v>212.80069364795611</c:v>
                </c:pt>
                <c:pt idx="97">
                  <c:v>232.4255516311579</c:v>
                </c:pt>
                <c:pt idx="98">
                  <c:v>253.72068936786704</c:v>
                </c:pt>
                <c:pt idx="99">
                  <c:v>276.80129118169856</c:v>
                </c:pt>
                <c:pt idx="100">
                  <c:v>301.78525367166947</c:v>
                </c:pt>
                <c:pt idx="101">
                  <c:v>328.79212263138203</c:v>
                </c:pt>
                <c:pt idx="102">
                  <c:v>357.94177255530752</c:v>
                </c:pt>
                <c:pt idx="103">
                  <c:v>389.35280134303753</c:v>
                </c:pt>
                <c:pt idx="104">
                  <c:v>423.14061553873847</c:v>
                </c:pt>
                <c:pt idx="105">
                  <c:v>459.41518621661322</c:v>
                </c:pt>
                <c:pt idx="106">
                  <c:v>498.2784628801702</c:v>
                </c:pt>
                <c:pt idx="107">
                  <c:v>539.82144290213694</c:v>
                </c:pt>
                <c:pt idx="108">
                  <c:v>584.12090744703994</c:v>
                </c:pt>
                <c:pt idx="109">
                  <c:v>631.23585171784885</c:v>
                </c:pt>
                <c:pt idx="110">
                  <c:v>681.20365777787026</c:v>
                </c:pt>
                <c:pt idx="111">
                  <c:v>734.03608185738824</c:v>
                </c:pt>
                <c:pt idx="112">
                  <c:v>789.71515432151534</c:v>
                </c:pt>
                <c:pt idx="113">
                  <c:v>848.18911825118005</c:v>
                </c:pt>
                <c:pt idx="114">
                  <c:v>909.36856025438681</c:v>
                </c:pt>
                <c:pt idx="115">
                  <c:v>973.12291252742261</c:v>
                </c:pt>
                <c:pt idx="116">
                  <c:v>1039.2775256901464</c:v>
                </c:pt>
                <c:pt idx="117">
                  <c:v>1107.6115245438837</c:v>
                </c:pt>
                <c:pt idx="118">
                  <c:v>1177.8566605521196</c:v>
                </c:pt>
                <c:pt idx="119">
                  <c:v>1249.6973626564834</c:v>
                </c:pt>
                <c:pt idx="120">
                  <c:v>1322.7721597917007</c:v>
                </c:pt>
                <c:pt idx="121">
                  <c:v>1396.6766030363685</c:v>
                </c:pt>
                <c:pt idx="122">
                  <c:v>1470.9677531550403</c:v>
                </c:pt>
                <c:pt idx="123">
                  <c:v>1545.170222642573</c:v>
                </c:pt>
                <c:pt idx="124">
                  <c:v>1618.7836745632126</c:v>
                </c:pt>
                <c:pt idx="125">
                  <c:v>1691.2915896282607</c:v>
                </c:pt>
                <c:pt idx="126">
                  <c:v>1762.1710256178371</c:v>
                </c:pt>
                <c:pt idx="127">
                  <c:v>1830.9030176027004</c:v>
                </c:pt>
                <c:pt idx="128">
                  <c:v>1896.9832112980164</c:v>
                </c:pt>
                <c:pt idx="129">
                  <c:v>1959.9322917153795</c:v>
                </c:pt>
                <c:pt idx="130">
                  <c:v>2019.3057691380557</c:v>
                </c:pt>
                <c:pt idx="131">
                  <c:v>2074.7027153424042</c:v>
                </c:pt>
                <c:pt idx="132">
                  <c:v>2125.7731026309539</c:v>
                </c:pt>
                <c:pt idx="133">
                  <c:v>2172.2234812576867</c:v>
                </c:pt>
                <c:pt idx="134">
                  <c:v>2213.820829459878</c:v>
                </c:pt>
                <c:pt idx="135">
                  <c:v>2250.3945154649919</c:v>
                </c:pt>
                <c:pt idx="136">
                  <c:v>2281.8364132641841</c:v>
                </c:pt>
                <c:pt idx="137">
                  <c:v>2308.0993053694083</c:v>
                </c:pt>
                <c:pt idx="138">
                  <c:v>2329.1937798164622</c:v>
                </c:pt>
                <c:pt idx="139">
                  <c:v>2345.1838813834829</c:v>
                </c:pt>
                <c:pt idx="140">
                  <c:v>2356.1818069683641</c:v>
                </c:pt>
                <c:pt idx="141">
                  <c:v>2362.3419432535957</c:v>
                </c:pt>
                <c:pt idx="142">
                  <c:v>2363.8545339742627</c:v>
                </c:pt>
                <c:pt idx="143">
                  <c:v>2360.9392382953083</c:v>
                </c:pt>
                <c:pt idx="144">
                  <c:v>2353.8388055500104</c:v>
                </c:pt>
                <c:pt idx="145">
                  <c:v>2342.813049413252</c:v>
                </c:pt>
                <c:pt idx="146">
                  <c:v>2328.1332605257194</c:v>
                </c:pt>
                <c:pt idx="147">
                  <c:v>2310.0771539374359</c:v>
                </c:pt>
                <c:pt idx="148">
                  <c:v>2288.9244089098602</c:v>
                </c:pt>
                <c:pt idx="149">
                  <c:v>2264.9528251387824</c:v>
                </c:pt>
                <c:pt idx="150">
                  <c:v>2238.4350920896964</c:v>
                </c:pt>
                <c:pt idx="151">
                  <c:v>2209.6361469959397</c:v>
                </c:pt>
                <c:pt idx="152">
                  <c:v>2178.8110818159757</c:v>
                </c:pt>
                <c:pt idx="153">
                  <c:v>2146.2035494345414</c:v>
                </c:pt>
                <c:pt idx="154">
                  <c:v>2112.0446138137772</c:v>
                </c:pt>
                <c:pt idx="155">
                  <c:v>2076.5519867920816</c:v>
                </c:pt>
                <c:pt idx="156">
                  <c:v>2039.9295949536938</c:v>
                </c:pt>
                <c:pt idx="157">
                  <c:v>2002.3674226919716</c:v>
                </c:pt>
                <c:pt idx="158">
                  <c:v>1964.0415816113243</c:v>
                </c:pt>
                <c:pt idx="159">
                  <c:v>1925.1145612207306</c:v>
                </c:pt>
                <c:pt idx="160">
                  <c:v>1885.735621044415</c:v>
                </c:pt>
                <c:pt idx="161">
                  <c:v>1846.0412894962139</c:v>
                </c:pt>
                <c:pt idx="162">
                  <c:v>1806.1559399078926</c:v>
                </c:pt>
                <c:pt idx="163">
                  <c:v>1766.192418817898</c:v>
                </c:pt>
                <c:pt idx="164">
                  <c:v>1726.2527059253305</c:v>
                </c:pt>
                <c:pt idx="165">
                  <c:v>1686.4285889495327</c:v>
                </c:pt>
                <c:pt idx="166">
                  <c:v>1646.8023399975714</c:v>
                </c:pt>
                <c:pt idx="167">
                  <c:v>1607.4473829423455</c:v>
                </c:pt>
                <c:pt idx="168">
                  <c:v>1568.4289437808618</c:v>
                </c:pt>
                <c:pt idx="169">
                  <c:v>1529.8046780123368</c:v>
                </c:pt>
                <c:pt idx="170">
                  <c:v>1491.625270790712</c:v>
                </c:pt>
                <c:pt idx="171">
                  <c:v>1453.9350070086614</c:v>
                </c:pt>
                <c:pt idx="172">
                  <c:v>1416.7723096019379</c:v>
                </c:pt>
                <c:pt idx="173">
                  <c:v>1380.170245263208</c:v>
                </c:pt>
                <c:pt idx="174">
                  <c:v>1344.1569974591969</c:v>
                </c:pt>
                <c:pt idx="175">
                  <c:v>1308.756307186228</c:v>
                </c:pt>
                <c:pt idx="176">
                  <c:v>1273.9878823053</c:v>
                </c:pt>
                <c:pt idx="177">
                  <c:v>1239.8677765933071</c:v>
                </c:pt>
                <c:pt idx="178">
                  <c:v>1206.4087398528723</c:v>
                </c:pt>
                <c:pt idx="179">
                  <c:v>1173.6205405573428</c:v>
                </c:pt>
                <c:pt idx="180">
                  <c:v>1141.5102625847928</c:v>
                </c:pt>
                <c:pt idx="181">
                  <c:v>1110.0825776277859</c:v>
                </c:pt>
                <c:pt idx="182">
                  <c:v>1079.3399948644533</c:v>
                </c:pt>
                <c:pt idx="183">
                  <c:v>1049.2830894495391</c:v>
                </c:pt>
                <c:pt idx="184">
                  <c:v>1019.9107113382246</c:v>
                </c:pt>
                <c:pt idx="185">
                  <c:v>991.22017589627046</c:v>
                </c:pt>
                <c:pt idx="186">
                  <c:v>963.20743768162936</c:v>
                </c:pt>
                <c:pt idx="187">
                  <c:v>935.8672487086543</c:v>
                </c:pt>
                <c:pt idx="188">
                  <c:v>909.19330242899025</c:v>
                </c:pt>
                <c:pt idx="189">
                  <c:v>883.17836458528586</c:v>
                </c:pt>
                <c:pt idx="190">
                  <c:v>857.81439201651801</c:v>
                </c:pt>
                <c:pt idx="191">
                  <c:v>833.09264041817153</c:v>
                </c:pt>
                <c:pt idx="192">
                  <c:v>809.00376198754805</c:v>
                </c:pt>
                <c:pt idx="193">
                  <c:v>785.53789381469733</c:v>
                </c:pt>
                <c:pt idx="194">
                  <c:v>762.68473781322439</c:v>
                </c:pt>
                <c:pt idx="195">
                  <c:v>740.43363292274421</c:v>
                </c:pt>
                <c:pt idx="196">
                  <c:v>718.77362025612797</c:v>
                </c:pt>
                <c:pt idx="197">
                  <c:v>697.69350180991421</c:v>
                </c:pt>
                <c:pt idx="198">
                  <c:v>677.18189330527798</c:v>
                </c:pt>
                <c:pt idx="199">
                  <c:v>657.22727167964774</c:v>
                </c:pt>
                <c:pt idx="200">
                  <c:v>637.81801770528909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C1-4B2D-AF6A-FBCD6CD98966}"/>
            </c:ext>
          </c:extLst>
        </c:ser>
        <c:ser>
          <c:idx val="2"/>
          <c:order val="2"/>
          <c:tx>
            <c:strRef>
              <c:f>Chalatenango!$K$3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Chalatenango!$C$3:$C$204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Chalatenango!$K$4:$K$204</c:f>
              <c:numCache>
                <c:formatCode>0</c:formatCode>
                <c:ptCount val="201"/>
                <c:pt idx="1">
                  <c:v>3.6666666666666701E-3</c:v>
                </c:pt>
                <c:pt idx="2">
                  <c:v>4.0284419339277682E-3</c:v>
                </c:pt>
                <c:pt idx="3">
                  <c:v>4.4259117592197247E-3</c:v>
                </c:pt>
                <c:pt idx="4">
                  <c:v>4.862597872942174E-3</c:v>
                </c:pt>
                <c:pt idx="5">
                  <c:v>5.3423694546285618E-3</c:v>
                </c:pt>
                <c:pt idx="6">
                  <c:v>5.869477408662698E-3</c:v>
                </c:pt>
                <c:pt idx="7">
                  <c:v>6.4485920206301126E-3</c:v>
                </c:pt>
                <c:pt idx="8">
                  <c:v>7.0848443276035561E-3</c:v>
                </c:pt>
                <c:pt idx="9">
                  <c:v>7.7838715684942555E-3</c:v>
                </c:pt>
                <c:pt idx="10">
                  <c:v>8.5518671166613276E-3</c:v>
                </c:pt>
                <c:pt idx="11">
                  <c:v>9.3956353365771284E-3</c:v>
                </c:pt>
                <c:pt idx="12">
                  <c:v>1.0322651849843522E-2</c:v>
                </c:pt>
                <c:pt idx="13">
                  <c:v>1.1341129743623415E-2</c:v>
                </c:pt>
                <c:pt idx="14">
                  <c:v>1.2460092307011155E-2</c:v>
                </c:pt>
                <c:pt idx="15">
                  <c:v>1.368945293847262E-2</c:v>
                </c:pt>
                <c:pt idx="16">
                  <c:v>1.5040102930742354E-2</c:v>
                </c:pt>
                <c:pt idx="17">
                  <c:v>1.6524007909022385E-2</c:v>
                </c:pt>
                <c:pt idx="18">
                  <c:v>1.8154313774587653E-2</c:v>
                </c:pt>
                <c:pt idx="19">
                  <c:v>1.9945463089627927E-2</c:v>
                </c:pt>
                <c:pt idx="20">
                  <c:v>2.1913322931069398E-2</c:v>
                </c:pt>
                <c:pt idx="21">
                  <c:v>2.4075325342013999E-2</c:v>
                </c:pt>
                <c:pt idx="22">
                  <c:v>2.6450621620178884E-2</c:v>
                </c:pt>
                <c:pt idx="23">
                  <c:v>2.9060251804262655E-2</c:v>
                </c:pt>
                <c:pt idx="24">
                  <c:v>3.1927330852547446E-2</c:v>
                </c:pt>
                <c:pt idx="25">
                  <c:v>3.5077253154404353E-2</c:v>
                </c:pt>
                <c:pt idx="26">
                  <c:v>3.8537917175944722E-2</c:v>
                </c:pt>
                <c:pt idx="27">
                  <c:v>4.2339972217208539E-2</c:v>
                </c:pt>
                <c:pt idx="28">
                  <c:v>4.6517089451484382E-2</c:v>
                </c:pt>
                <c:pt idx="29">
                  <c:v>5.1106259629228837E-2</c:v>
                </c:pt>
                <c:pt idx="30">
                  <c:v>5.6148120061356707E-2</c:v>
                </c:pt>
                <c:pt idx="31">
                  <c:v>6.1687313751326321E-2</c:v>
                </c:pt>
                <c:pt idx="32">
                  <c:v>6.7772883824532115E-2</c:v>
                </c:pt>
                <c:pt idx="33">
                  <c:v>7.4458706709309042E-2</c:v>
                </c:pt>
                <c:pt idx="34">
                  <c:v>8.1803967858812332E-2</c:v>
                </c:pt>
                <c:pt idx="35">
                  <c:v>8.987368416983238E-2</c:v>
                </c:pt>
                <c:pt idx="36">
                  <c:v>9.8739277656129484E-2</c:v>
                </c:pt>
                <c:pt idx="37">
                  <c:v>0.10847920537325192</c:v>
                </c:pt>
                <c:pt idx="38">
                  <c:v>0.11917965107240293</c:v>
                </c:pt>
                <c:pt idx="39">
                  <c:v>0.13093528458637954</c:v>
                </c:pt>
                <c:pt idx="40">
                  <c:v>0.14385009552481415</c:v>
                </c:pt>
                <c:pt idx="41">
                  <c:v>0.1580383084830787</c:v>
                </c:pt>
                <c:pt idx="42">
                  <c:v>0.17362538765372268</c:v>
                </c:pt>
                <c:pt idx="43">
                  <c:v>0.19074913947593469</c:v>
                </c:pt>
                <c:pt idx="44">
                  <c:v>0.20956092277226884</c:v>
                </c:pt>
                <c:pt idx="45">
                  <c:v>0.23022697670802991</c:v>
                </c:pt>
                <c:pt idx="46">
                  <c:v>0.25292987787280269</c:v>
                </c:pt>
                <c:pt idx="47">
                  <c:v>0.27787013883137207</c:v>
                </c:pt>
                <c:pt idx="48">
                  <c:v>0.30526796162863234</c:v>
                </c:pt>
                <c:pt idx="49">
                  <c:v>0.33536516096603719</c:v>
                </c:pt>
                <c:pt idx="50">
                  <c:v>0.36842727310173423</c:v>
                </c:pt>
                <c:pt idx="51">
                  <c:v>0.40474586796871009</c:v>
                </c:pt>
                <c:pt idx="52">
                  <c:v>0.4446410835607425</c:v>
                </c:pt>
                <c:pt idx="53">
                  <c:v>0.48846440330999585</c:v>
                </c:pt>
                <c:pt idx="54">
                  <c:v>0.53660169897731447</c:v>
                </c:pt>
                <c:pt idx="55">
                  <c:v>0.58947656350031175</c:v>
                </c:pt>
                <c:pt idx="56">
                  <c:v>0.64755396029751056</c:v>
                </c:pt>
                <c:pt idx="57">
                  <c:v>0.71134421770956591</c:v>
                </c:pt>
                <c:pt idx="58">
                  <c:v>0.781407399569084</c:v>
                </c:pt>
                <c:pt idx="59">
                  <c:v>0.85835808532377578</c:v>
                </c:pt>
                <c:pt idx="60">
                  <c:v>0.94287059568469611</c:v>
                </c:pt>
                <c:pt idx="61">
                  <c:v>1.0356847024181997</c:v>
                </c:pt>
                <c:pt idx="62">
                  <c:v>1.137611863626778</c:v>
                </c:pt>
                <c:pt idx="63">
                  <c:v>1.2495420286421415</c:v>
                </c:pt>
                <c:pt idx="64">
                  <c:v>1.372451059446115</c:v>
                </c:pt>
                <c:pt idx="65">
                  <c:v>1.5074088182916767</c:v>
                </c:pt>
                <c:pt idx="66">
                  <c:v>1.6555879738538146</c:v>
                </c:pt>
                <c:pt idx="67">
                  <c:v>1.8182735807163641</c:v>
                </c:pt>
                <c:pt idx="68">
                  <c:v>1.9968734891938358</c:v>
                </c:pt>
                <c:pt idx="69">
                  <c:v>2.1929296442682196</c:v>
                </c:pt>
                <c:pt idx="70">
                  <c:v>2.4081303336310307</c:v>
                </c:pt>
                <c:pt idx="71">
                  <c:v>2.6443234452651896</c:v>
                </c:pt>
                <c:pt idx="72">
                  <c:v>2.9035307944413584</c:v>
                </c:pt>
                <c:pt idx="73">
                  <c:v>3.1879635781499389</c:v>
                </c:pt>
                <c:pt idx="74">
                  <c:v>3.5000390114943496</c:v>
                </c:pt>
                <c:pt idx="75">
                  <c:v>3.8423981950155022</c:v>
                </c:pt>
                <c:pt idx="76">
                  <c:v>4.2179252538036787</c:v>
                </c:pt>
                <c:pt idx="77">
                  <c:v>4.6297677779925666</c:v>
                </c:pt>
                <c:pt idx="78">
                  <c:v>5.0813585791273947</c:v>
                </c:pt>
                <c:pt idx="79">
                  <c:v>5.5764387571443859</c:v>
                </c:pt>
                <c:pt idx="80">
                  <c:v>6.1190820473523209</c:v>
                </c:pt>
                <c:pt idx="81">
                  <c:v>6.7137203847879325</c:v>
                </c:pt>
                <c:pt idx="82">
                  <c:v>7.3651705833942316</c:v>
                </c:pt>
                <c:pt idx="83">
                  <c:v>8.0786619782572497</c:v>
                </c:pt>
                <c:pt idx="84">
                  <c:v>8.8598648190894913</c:v>
                </c:pt>
                <c:pt idx="85">
                  <c:v>9.7149191305776874</c:v>
                </c:pt>
                <c:pt idx="86">
                  <c:v>10.65046366830377</c:v>
                </c:pt>
                <c:pt idx="87">
                  <c:v>11.67366449580013</c:v>
                </c:pt>
                <c:pt idx="88">
                  <c:v>12.792242586987774</c:v>
                </c:pt>
                <c:pt idx="89">
                  <c:v>14.014499716911462</c:v>
                </c:pt>
                <c:pt idx="90">
                  <c:v>15.349341740670791</c:v>
                </c:pt>
                <c:pt idx="91">
                  <c:v>16.806298174470339</c:v>
                </c:pt>
                <c:pt idx="92">
                  <c:v>18.395536783113521</c:v>
                </c:pt>
                <c:pt idx="93">
                  <c:v>20.12787164530863</c:v>
                </c:pt>
                <c:pt idx="94">
                  <c:v>22.014762913425127</c:v>
                </c:pt>
                <c:pt idx="95">
                  <c:v>24.068306211216914</c:v>
                </c:pt>
                <c:pt idx="96">
                  <c:v>26.301209327275501</c:v>
                </c:pt>
                <c:pt idx="97">
                  <c:v>28.726753572390333</c:v>
                </c:pt>
                <c:pt idx="98">
                  <c:v>31.358736888163371</c:v>
                </c:pt>
                <c:pt idx="99">
                  <c:v>34.211395539311091</c:v>
                </c:pt>
                <c:pt idx="100">
                  <c:v>37.299301015599639</c:v>
                </c:pt>
                <c:pt idx="101">
                  <c:v>40.637228639833779</c:v>
                </c:pt>
                <c:pt idx="102">
                  <c:v>44.239994360768392</c:v>
                </c:pt>
                <c:pt idx="103">
                  <c:v>48.122256345768733</c:v>
                </c:pt>
                <c:pt idx="104">
                  <c:v>52.298278325012674</c:v>
                </c:pt>
                <c:pt idx="105">
                  <c:v>56.781652229019663</c:v>
                </c:pt>
                <c:pt idx="106">
                  <c:v>61.584978558223348</c:v>
                </c:pt>
                <c:pt idx="107">
                  <c:v>66.719504178915869</c:v>
                </c:pt>
                <c:pt idx="108">
                  <c:v>72.194718897948817</c:v>
                </c:pt>
                <c:pt idx="109">
                  <c:v>78.017914257262291</c:v>
                </c:pt>
                <c:pt idx="110">
                  <c:v>84.193710511871672</c:v>
                </c:pt>
                <c:pt idx="111">
                  <c:v>90.723560679003143</c:v>
                </c:pt>
                <c:pt idx="112">
                  <c:v>97.605243792546943</c:v>
                </c:pt>
                <c:pt idx="113">
                  <c:v>104.83236292992123</c:v>
                </c:pt>
                <c:pt idx="114">
                  <c:v>112.39386699773333</c:v>
                </c:pt>
                <c:pt idx="115">
                  <c:v>120.27361840226584</c:v>
                </c:pt>
                <c:pt idx="116">
                  <c:v>128.45003126507439</c:v>
                </c:pt>
                <c:pt idx="117">
                  <c:v>136.89580640430037</c:v>
                </c:pt>
                <c:pt idx="118">
                  <c:v>145.57778950644189</c:v>
                </c:pt>
                <c:pt idx="119">
                  <c:v>154.45697740698125</c:v>
                </c:pt>
                <c:pt idx="120">
                  <c:v>163.48869390683959</c:v>
                </c:pt>
                <c:pt idx="121">
                  <c:v>172.62295093707945</c:v>
                </c:pt>
                <c:pt idx="122">
                  <c:v>181.80500319893773</c:v>
                </c:pt>
                <c:pt idx="123">
                  <c:v>190.9760949333519</c:v>
                </c:pt>
                <c:pt idx="124">
                  <c:v>200.07438674376806</c:v>
                </c:pt>
                <c:pt idx="125">
                  <c:v>209.03603916753804</c:v>
                </c:pt>
                <c:pt idx="126">
                  <c:v>217.79641889658686</c:v>
                </c:pt>
                <c:pt idx="127">
                  <c:v>226.29138419808677</c:v>
                </c:pt>
                <c:pt idx="128">
                  <c:v>234.45859914919328</c:v>
                </c:pt>
                <c:pt idx="129">
                  <c:v>242.23882257156399</c:v>
                </c:pt>
                <c:pt idx="130">
                  <c:v>249.57711753391726</c:v>
                </c:pt>
                <c:pt idx="131">
                  <c:v>256.42393110973558</c:v>
                </c:pt>
                <c:pt idx="132">
                  <c:v>262.7360014487698</c:v>
                </c:pt>
                <c:pt idx="133">
                  <c:v>268.47705948128737</c:v>
                </c:pt>
                <c:pt idx="134">
                  <c:v>273.61830476470431</c:v>
                </c:pt>
                <c:pt idx="135">
                  <c:v>278.13864797881951</c:v>
                </c:pt>
                <c:pt idx="136">
                  <c:v>282.02472523489939</c:v>
                </c:pt>
                <c:pt idx="137">
                  <c:v>285.27070066363501</c:v>
                </c:pt>
                <c:pt idx="138">
                  <c:v>287.8778828986641</c:v>
                </c:pt>
                <c:pt idx="139">
                  <c:v>289.8541875867229</c:v>
                </c:pt>
                <c:pt idx="140">
                  <c:v>291.21348176013521</c:v>
                </c:pt>
                <c:pt idx="141">
                  <c:v>291.9748469189841</c:v>
                </c:pt>
                <c:pt idx="142">
                  <c:v>292.16179633389788</c:v>
                </c:pt>
                <c:pt idx="143">
                  <c:v>291.80147889043167</c:v>
                </c:pt>
                <c:pt idx="144">
                  <c:v>290.92389731517017</c:v>
                </c:pt>
                <c:pt idx="145">
                  <c:v>289.56116341062699</c:v>
                </c:pt>
                <c:pt idx="146">
                  <c:v>287.74680748070722</c:v>
                </c:pt>
                <c:pt idx="147">
                  <c:v>285.51515385743625</c:v>
                </c:pt>
                <c:pt idx="148">
                  <c:v>282.90076964054487</c:v>
                </c:pt>
                <c:pt idx="149">
                  <c:v>279.93798962389468</c:v>
                </c:pt>
                <c:pt idx="150">
                  <c:v>276.66051699985042</c:v>
                </c:pt>
                <c:pt idx="151">
                  <c:v>273.10109681972324</c:v>
                </c:pt>
                <c:pt idx="152">
                  <c:v>269.2912573030984</c:v>
                </c:pt>
                <c:pt idx="153">
                  <c:v>265.26111285146044</c:v>
                </c:pt>
                <c:pt idx="154">
                  <c:v>261.03922193204011</c:v>
                </c:pt>
                <c:pt idx="155">
                  <c:v>256.65249274958336</c:v>
                </c:pt>
                <c:pt idx="156">
                  <c:v>252.12612971337813</c:v>
                </c:pt>
                <c:pt idx="157">
                  <c:v>247.48361404058102</c:v>
                </c:pt>
                <c:pt idx="158">
                  <c:v>242.74671233398416</c:v>
                </c:pt>
                <c:pt idx="159">
                  <c:v>237.93550756660741</c:v>
                </c:pt>
                <c:pt idx="160">
                  <c:v>233.06844754481557</c:v>
                </c:pt>
                <c:pt idx="161">
                  <c:v>228.16240656694802</c:v>
                </c:pt>
                <c:pt idx="162">
                  <c:v>223.23275661782964</c:v>
                </c:pt>
                <c:pt idx="163">
                  <c:v>218.29344502243706</c:v>
                </c:pt>
                <c:pt idx="164">
                  <c:v>213.35707601324333</c:v>
                </c:pt>
                <c:pt idx="165">
                  <c:v>208.43499413983008</c:v>
                </c:pt>
                <c:pt idx="166">
                  <c:v>203.53736786486857</c:v>
                </c:pt>
                <c:pt idx="167">
                  <c:v>198.67327204905413</c:v>
                </c:pt>
                <c:pt idx="168">
                  <c:v>193.85076833246623</c:v>
                </c:pt>
                <c:pt idx="169">
                  <c:v>189.07698267568225</c:v>
                </c:pt>
                <c:pt idx="170">
                  <c:v>184.3581795359309</c:v>
                </c:pt>
                <c:pt idx="171">
                  <c:v>179.69983232691337</c:v>
                </c:pt>
                <c:pt idx="172">
                  <c:v>175.1066899508015</c:v>
                </c:pt>
                <c:pt idx="173">
                  <c:v>170.5828393021944</c:v>
                </c:pt>
                <c:pt idx="174">
                  <c:v>166.13176373091213</c:v>
                </c:pt>
                <c:pt idx="175">
                  <c:v>161.75639751739917</c:v>
                </c:pt>
                <c:pt idx="176">
                  <c:v>157.45917646470016</c:v>
                </c:pt>
                <c:pt idx="177">
                  <c:v>153.24208474748758</c:v>
                </c:pt>
                <c:pt idx="178">
                  <c:v>149.10669818406305</c:v>
                </c:pt>
                <c:pt idx="179">
                  <c:v>145.05422411382904</c:v>
                </c:pt>
                <c:pt idx="180">
                  <c:v>141.0855380722779</c:v>
                </c:pt>
                <c:pt idx="181">
                  <c:v>137.20121745961416</c:v>
                </c:pt>
                <c:pt idx="182">
                  <c:v>133.40157239897752</c:v>
                </c:pt>
                <c:pt idx="183">
                  <c:v>129.68667397690945</c:v>
                </c:pt>
                <c:pt idx="184">
                  <c:v>126.05638005303913</c:v>
                </c:pt>
                <c:pt idx="185">
                  <c:v>122.51035881864028</c:v>
                </c:pt>
                <c:pt idx="186">
                  <c:v>119.04811027525768</c:v>
                </c:pt>
                <c:pt idx="187">
                  <c:v>115.66898579545176</c:v>
                </c:pt>
                <c:pt idx="188">
                  <c:v>112.37220591818992</c:v>
                </c:pt>
                <c:pt idx="189">
                  <c:v>109.15687652177702</c:v>
                </c:pt>
                <c:pt idx="190">
                  <c:v>106.02200350765962</c:v>
                </c:pt>
                <c:pt idx="191">
                  <c:v>102.96650611909995</c:v>
                </c:pt>
                <c:pt idx="192">
                  <c:v>99.989229009697056</c:v>
                </c:pt>
                <c:pt idx="193">
                  <c:v>97.088953168108745</c:v>
                </c:pt>
                <c:pt idx="194">
                  <c:v>94.264405797140185</c:v>
                </c:pt>
                <c:pt idx="195">
                  <c:v>91.514269237642637</c:v>
                </c:pt>
                <c:pt idx="196">
                  <c:v>88.837189020420411</c:v>
                </c:pt>
                <c:pt idx="197">
                  <c:v>86.23178112257375</c:v>
                </c:pt>
                <c:pt idx="198">
                  <c:v>83.696638498405221</c:v>
                </c:pt>
                <c:pt idx="199">
                  <c:v>81.230336949170038</c:v>
                </c:pt>
                <c:pt idx="200">
                  <c:v>78.831440390541431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C1-4B2D-AF6A-FBCD6CD9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San Salvador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'San Salvador'!$I$3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Salvador'!$C$3:$C$204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Salvador'!$I$4:$I$204</c:f>
              <c:numCache>
                <c:formatCode>0</c:formatCode>
                <c:ptCount val="201"/>
                <c:pt idx="1">
                  <c:v>0.13199991577104273</c:v>
                </c:pt>
                <c:pt idx="2">
                  <c:v>0.14502388446633685</c:v>
                </c:pt>
                <c:pt idx="3">
                  <c:v>0.15933287961583295</c:v>
                </c:pt>
                <c:pt idx="4">
                  <c:v>0.17505368939962923</c:v>
                </c:pt>
                <c:pt idx="5">
                  <c:v>0.19232561153430475</c:v>
                </c:pt>
                <c:pt idx="6">
                  <c:v>0.21130168749908276</c:v>
                </c:pt>
                <c:pt idx="7">
                  <c:v>0.23215005852898124</c:v>
                </c:pt>
                <c:pt idx="8">
                  <c:v>0.25505545538722024</c:v>
                </c:pt>
                <c:pt idx="9">
                  <c:v>0.28022083511393558</c:v>
                </c:pt>
                <c:pt idx="10">
                  <c:v>0.3078691792498417</c:v>
                </c:pt>
                <c:pt idx="11">
                  <c:v>0.33824546946339112</c:v>
                </c:pt>
                <c:pt idx="12">
                  <c:v>0.37161885808083889</c:v>
                </c:pt>
                <c:pt idx="13">
                  <c:v>0.40828505274431787</c:v>
                </c:pt>
                <c:pt idx="14">
                  <c:v>0.44856893631880645</c:v>
                </c:pt>
                <c:pt idx="15">
                  <c:v>0.49282744525146743</c:v>
                </c:pt>
                <c:pt idx="16">
                  <c:v>0.54145273187464349</c:v>
                </c:pt>
                <c:pt idx="17">
                  <c:v>0.59487563865699677</c:v>
                </c:pt>
                <c:pt idx="18">
                  <c:v>0.65356951516805606</c:v>
                </c:pt>
                <c:pt idx="19">
                  <c:v>0.7180544115541112</c:v>
                </c:pt>
                <c:pt idx="20">
                  <c:v>0.78890168565473029</c:v>
                </c:pt>
                <c:pt idx="21">
                  <c:v>0.86673906454847582</c:v>
                </c:pt>
                <c:pt idx="22">
                  <c:v>0.95225620533590816</c:v>
                </c:pt>
                <c:pt idx="23">
                  <c:v>1.0462108043830474</c:v>
                </c:pt>
                <c:pt idx="24">
                  <c:v>1.1494353090979084</c:v>
                </c:pt>
                <c:pt idx="25">
                  <c:v>1.2628442916391753</c:v>
                </c:pt>
                <c:pt idx="26">
                  <c:v>1.387442549806233</c:v>
                </c:pt>
                <c:pt idx="27">
                  <c:v>1.5243340067850175</c:v>
                </c:pt>
                <c:pt idx="28">
                  <c:v>1.6747314884806344</c:v>
                </c:pt>
                <c:pt idx="29">
                  <c:v>1.8399674649173299</c:v>
                </c:pt>
                <c:pt idx="30">
                  <c:v>2.0215058506967596</c:v>
                </c:pt>
                <c:pt idx="31">
                  <c:v>2.2209549688509713</c:v>
                </c:pt>
                <c:pt idx="32">
                  <c:v>2.4400817926884542</c:v>
                </c:pt>
                <c:pt idx="33">
                  <c:v>2.680827591499328</c:v>
                </c:pt>
                <c:pt idx="34">
                  <c:v>2.945325118357077</c:v>
                </c:pt>
                <c:pt idx="35">
                  <c:v>3.2359174918363607</c:v>
                </c:pt>
                <c:pt idx="36">
                  <c:v>3.5551789383768346</c:v>
                </c:pt>
                <c:pt idx="37">
                  <c:v>3.9059375783901391</c:v>
                </c:pt>
                <c:pt idx="38">
                  <c:v>4.2913004571720839</c:v>
                </c:pt>
                <c:pt idx="39">
                  <c:v>4.7146810413986131</c:v>
                </c:pt>
                <c:pt idx="40">
                  <c:v>5.1798294236208848</c:v>
                </c:pt>
                <c:pt idx="41">
                  <c:v>5.6908655009160487</c:v>
                </c:pt>
                <c:pt idx="42">
                  <c:v>6.2523154198973483</c:v>
                </c:pt>
                <c:pt idx="43">
                  <c:v>6.8691516088600073</c:v>
                </c:pt>
                <c:pt idx="44">
                  <c:v>7.5468367491779675</c:v>
                </c:pt>
                <c:pt idx="45">
                  <c:v>8.2913720724329156</c:v>
                </c:pt>
                <c:pt idx="46">
                  <c:v>9.109350407436434</c:v>
                </c:pt>
                <c:pt idx="47">
                  <c:v>10.008014442609454</c:v>
                </c:pt>
                <c:pt idx="48">
                  <c:v>10.995320714448756</c:v>
                </c:pt>
                <c:pt idx="49">
                  <c:v>12.080009882405296</c:v>
                </c:pt>
                <c:pt idx="50">
                  <c:v>13.271683904823059</c:v>
                </c:pt>
                <c:pt idx="51">
                  <c:v>14.580890790072081</c:v>
                </c:pt>
                <c:pt idx="52">
                  <c:v>16.019217662123765</c:v>
                </c:pt>
                <c:pt idx="53">
                  <c:v>17.599392951066378</c:v>
                </c:pt>
                <c:pt idx="54">
                  <c:v>19.33539859698935</c:v>
                </c:pt>
                <c:pt idx="55">
                  <c:v>21.242593240864093</c:v>
                </c:pt>
                <c:pt idx="56">
                  <c:v>23.337847469146713</c:v>
                </c:pt>
                <c:pt idx="57">
                  <c:v>25.639692280498465</c:v>
                </c:pt>
                <c:pt idx="58">
                  <c:v>28.168482053984146</c:v>
                </c:pt>
                <c:pt idx="59">
                  <c:v>30.946573419129695</c:v>
                </c:pt>
                <c:pt idx="60">
                  <c:v>33.998521560109211</c:v>
                </c:pt>
                <c:pt idx="61">
                  <c:v>37.351295629937994</c:v>
                </c:pt>
                <c:pt idx="62">
                  <c:v>41.034515106763656</c:v>
                </c:pt>
                <c:pt idx="63">
                  <c:v>45.080709094094047</c:v>
                </c:pt>
                <c:pt idx="64">
                  <c:v>49.525600751028541</c:v>
                </c:pt>
                <c:pt idx="65">
                  <c:v>54.408419238231964</c:v>
                </c:pt>
                <c:pt idx="66">
                  <c:v>59.772241781472054</c:v>
                </c:pt>
                <c:pt idx="67">
                  <c:v>65.664368687977486</c:v>
                </c:pt>
                <c:pt idx="68">
                  <c:v>72.136734402566674</c:v>
                </c:pt>
                <c:pt idx="69">
                  <c:v>79.246357961273702</c:v>
                </c:pt>
                <c:pt idx="70">
                  <c:v>87.055836490768868</c:v>
                </c:pt>
                <c:pt idx="71">
                  <c:v>95.633885712781549</c:v>
                </c:pt>
                <c:pt idx="72">
                  <c:v>105.05593174429826</c:v>
                </c:pt>
                <c:pt idx="73">
                  <c:v>115.40475883653612</c:v>
                </c:pt>
                <c:pt idx="74">
                  <c:v>126.77121806817991</c:v>
                </c:pt>
                <c:pt idx="75">
                  <c:v>139.25500240020111</c:v>
                </c:pt>
                <c:pt idx="76">
                  <c:v>152.96549390914743</c:v>
                </c:pt>
                <c:pt idx="77">
                  <c:v>168.0226894406608</c:v>
                </c:pt>
                <c:pt idx="78">
                  <c:v>184.55821136163866</c:v>
                </c:pt>
                <c:pt idx="79">
                  <c:v>202.71641053305072</c:v>
                </c:pt>
                <c:pt idx="80">
                  <c:v>222.65556906948802</c:v>
                </c:pt>
                <c:pt idx="81">
                  <c:v>244.54921088752664</c:v>
                </c:pt>
                <c:pt idx="82">
                  <c:v>268.5875284619641</c:v>
                </c:pt>
                <c:pt idx="83">
                  <c:v>294.97893459290827</c:v>
                </c:pt>
                <c:pt idx="84">
                  <c:v>323.95174831990181</c:v>
                </c:pt>
                <c:pt idx="85">
                  <c:v>355.75602437965006</c:v>
                </c:pt>
                <c:pt idx="86">
                  <c:v>390.66553576406289</c:v>
                </c:pt>
                <c:pt idx="87">
                  <c:v>428.97991896143554</c:v>
                </c:pt>
                <c:pt idx="88">
                  <c:v>471.02699131428813</c:v>
                </c:pt>
                <c:pt idx="89">
                  <c:v>517.16524955226544</c:v>
                </c:pt>
                <c:pt idx="90">
                  <c:v>567.78655789653044</c:v>
                </c:pt>
                <c:pt idx="91">
                  <c:v>623.3190331097228</c:v>
                </c:pt>
                <c:pt idx="92">
                  <c:v>684.23013239469935</c:v>
                </c:pt>
                <c:pt idx="93">
                  <c:v>751.02994802083163</c:v>
                </c:pt>
                <c:pt idx="94">
                  <c:v>824.27470985409138</c:v>
                </c:pt>
                <c:pt idx="95">
                  <c:v>904.57049343965264</c:v>
                </c:pt>
                <c:pt idx="96">
                  <c:v>992.57712676126005</c:v>
                </c:pt>
                <c:pt idx="97">
                  <c:v>1089.0122830799755</c:v>
                </c:pt>
                <c:pt idx="98">
                  <c:v>1194.6557401048574</c:v>
                </c:pt>
                <c:pt idx="99">
                  <c:v>1310.3537769048148</c:v>
                </c:pt>
                <c:pt idx="100">
                  <c:v>1437.023669133863</c:v>
                </c:pt>
                <c:pt idx="101">
                  <c:v>1575.658229974375</c:v>
                </c:pt>
                <c:pt idx="102">
                  <c:v>1727.3303283320206</c:v>
                </c:pt>
                <c:pt idx="103">
                  <c:v>1893.1972968365315</c:v>
                </c:pt>
                <c:pt idx="104">
                  <c:v>2074.505119682804</c:v>
                </c:pt>
                <c:pt idx="105">
                  <c:v>2272.5922638406155</c:v>
                </c:pt>
                <c:pt idx="106">
                  <c:v>2488.8929862245377</c:v>
                </c:pt>
                <c:pt idx="107">
                  <c:v>2724.9399136328466</c:v>
                </c:pt>
                <c:pt idx="108">
                  <c:v>2982.3656512845714</c:v>
                </c:pt>
                <c:pt idx="109">
                  <c:v>3262.9031293713088</c:v>
                </c:pt>
                <c:pt idx="110">
                  <c:v>3568.3843451406333</c:v>
                </c:pt>
                <c:pt idx="111">
                  <c:v>3900.7371008547302</c:v>
                </c:pt>
                <c:pt idx="112">
                  <c:v>4261.9792761140206</c:v>
                </c:pt>
                <c:pt idx="113">
                  <c:v>4654.2101076099916</c:v>
                </c:pt>
                <c:pt idx="114">
                  <c:v>5079.597882165328</c:v>
                </c:pt>
                <c:pt idx="115">
                  <c:v>5540.3633826022105</c:v>
                </c:pt>
                <c:pt idx="116">
                  <c:v>6038.7583643212902</c:v>
                </c:pt>
                <c:pt idx="117">
                  <c:v>6577.0382885865538</c:v>
                </c:pt>
                <c:pt idx="118">
                  <c:v>7157.4285030978835</c:v>
                </c:pt>
                <c:pt idx="119">
                  <c:v>7782.083050014644</c:v>
                </c:pt>
                <c:pt idx="120">
                  <c:v>8453.0353066862735</c:v>
                </c:pt>
                <c:pt idx="121">
                  <c:v>9172.1397375304587</c:v>
                </c:pt>
                <c:pt idx="122">
                  <c:v>9941.0041713184546</c:v>
                </c:pt>
                <c:pt idx="123">
                  <c:v>10760.912232720613</c:v>
                </c:pt>
                <c:pt idx="124">
                  <c:v>11632.735867340465</c:v>
                </c:pt>
                <c:pt idx="125">
                  <c:v>12556.838322283191</c:v>
                </c:pt>
                <c:pt idx="126">
                  <c:v>13532.968494066079</c:v>
                </c:pt>
                <c:pt idx="127">
                  <c:v>14560.148242219919</c:v>
                </c:pt>
                <c:pt idx="128">
                  <c:v>15636.555092175242</c:v>
                </c:pt>
                <c:pt idx="129">
                  <c:v>16759.403705059369</c:v>
                </c:pt>
                <c:pt idx="130">
                  <c:v>17924.830548677852</c:v>
                </c:pt>
                <c:pt idx="131">
                  <c:v>19127.787316297661</c:v>
                </c:pt>
                <c:pt idx="132">
                  <c:v>20361.949736315109</c:v>
                </c:pt>
                <c:pt idx="133">
                  <c:v>21619.649397863319</c:v>
                </c:pt>
                <c:pt idx="134">
                  <c:v>22891.836959579134</c:v>
                </c:pt>
                <c:pt idx="135">
                  <c:v>24168.08546351111</c:v>
                </c:pt>
                <c:pt idx="136">
                  <c:v>25436.642283412777</c:v>
                </c:pt>
                <c:pt idx="137">
                  <c:v>26684.537339889772</c:v>
                </c:pt>
                <c:pt idx="138">
                  <c:v>27897.753483487752</c:v>
                </c:pt>
                <c:pt idx="139">
                  <c:v>29061.462303792872</c:v>
                </c:pt>
                <c:pt idx="140">
                  <c:v>30160.325074304674</c:v>
                </c:pt>
                <c:pt idx="141">
                  <c:v>31178.854206287513</c:v>
                </c:pt>
                <c:pt idx="142">
                  <c:v>32101.825706373773</c:v>
                </c:pt>
                <c:pt idx="143">
                  <c:v>32914.728090919947</c:v>
                </c:pt>
                <c:pt idx="144">
                  <c:v>33604.228496719676</c:v>
                </c:pt>
                <c:pt idx="145">
                  <c:v>34158.632903263548</c:v>
                </c:pt>
                <c:pt idx="146">
                  <c:v>34568.315007529374</c:v>
                </c:pt>
                <c:pt idx="147">
                  <c:v>34826.087845119357</c:v>
                </c:pt>
                <c:pt idx="148">
                  <c:v>34927.494035382668</c:v>
                </c:pt>
                <c:pt idx="149">
                  <c:v>34870.994599496</c:v>
                </c:pt>
                <c:pt idx="150">
                  <c:v>34658.042425857064</c:v>
                </c:pt>
                <c:pt idx="151">
                  <c:v>34293.034116506235</c:v>
                </c:pt>
                <c:pt idx="152">
                  <c:v>33783.142389702087</c:v>
                </c:pt>
                <c:pt idx="153">
                  <c:v>33138.039553688614</c:v>
                </c:pt>
                <c:pt idx="154">
                  <c:v>32369.529918656212</c:v>
                </c:pt>
                <c:pt idx="155">
                  <c:v>31491.114621106506</c:v>
                </c:pt>
                <c:pt idx="156">
                  <c:v>30517.515680113687</c:v>
                </c:pt>
                <c:pt idx="157">
                  <c:v>29464.186976870547</c:v>
                </c:pt>
                <c:pt idx="158">
                  <c:v>28346.8383527599</c:v>
                </c:pt>
                <c:pt idx="159">
                  <c:v>27180.995536846607</c:v>
                </c:pt>
                <c:pt idx="160">
                  <c:v>25981.613712755658</c:v>
                </c:pt>
                <c:pt idx="161">
                  <c:v>24762.75687765094</c:v>
                </c:pt>
                <c:pt idx="162">
                  <c:v>23537.349379463969</c:v>
                </c:pt>
                <c:pt idx="163">
                  <c:v>22317.000693552491</c:v>
                </c:pt>
                <c:pt idx="164">
                  <c:v>21111.900018475626</c:v>
                </c:pt>
                <c:pt idx="165">
                  <c:v>19930.773865180276</c:v>
                </c:pt>
                <c:pt idx="166">
                  <c:v>18780.897556450924</c:v>
                </c:pt>
                <c:pt idx="167">
                  <c:v>17668.150383926903</c:v>
                </c:pt>
                <c:pt idx="168">
                  <c:v>16597.103935840154</c:v>
                </c:pt>
                <c:pt idx="169">
                  <c:v>15571.133606077448</c:v>
                </c:pt>
                <c:pt idx="170">
                  <c:v>14592.544305361767</c:v>
                </c:pt>
                <c:pt idx="171">
                  <c:v>13662.702711927341</c:v>
                </c:pt>
                <c:pt idx="172">
                  <c:v>12782.169845946801</c:v>
                </c:pt>
                <c:pt idx="173">
                  <c:v>11950.829192023271</c:v>
                </c:pt>
                <c:pt idx="174">
                  <c:v>11168.006930575468</c:v>
                </c:pt>
                <c:pt idx="175">
                  <c:v>10432.582012160228</c:v>
                </c:pt>
                <c:pt idx="176">
                  <c:v>9743.0847896065225</c:v>
                </c:pt>
                <c:pt idx="177">
                  <c:v>9097.7837055307755</c:v>
                </c:pt>
                <c:pt idx="178">
                  <c:v>8494.7601278016446</c:v>
                </c:pt>
                <c:pt idx="179">
                  <c:v>7931.9718532053294</c:v>
                </c:pt>
                <c:pt idx="180">
                  <c:v>7407.3060852807712</c:v>
                </c:pt>
                <c:pt idx="181">
                  <c:v>6918.6228627043429</c:v>
                </c:pt>
                <c:pt idx="182">
                  <c:v>6463.7899952056596</c:v>
                </c:pt>
                <c:pt idx="183">
                  <c:v>6040.7105776538783</c:v>
                </c:pt>
                <c:pt idx="184">
                  <c:v>5647.3441191749444</c:v>
                </c:pt>
                <c:pt idx="185">
                  <c:v>5281.7222589038183</c:v>
                </c:pt>
                <c:pt idx="186">
                  <c:v>4941.9599558110331</c:v>
                </c:pt>
                <c:pt idx="187">
                  <c:v>4626.2629465027785</c:v>
                </c:pt>
                <c:pt idx="188">
                  <c:v>4332.9321689241333</c:v>
                </c:pt>
                <c:pt idx="189">
                  <c:v>4060.3657563232109</c:v>
                </c:pt>
                <c:pt idx="190">
                  <c:v>3807.0591178117838</c:v>
                </c:pt>
                <c:pt idx="191">
                  <c:v>3571.6035412569008</c:v>
                </c:pt>
                <c:pt idx="192">
                  <c:v>3352.6836819823898</c:v>
                </c:pt>
                <c:pt idx="193">
                  <c:v>3149.0742370998014</c:v>
                </c:pt>
                <c:pt idx="194">
                  <c:v>2959.6360500176534</c:v>
                </c:pt>
                <c:pt idx="195">
                  <c:v>2783.3118422950288</c:v>
                </c:pt>
                <c:pt idx="196">
                  <c:v>2619.121729840359</c:v>
                </c:pt>
                <c:pt idx="197">
                  <c:v>2466.1586467567868</c:v>
                </c:pt>
                <c:pt idx="198">
                  <c:v>2323.5837721311491</c:v>
                </c:pt>
                <c:pt idx="199">
                  <c:v>2190.6220320050184</c:v>
                </c:pt>
                <c:pt idx="200">
                  <c:v>2066.5577299518877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1C-4E0B-88A4-EA7EA70B2A5A}"/>
            </c:ext>
          </c:extLst>
        </c:ser>
        <c:ser>
          <c:idx val="1"/>
          <c:order val="1"/>
          <c:tx>
            <c:strRef>
              <c:f>'San Salvador'!$J$3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Salvador'!$C$3:$C$204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Salvador'!$J$4:$J$204</c:f>
              <c:numCache>
                <c:formatCode>0</c:formatCode>
                <c:ptCount val="201"/>
                <c:pt idx="1">
                  <c:v>2.9666666666666664E-2</c:v>
                </c:pt>
                <c:pt idx="2">
                  <c:v>3.2593775278985375E-2</c:v>
                </c:pt>
                <c:pt idx="3">
                  <c:v>3.5809691342187186E-2</c:v>
                </c:pt>
                <c:pt idx="4">
                  <c:v>3.9342910392717319E-2</c:v>
                </c:pt>
                <c:pt idx="5">
                  <c:v>4.3224739498482406E-2</c:v>
                </c:pt>
                <c:pt idx="6">
                  <c:v>4.7489574657384036E-2</c:v>
                </c:pt>
                <c:pt idx="7">
                  <c:v>5.2175205564610687E-2</c:v>
                </c:pt>
                <c:pt idx="8">
                  <c:v>5.7323150448816779E-2</c:v>
                </c:pt>
                <c:pt idx="9">
                  <c:v>6.297902394367709E-2</c:v>
                </c:pt>
                <c:pt idx="10">
                  <c:v>6.9192941253934617E-2</c:v>
                </c:pt>
                <c:pt idx="11">
                  <c:v>7.601996219654876E-2</c:v>
                </c:pt>
                <c:pt idx="12">
                  <c:v>8.3520579050744406E-2</c:v>
                </c:pt>
                <c:pt idx="13">
                  <c:v>9.1761252538784491E-2</c:v>
                </c:pt>
                <c:pt idx="14">
                  <c:v>0.10081500068557309</c:v>
                </c:pt>
                <c:pt idx="15">
                  <c:v>0.11076204577351191</c:v>
                </c:pt>
                <c:pt idx="16">
                  <c:v>0.1216905251235217</c:v>
                </c:pt>
                <c:pt idx="17">
                  <c:v>0.13369727199835205</c:v>
                </c:pt>
                <c:pt idx="18">
                  <c:v>0.14688867354523122</c:v>
                </c:pt>
                <c:pt idx="19">
                  <c:v>0.16138161337704252</c:v>
                </c:pt>
                <c:pt idx="20">
                  <c:v>0.17730450714057969</c:v>
                </c:pt>
                <c:pt idx="21">
                  <c:v>0.1947984402436507</c:v>
                </c:pt>
                <c:pt idx="22">
                  <c:v>0.21401841781713377</c:v>
                </c:pt>
                <c:pt idx="23">
                  <c:v>0.23513473798152792</c:v>
                </c:pt>
                <c:pt idx="24">
                  <c:v>0.25833450057884066</c:v>
                </c:pt>
                <c:pt idx="25">
                  <c:v>0.28382326472945063</c:v>
                </c:pt>
                <c:pt idx="26">
                  <c:v>0.31182686989043112</c:v>
                </c:pt>
                <c:pt idx="27">
                  <c:v>0.34259343653833502</c:v>
                </c:pt>
                <c:pt idx="28">
                  <c:v>0.37639556418834602</c:v>
                </c:pt>
                <c:pt idx="29">
                  <c:v>0.41353274620699326</c:v>
                </c:pt>
                <c:pt idx="30">
                  <c:v>0.4543340227926409</c:v>
                </c:pt>
                <c:pt idx="31">
                  <c:v>0.49916089560355681</c:v>
                </c:pt>
                <c:pt idx="32">
                  <c:v>0.54841052982601712</c:v>
                </c:pt>
                <c:pt idx="33">
                  <c:v>0.60251927201490729</c:v>
                </c:pt>
                <c:pt idx="34">
                  <c:v>0.66196651482889035</c:v>
                </c:pt>
                <c:pt idx="35">
                  <c:v>0.72727894284585404</c:v>
                </c:pt>
                <c:pt idx="36">
                  <c:v>0.79903519700880432</c:v>
                </c:pt>
                <c:pt idx="37">
                  <c:v>0.87787099894702358</c:v>
                </c:pt>
                <c:pt idx="38">
                  <c:v>0.96448478047436337</c:v>
                </c:pt>
                <c:pt idx="39">
                  <c:v>1.0596438680213229</c:v>
                </c:pt>
                <c:pt idx="40">
                  <c:v>1.1641912766487712</c:v>
                </c:pt>
                <c:pt idx="41">
                  <c:v>1.2790531736612316</c:v>
                </c:pt>
                <c:pt idx="42">
                  <c:v>1.4052470777330333</c:v>
                </c:pt>
                <c:pt idx="43">
                  <c:v>1.5438908659322201</c:v>
                </c:pt>
                <c:pt idx="44">
                  <c:v>1.6962126681306597</c:v>
                </c:pt>
                <c:pt idx="45">
                  <c:v>1.8635617360852506</c:v>
                </c:pt>
                <c:pt idx="46">
                  <c:v>2.0474203830312523</c:v>
                </c:pt>
                <c:pt idx="47">
                  <c:v>2.2494170990174918</c:v>
                </c:pt>
                <c:pt idx="48">
                  <c:v>2.4713409575143226</c:v>
                </c:pt>
                <c:pt idx="49">
                  <c:v>2.7151574401258243</c:v>
                </c:pt>
                <c:pt idx="50">
                  <c:v>2.9830258186329877</c:v>
                </c:pt>
                <c:pt idx="51">
                  <c:v>3.2773182471883056</c:v>
                </c:pt>
                <c:pt idx="52">
                  <c:v>3.6006407323875007</c:v>
                </c:pt>
                <c:pt idx="53">
                  <c:v>3.9558561652842554</c:v>
                </c:pt>
                <c:pt idx="54">
                  <c:v>4.3461096173230827</c:v>
                </c:pt>
                <c:pt idx="55">
                  <c:v>4.7748561217896635</c:v>
                </c:pt>
                <c:pt idx="56">
                  <c:v>5.245891183875643</c:v>
                </c:pt>
                <c:pt idx="57">
                  <c:v>5.7633842859978071</c:v>
                </c:pt>
                <c:pt idx="58">
                  <c:v>6.3319156807860013</c:v>
                </c:pt>
                <c:pt idx="59">
                  <c:v>6.9565167923613309</c:v>
                </c:pt>
                <c:pt idx="60">
                  <c:v>7.6427145773834679</c:v>
                </c:pt>
                <c:pt idx="61">
                  <c:v>8.3965802310872597</c:v>
                </c:pt>
                <c:pt idx="62">
                  <c:v>9.2247826604058449</c:v>
                </c:pt>
                <c:pt idx="63">
                  <c:v>10.134647186559638</c:v>
                </c:pt>
                <c:pt idx="64">
                  <c:v>11.134219983465774</c:v>
                </c:pt>
                <c:pt idx="65">
                  <c:v>12.232338806297427</c:v>
                </c:pt>
                <c:pt idx="66">
                  <c:v>13.438710616821728</c:v>
                </c:pt>
                <c:pt idx="67">
                  <c:v>14.763996769111341</c:v>
                </c:pt>
                <c:pt idx="68">
                  <c:v>16.219906481217627</c:v>
                </c:pt>
                <c:pt idx="69">
                  <c:v>17.819299385786515</c:v>
                </c:pt>
                <c:pt idx="70">
                  <c:v>19.576298025778087</c:v>
                </c:pt>
                <c:pt idx="71">
                  <c:v>21.50641124081163</c:v>
                </c:pt>
                <c:pt idx="72">
                  <c:v>23.626669475597094</c:v>
                </c:pt>
                <c:pt idx="73">
                  <c:v>25.955773134824707</c:v>
                </c:pt>
                <c:pt idx="74">
                  <c:v>28.514255209147787</c:v>
                </c:pt>
                <c:pt idx="75">
                  <c:v>31.324659504865529</c:v>
                </c:pt>
                <c:pt idx="76">
                  <c:v>34.411735925909312</c:v>
                </c:pt>
                <c:pt idx="77">
                  <c:v>37.802654381017042</c:v>
                </c:pt>
                <c:pt idx="78">
                  <c:v>41.527239021722743</c:v>
                </c:pt>
                <c:pt idx="79">
                  <c:v>45.618224658060598</c:v>
                </c:pt>
                <c:pt idx="80">
                  <c:v>50.111537348605751</c:v>
                </c:pt>
                <c:pt idx="81">
                  <c:v>55.046601319380372</c:v>
                </c:pt>
                <c:pt idx="82">
                  <c:v>60.466674531730973</c:v>
                </c:pt>
                <c:pt idx="83">
                  <c:v>66.419215391711546</c:v>
                </c:pt>
                <c:pt idx="84">
                  <c:v>72.956283271577448</c:v>
                </c:pt>
                <c:pt idx="85">
                  <c:v>80.134975696015303</c:v>
                </c:pt>
                <c:pt idx="86">
                  <c:v>88.017905229411085</c:v>
                </c:pt>
                <c:pt idx="87">
                  <c:v>96.67371928276458</c:v>
                </c:pt>
                <c:pt idx="88">
                  <c:v>106.17766623586168</c:v>
                </c:pt>
                <c:pt idx="89">
                  <c:v>116.61221143699018</c:v>
                </c:pt>
                <c:pt idx="90">
                  <c:v>128.06770679247441</c:v>
                </c:pt>
                <c:pt idx="91">
                  <c:v>140.64311778365564</c:v>
                </c:pt>
                <c:pt idx="92">
                  <c:v>154.44681183978892</c:v>
                </c:pt>
                <c:pt idx="93">
                  <c:v>169.59741203950534</c:v>
                </c:pt>
                <c:pt idx="94">
                  <c:v>186.22472009613983</c:v>
                </c:pt>
                <c:pt idx="95">
                  <c:v>204.4707124852732</c:v>
                </c:pt>
                <c:pt idx="96">
                  <c:v>224.49061337447381</c:v>
                </c:pt>
                <c:pt idx="97">
                  <c:v>246.45404768924203</c:v>
                </c:pt>
                <c:pt idx="98">
                  <c:v>270.54627716430662</c:v>
                </c:pt>
                <c:pt idx="99">
                  <c:v>296.96952154860713</c:v>
                </c:pt>
                <c:pt idx="100">
                  <c:v>325.94436621182979</c:v>
                </c:pt>
                <c:pt idx="101">
                  <c:v>357.71125618907337</c:v>
                </c:pt>
                <c:pt idx="102">
                  <c:v>392.53207513867738</c:v>
                </c:pt>
                <c:pt idx="103">
                  <c:v>430.69180570790473</c:v>
                </c:pt>
                <c:pt idx="104">
                  <c:v>472.50026532379161</c:v>
                </c:pt>
                <c:pt idx="105">
                  <c:v>518.29390836358834</c:v>
                </c:pt>
                <c:pt idx="106">
                  <c:v>568.43768191207369</c:v>
                </c:pt>
                <c:pt idx="107">
                  <c:v>623.32691777299931</c:v>
                </c:pt>
                <c:pt idx="108">
                  <c:v>683.38923795167364</c:v>
                </c:pt>
                <c:pt idx="109">
                  <c:v>749.08644434139353</c:v>
                </c:pt>
                <c:pt idx="110">
                  <c:v>820.91635570136248</c:v>
                </c:pt>
                <c:pt idx="111">
                  <c:v>899.41454608382253</c:v>
                </c:pt>
                <c:pt idx="112">
                  <c:v>985.15592853971896</c:v>
                </c:pt>
                <c:pt idx="113">
                  <c:v>1078.7561161131111</c:v>
                </c:pt>
                <c:pt idx="114">
                  <c:v>1180.8724787684373</c:v>
                </c:pt>
                <c:pt idx="115">
                  <c:v>1292.204799980394</c:v>
                </c:pt>
                <c:pt idx="116">
                  <c:v>1413.4954203315799</c:v>
                </c:pt>
                <c:pt idx="117">
                  <c:v>1545.5287377953923</c:v>
                </c:pt>
                <c:pt idx="118">
                  <c:v>1689.1299157636133</c:v>
                </c:pt>
                <c:pt idx="119">
                  <c:v>1845.1626308300636</c:v>
                </c:pt>
                <c:pt idx="120">
                  <c:v>2014.5256736194958</c:v>
                </c:pt>
                <c:pt idx="121">
                  <c:v>2198.148198597205</c:v>
                </c:pt>
                <c:pt idx="122">
                  <c:v>2396.9834041907015</c:v>
                </c:pt>
                <c:pt idx="123">
                  <c:v>2612.0004144667923</c:v>
                </c:pt>
                <c:pt idx="124">
                  <c:v>2844.1741302219439</c:v>
                </c:pt>
                <c:pt idx="125">
                  <c:v>3094.4728232789794</c:v>
                </c:pt>
                <c:pt idx="126">
                  <c:v>3363.8432660640815</c:v>
                </c:pt>
                <c:pt idx="127">
                  <c:v>3653.1932225192386</c:v>
                </c:pt>
                <c:pt idx="128">
                  <c:v>3963.3711796211223</c:v>
                </c:pt>
                <c:pt idx="129">
                  <c:v>4295.143274701617</c:v>
                </c:pt>
                <c:pt idx="130">
                  <c:v>4649.1674754616579</c:v>
                </c:pt>
                <c:pt idx="131">
                  <c:v>5025.9651992237114</c:v>
                </c:pt>
                <c:pt idx="132">
                  <c:v>5425.8907162997521</c:v>
                </c:pt>
                <c:pt idx="133">
                  <c:v>5849.0988679337752</c:v>
                </c:pt>
                <c:pt idx="134">
                  <c:v>6295.5118378059278</c:v>
                </c:pt>
                <c:pt idx="135">
                  <c:v>6764.7859396799113</c:v>
                </c:pt>
                <c:pt idx="136">
                  <c:v>7256.2796104414101</c:v>
                </c:pt>
                <c:pt idx="137">
                  <c:v>7769.0240111679423</c:v>
                </c:pt>
                <c:pt idx="138">
                  <c:v>8301.6978185457392</c:v>
                </c:pt>
                <c:pt idx="139">
                  <c:v>8852.6079112710177</c:v>
                </c:pt>
                <c:pt idx="140">
                  <c:v>9419.6776959078379</c:v>
                </c:pt>
                <c:pt idx="141">
                  <c:v>10000.444749915283</c:v>
                </c:pt>
                <c:pt idx="142">
                  <c:v>10592.069266371303</c:v>
                </c:pt>
                <c:pt idx="143">
                  <c:v>11191.354453448013</c:v>
                </c:pt>
                <c:pt idx="144">
                  <c:v>11794.779571697038</c:v>
                </c:pt>
                <c:pt idx="145">
                  <c:v>12398.545698043154</c:v>
                </c:pt>
                <c:pt idx="146">
                  <c:v>12998.633617571868</c:v>
                </c:pt>
                <c:pt idx="147">
                  <c:v>13590.872508876178</c:v>
                </c:pt>
                <c:pt idx="148">
                  <c:v>14171.01736465218</c:v>
                </c:pt>
                <c:pt idx="149">
                  <c:v>14734.832442213459</c:v>
                </c:pt>
                <c:pt idx="150">
                  <c:v>15278.177533924727</c:v>
                </c:pt>
                <c:pt idx="151">
                  <c:v>15797.093541427663</c:v>
                </c:pt>
                <c:pt idx="152">
                  <c:v>16287.883768836424</c:v>
                </c:pt>
                <c:pt idx="153">
                  <c:v>16747.187534103039</c:v>
                </c:pt>
                <c:pt idx="154">
                  <c:v>17172.043123059033</c:v>
                </c:pt>
                <c:pt idx="155">
                  <c:v>17559.937739877198</c:v>
                </c:pt>
                <c:pt idx="156">
                  <c:v>17908.842882307454</c:v>
                </c:pt>
                <c:pt idx="157">
                  <c:v>18217.234418073909</c:v>
                </c:pt>
                <c:pt idx="158">
                  <c:v>18484.097484451941</c:v>
                </c:pt>
                <c:pt idx="159">
                  <c:v>18708.917106102086</c:v>
                </c:pt>
                <c:pt idx="160">
                  <c:v>18891.656070158464</c:v>
                </c:pt>
                <c:pt idx="161">
                  <c:v>19032.722074631598</c:v>
                </c:pt>
                <c:pt idx="162">
                  <c:v>19132.92645951419</c:v>
                </c:pt>
                <c:pt idx="163">
                  <c:v>19193.436942454482</c:v>
                </c:pt>
                <c:pt idx="164">
                  <c:v>19215.726731614726</c:v>
                </c:pt>
                <c:pt idx="165">
                  <c:v>19201.522207775677</c:v>
                </c:pt>
                <c:pt idx="166">
                  <c:v>19152.751092183506</c:v>
                </c:pt>
                <c:pt idx="167">
                  <c:v>19071.492683285433</c:v>
                </c:pt>
                <c:pt idx="168">
                  <c:v>18959.93138856575</c:v>
                </c:pt>
                <c:pt idx="169">
                  <c:v>18820.314425710148</c:v>
                </c:pt>
                <c:pt idx="170">
                  <c:v>18654.914241833441</c:v>
                </c:pt>
                <c:pt idx="171">
                  <c:v>18465.995914831394</c:v>
                </c:pt>
                <c:pt idx="172">
                  <c:v>18255.789564790855</c:v>
                </c:pt>
                <c:pt idx="173">
                  <c:v>18026.467618060917</c:v>
                </c:pt>
                <c:pt idx="174">
                  <c:v>17780.126630155577</c:v>
                </c:pt>
                <c:pt idx="175">
                  <c:v>17518.773281424128</c:v>
                </c:pt>
                <c:pt idx="176">
                  <c:v>17244.314105070745</c:v>
                </c:pt>
                <c:pt idx="177">
                  <c:v>16958.548483660044</c:v>
                </c:pt>
                <c:pt idx="178">
                  <c:v>16663.164450802124</c:v>
                </c:pt>
                <c:pt idx="179">
                  <c:v>16359.736852900165</c:v>
                </c:pt>
                <c:pt idx="180">
                  <c:v>16049.727456115254</c:v>
                </c:pt>
                <c:pt idx="181">
                  <c:v>15734.486621441405</c:v>
                </c:pt>
                <c:pt idx="182">
                  <c:v>15415.256212320255</c:v>
                </c:pt>
                <c:pt idx="183">
                  <c:v>15093.173441767347</c:v>
                </c:pt>
                <c:pt idx="184">
                  <c:v>14769.275407512167</c:v>
                </c:pt>
                <c:pt idx="185">
                  <c:v>14444.504102797284</c:v>
                </c:pt>
                <c:pt idx="186">
                  <c:v>14119.711726384854</c:v>
                </c:pt>
                <c:pt idx="187">
                  <c:v>13795.666147527752</c:v>
                </c:pt>
                <c:pt idx="188">
                  <c:v>13473.056410023077</c:v>
                </c:pt>
                <c:pt idx="189">
                  <c:v>13152.498184033724</c:v>
                </c:pt>
                <c:pt idx="190">
                  <c:v>12834.539095336855</c:v>
                </c:pt>
                <c:pt idx="191">
                  <c:v>12519.663879320708</c:v>
                </c:pt>
                <c:pt idx="192">
                  <c:v>12208.299321733974</c:v>
                </c:pt>
                <c:pt idx="193">
                  <c:v>11900.818960241651</c:v>
                </c:pt>
                <c:pt idx="194">
                  <c:v>11597.54753060089</c:v>
                </c:pt>
                <c:pt idx="195">
                  <c:v>11298.765149064717</c:v>
                </c:pt>
                <c:pt idx="196">
                  <c:v>11004.711228750646</c:v>
                </c:pt>
                <c:pt idx="197">
                  <c:v>10715.588132444222</c:v>
                </c:pt>
                <c:pt idx="198">
                  <c:v>10431.564567883201</c:v>
                </c:pt>
                <c:pt idx="199">
                  <c:v>10152.778734193649</c:v>
                </c:pt>
                <c:pt idx="200">
                  <c:v>9879.3412300033415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1C-4E0B-88A4-EA7EA70B2A5A}"/>
            </c:ext>
          </c:extLst>
        </c:ser>
        <c:ser>
          <c:idx val="2"/>
          <c:order val="2"/>
          <c:tx>
            <c:strRef>
              <c:f>'San Salvador'!$K$3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Salvador'!$C$3:$C$204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Salvador'!$K$4:$K$204</c:f>
              <c:numCache>
                <c:formatCode>0</c:formatCode>
                <c:ptCount val="201"/>
                <c:pt idx="1">
                  <c:v>3.6666666666666701E-3</c:v>
                </c:pt>
                <c:pt idx="2">
                  <c:v>4.0284441356049378E-3</c:v>
                </c:pt>
                <c:pt idx="3">
                  <c:v>4.4259169074613424E-3</c:v>
                </c:pt>
                <c:pt idx="4">
                  <c:v>4.8626069024706843E-3</c:v>
                </c:pt>
                <c:pt idx="5">
                  <c:v>5.3423835335203026E-3</c:v>
                </c:pt>
                <c:pt idx="6">
                  <c:v>5.8694979913620779E-3</c:v>
                </c:pt>
                <c:pt idx="7">
                  <c:v>6.44862091247998E-3</c:v>
                </c:pt>
                <c:pt idx="8">
                  <c:v>7.0848837633369121E-3</c:v>
                </c:pt>
                <c:pt idx="9">
                  <c:v>7.7839243076454909E-3</c:v>
                </c:pt>
                <c:pt idx="10">
                  <c:v>8.5519365594750717E-3</c:v>
                </c:pt>
                <c:pt idx="11">
                  <c:v>9.395725664741993E-3</c:v>
                </c:pt>
                <c:pt idx="12">
                  <c:v>1.0322768197283026E-2</c:v>
                </c:pt>
                <c:pt idx="13">
                  <c:v>1.1341278403670003E-2</c:v>
                </c:pt>
                <c:pt idx="14">
                  <c:v>1.2460280983610171E-2</c:v>
                </c:pt>
                <c:pt idx="15">
                  <c:v>1.3689691050658788E-2</c:v>
                </c:pt>
                <c:pt idx="16">
                  <c:v>1.5040401981558876E-2</c:v>
                </c:pt>
                <c:pt idx="17">
                  <c:v>1.6524381932380608E-2</c:v>
                </c:pt>
                <c:pt idx="18">
                  <c:v>1.8154779876376911E-2</c:v>
                </c:pt>
                <c:pt idx="19">
                  <c:v>1.9946042102780556E-2</c:v>
                </c:pt>
                <c:pt idx="20">
                  <c:v>2.1914040208386276E-2</c:v>
                </c:pt>
                <c:pt idx="21">
                  <c:v>2.407621171550741E-2</c:v>
                </c:pt>
                <c:pt idx="22">
                  <c:v>2.6451714561668244E-2</c:v>
                </c:pt>
                <c:pt idx="23">
                  <c:v>2.9061596829177638E-2</c:v>
                </c:pt>
                <c:pt idx="24">
                  <c:v>3.1928983217609549E-2</c:v>
                </c:pt>
                <c:pt idx="25">
                  <c:v>3.5079279910381574E-2</c:v>
                </c:pt>
                <c:pt idx="26">
                  <c:v>3.8540399649379171E-2</c:v>
                </c:pt>
                <c:pt idx="27">
                  <c:v>4.234300901035605E-2</c:v>
                </c:pt>
                <c:pt idx="28">
                  <c:v>4.6520800068222581E-2</c:v>
                </c:pt>
                <c:pt idx="29">
                  <c:v>5.1110788857044162E-2</c:v>
                </c:pt>
                <c:pt idx="30">
                  <c:v>5.6153643266506244E-2</c:v>
                </c:pt>
                <c:pt idx="31">
                  <c:v>6.1694043276844163E-2</c:v>
                </c:pt>
                <c:pt idx="32">
                  <c:v>6.7781076720069597E-2</c:v>
                </c:pt>
                <c:pt idx="33">
                  <c:v>7.4468674069258264E-2</c:v>
                </c:pt>
                <c:pt idx="34">
                  <c:v>8.1816086102447214E-2</c:v>
                </c:pt>
                <c:pt idx="35">
                  <c:v>8.9888408666341596E-2</c:v>
                </c:pt>
                <c:pt idx="36">
                  <c:v>9.8757159180863557E-2</c:v>
                </c:pt>
                <c:pt idx="37">
                  <c:v>0.1085009099822165</c:v>
                </c:pt>
                <c:pt idx="38">
                  <c:v>0.11920598410357312</c:v>
                </c:pt>
                <c:pt idx="39">
                  <c:v>0.130967219643085</c:v>
                </c:pt>
                <c:pt idx="40">
                  <c:v>0.14388880947344376</c:v>
                </c:pt>
                <c:pt idx="41">
                  <c:v>0.15808522371093892</c:v>
                </c:pt>
                <c:pt idx="42">
                  <c:v>0.17368222309059977</c:v>
                </c:pt>
                <c:pt idx="43">
                  <c:v>0.19081797219387012</c:v>
                </c:pt>
                <c:pt idx="44">
                  <c:v>0.20964426235322783</c:v>
                </c:pt>
                <c:pt idx="45">
                  <c:v>0.23032785502177278</c:v>
                </c:pt>
                <c:pt idx="46">
                  <c:v>0.25305195745330111</c:v>
                </c:pt>
                <c:pt idx="47">
                  <c:v>0.2780178436987914</c:v>
                </c:pt>
                <c:pt idx="48">
                  <c:v>0.30544663519839971</c:v>
                </c:pt>
                <c:pt idx="49">
                  <c:v>0.33558125664476518</c:v>
                </c:pt>
                <c:pt idx="50">
                  <c:v>0.36868858432542584</c:v>
                </c:pt>
                <c:pt idx="51">
                  <c:v>0.40506180583226292</c:v>
                </c:pt>
                <c:pt idx="52">
                  <c:v>0.44502301186811855</c:v>
                </c:pt>
                <c:pt idx="53">
                  <c:v>0.48892604290030178</c:v>
                </c:pt>
                <c:pt idx="54">
                  <c:v>0.53715961562420178</c:v>
                </c:pt>
                <c:pt idx="55">
                  <c:v>0.59015075662568939</c:v>
                </c:pt>
                <c:pt idx="56">
                  <c:v>0.64836857328800146</c:v>
                </c:pt>
                <c:pt idx="57">
                  <c:v>0.712328394898606</c:v>
                </c:pt>
                <c:pt idx="58">
                  <c:v>0.78259632009714708</c:v>
                </c:pt>
                <c:pt idx="59">
                  <c:v>0.85979421029185077</c:v>
                </c:pt>
                <c:pt idx="60">
                  <c:v>0.94460517248559805</c:v>
                </c:pt>
                <c:pt idx="61">
                  <c:v>1.0377795791231454</c:v>
                </c:pt>
                <c:pt idx="62">
                  <c:v>1.1401416771288133</c:v>
                </c:pt>
                <c:pt idx="63">
                  <c:v>1.2525968432826531</c:v>
                </c:pt>
                <c:pt idx="64">
                  <c:v>1.376139548518243</c:v>
                </c:pt>
                <c:pt idx="65">
                  <c:v>1.5118620996547396</c:v>
                </c:pt>
                <c:pt idx="66">
                  <c:v>1.6609642335397656</c:v>
                </c:pt>
                <c:pt idx="67">
                  <c:v>1.8247636456205045</c:v>
                </c:pt>
                <c:pt idx="68">
                  <c:v>2.004707542622405</c:v>
                </c:pt>
                <c:pt idx="69">
                  <c:v>2.2023853173444028</c:v>
                </c:pt>
                <c:pt idx="70">
                  <c:v>2.4195424526242606</c:v>
                </c:pt>
                <c:pt idx="71">
                  <c:v>2.6580957713362712</c:v>
                </c:pt>
                <c:pt idx="72">
                  <c:v>2.9201501599052615</c:v>
                </c:pt>
                <c:pt idx="73">
                  <c:v>3.2080169043041802</c:v>
                </c:pt>
                <c:pt idx="74">
                  <c:v>3.5242337898946738</c:v>
                </c:pt>
                <c:pt idx="75">
                  <c:v>3.8715871298148445</c:v>
                </c:pt>
                <c:pt idx="76">
                  <c:v>4.2531359009550886</c:v>
                </c:pt>
                <c:pt idx="77">
                  <c:v>4.6722381819234595</c:v>
                </c:pt>
                <c:pt idx="78">
                  <c:v>5.1325801038084347</c:v>
                </c:pt>
                <c:pt idx="79">
                  <c:v>5.6382075420074953</c:v>
                </c:pt>
                <c:pt idx="80">
                  <c:v>6.1935607958950989</c:v>
                </c:pt>
                <c:pt idx="81">
                  <c:v>6.8035125226200535</c:v>
                </c:pt>
                <c:pt idx="82">
                  <c:v>7.4734092117869819</c:v>
                </c:pt>
                <c:pt idx="83">
                  <c:v>8.2091165090879521</c:v>
                </c:pt>
                <c:pt idx="84">
                  <c:v>9.0170687189590204</c:v>
                </c:pt>
                <c:pt idx="85">
                  <c:v>9.9043228388333624</c:v>
                </c:pt>
                <c:pt idx="86">
                  <c:v>10.878617500264303</c:v>
                </c:pt>
                <c:pt idx="87">
                  <c:v>11.948437214723725</c:v>
                </c:pt>
                <c:pt idx="88">
                  <c:v>13.123082343758199</c:v>
                </c:pt>
                <c:pt idx="89">
                  <c:v>14.412745233785317</c:v>
                </c:pt>
                <c:pt idx="90">
                  <c:v>15.828592974350784</c:v>
                </c:pt>
                <c:pt idx="91">
                  <c:v>17.382857254159706</c:v>
                </c:pt>
                <c:pt idx="92">
                  <c:v>19.088931800423367</c:v>
                </c:pt>
                <c:pt idx="93">
                  <c:v>20.961477892523153</c:v>
                </c:pt>
                <c:pt idx="94">
                  <c:v>23.016538438848766</c:v>
                </c:pt>
                <c:pt idx="95">
                  <c:v>25.271661093685477</c:v>
                </c:pt>
                <c:pt idx="96">
                  <c:v>27.746030866508026</c:v>
                </c:pt>
                <c:pt idx="97">
                  <c:v>30.460612635749044</c:v>
                </c:pt>
                <c:pt idx="98">
                  <c:v>33.438303919183994</c:v>
                </c:pt>
                <c:pt idx="99">
                  <c:v>36.704098168929015</c:v>
                </c:pt>
                <c:pt idx="100">
                  <c:v>40.28525874528237</c:v>
                </c:pt>
                <c:pt idx="101">
                  <c:v>44.211503573930464</c:v>
                </c:pt>
                <c:pt idx="102">
                  <c:v>48.515200298038827</c:v>
                </c:pt>
                <c:pt idx="103">
                  <c:v>53.231571491988277</c:v>
                </c:pt>
                <c:pt idx="104">
                  <c:v>58.398909197322617</c:v>
                </c:pt>
                <c:pt idx="105">
                  <c:v>64.058797662915467</c:v>
                </c:pt>
                <c:pt idx="106">
                  <c:v>70.256342708233902</c:v>
                </c:pt>
                <c:pt idx="107">
                  <c:v>77.040405567449412</c:v>
                </c:pt>
                <c:pt idx="108">
                  <c:v>84.46383839852156</c:v>
                </c:pt>
                <c:pt idx="109">
                  <c:v>92.58371783994761</c:v>
                </c:pt>
                <c:pt idx="110">
                  <c:v>101.4615720529775</c:v>
                </c:pt>
                <c:pt idx="111">
                  <c:v>111.16359558339391</c:v>
                </c:pt>
                <c:pt idx="112">
                  <c:v>121.76084510041483</c:v>
                </c:pt>
                <c:pt idx="113">
                  <c:v>133.32940760948577</c:v>
                </c:pt>
                <c:pt idx="114">
                  <c:v>145.95053108373958</c:v>
                </c:pt>
                <c:pt idx="115">
                  <c:v>159.71070561555447</c:v>
                </c:pt>
                <c:pt idx="116">
                  <c:v>174.70168116457748</c:v>
                </c:pt>
                <c:pt idx="117">
                  <c:v>191.02040579493629</c:v>
                </c:pt>
                <c:pt idx="118">
                  <c:v>208.76886599325582</c:v>
                </c:pt>
                <c:pt idx="119">
                  <c:v>228.05380830483955</c:v>
                </c:pt>
                <c:pt idx="120">
                  <c:v>248.98631921139858</c:v>
                </c:pt>
                <c:pt idx="121">
                  <c:v>271.68123802886828</c:v>
                </c:pt>
                <c:pt idx="122">
                  <c:v>296.25637579885108</c:v>
                </c:pt>
                <c:pt idx="123">
                  <c:v>322.83151190039035</c:v>
                </c:pt>
                <c:pt idx="124">
                  <c:v>351.52713969035295</c:v>
                </c:pt>
                <c:pt idx="125">
                  <c:v>382.46293321425622</c:v>
                </c:pt>
                <c:pt idx="126">
                  <c:v>415.75590928881951</c:v>
                </c:pt>
                <c:pt idx="127">
                  <c:v>451.5182634574345</c:v>
                </c:pt>
                <c:pt idx="128">
                  <c:v>489.85486489699309</c:v>
                </c:pt>
                <c:pt idx="129">
                  <c:v>530.86040473840262</c:v>
                </c:pt>
                <c:pt idx="130">
                  <c:v>574.61620483234026</c:v>
                </c:pt>
                <c:pt idx="131">
                  <c:v>621.18671001641451</c:v>
                </c:pt>
                <c:pt idx="132">
                  <c:v>670.61570650895885</c:v>
                </c:pt>
                <c:pt idx="133">
                  <c:v>722.92233199181567</c:v>
                </c:pt>
                <c:pt idx="134">
                  <c:v>778.09696871758729</c:v>
                </c:pt>
                <c:pt idx="135">
                  <c:v>836.0971386121247</c:v>
                </c:pt>
                <c:pt idx="136">
                  <c:v>896.84354735792806</c:v>
                </c:pt>
                <c:pt idx="137">
                  <c:v>960.21645081851068</c:v>
                </c:pt>
                <c:pt idx="138">
                  <c:v>1026.0525393708228</c:v>
                </c:pt>
                <c:pt idx="139">
                  <c:v>1094.1425508312504</c:v>
                </c:pt>
                <c:pt idx="140">
                  <c:v>1164.2298275841163</c:v>
                </c:pt>
                <c:pt idx="141">
                  <c:v>1236.0100252704294</c:v>
                </c:pt>
                <c:pt idx="142">
                  <c:v>1309.132156517803</c:v>
                </c:pt>
                <c:pt idx="143">
                  <c:v>1383.2011122239132</c:v>
                </c:pt>
                <c:pt idx="144">
                  <c:v>1457.7817448164894</c:v>
                </c:pt>
                <c:pt idx="145">
                  <c:v>1532.4045244772453</c:v>
                </c:pt>
                <c:pt idx="146">
                  <c:v>1606.5726943066368</c:v>
                </c:pt>
                <c:pt idx="147">
                  <c:v>1679.7707595240238</c:v>
                </c:pt>
                <c:pt idx="148">
                  <c:v>1751.4740563053272</c:v>
                </c:pt>
                <c:pt idx="149">
                  <c:v>1821.1590658915529</c:v>
                </c:pt>
                <c:pt idx="150">
                  <c:v>1888.3140772266534</c:v>
                </c:pt>
                <c:pt idx="151">
                  <c:v>1952.449763547241</c:v>
                </c:pt>
                <c:pt idx="152">
                  <c:v>2013.1092298561894</c:v>
                </c:pt>
                <c:pt idx="153">
                  <c:v>2069.8771109565578</c:v>
                </c:pt>
                <c:pt idx="154">
                  <c:v>2122.3873522881972</c:v>
                </c:pt>
                <c:pt idx="155">
                  <c:v>2170.3293835803297</c:v>
                </c:pt>
                <c:pt idx="156">
                  <c:v>2213.4524910717096</c:v>
                </c:pt>
                <c:pt idx="157">
                  <c:v>2251.5682988630697</c:v>
                </c:pt>
                <c:pt idx="158">
                  <c:v>2284.5513744828263</c:v>
                </c:pt>
                <c:pt idx="159">
                  <c:v>2312.3380692935184</c:v>
                </c:pt>
                <c:pt idx="160">
                  <c:v>2334.923783952172</c:v>
                </c:pt>
                <c:pt idx="161">
                  <c:v>2352.3589081005371</c:v>
                </c:pt>
                <c:pt idx="162">
                  <c:v>2364.7437197152394</c:v>
                </c:pt>
                <c:pt idx="163">
                  <c:v>2372.2225434494326</c:v>
                </c:pt>
                <c:pt idx="164">
                  <c:v>2374.9774612108108</c:v>
                </c:pt>
                <c:pt idx="165">
                  <c:v>2373.2218459048613</c:v>
                </c:pt>
                <c:pt idx="166">
                  <c:v>2367.1939552136942</c:v>
                </c:pt>
                <c:pt idx="167">
                  <c:v>2357.1507810802241</c:v>
                </c:pt>
                <c:pt idx="168">
                  <c:v>2343.3623064519488</c:v>
                </c:pt>
                <c:pt idx="169">
                  <c:v>2326.1062773349645</c:v>
                </c:pt>
                <c:pt idx="170">
                  <c:v>2305.6635579794165</c:v>
                </c:pt>
                <c:pt idx="171">
                  <c:v>2282.3141018330957</c:v>
                </c:pt>
                <c:pt idx="172">
                  <c:v>2256.3335417157264</c:v>
                </c:pt>
                <c:pt idx="173">
                  <c:v>2227.9903797603401</c:v>
                </c:pt>
                <c:pt idx="174">
                  <c:v>2197.5437408057473</c:v>
                </c:pt>
                <c:pt idx="175">
                  <c:v>2165.2416415243329</c:v>
                </c:pt>
                <c:pt idx="176">
                  <c:v>2131.3197208514425</c:v>
                </c:pt>
                <c:pt idx="177">
                  <c:v>2096.0003743849511</c:v>
                </c:pt>
                <c:pt idx="178">
                  <c:v>2059.4922354923992</c:v>
                </c:pt>
                <c:pt idx="179">
                  <c:v>2021.9899481112584</c:v>
                </c:pt>
                <c:pt idx="180">
                  <c:v>1983.6741799693032</c:v>
                </c:pt>
                <c:pt idx="181">
                  <c:v>1944.7118296163551</c:v>
                </c:pt>
                <c:pt idx="182">
                  <c:v>1905.2563857923928</c:v>
                </c:pt>
                <c:pt idx="183">
                  <c:v>1865.4484029150672</c:v>
                </c:pt>
                <c:pt idx="184">
                  <c:v>1825.416061602629</c:v>
                </c:pt>
                <c:pt idx="185">
                  <c:v>1785.2757879861829</c:v>
                </c:pt>
                <c:pt idx="186">
                  <c:v>1745.1329100026242</c:v>
                </c:pt>
                <c:pt idx="187">
                  <c:v>1705.0823328405104</c:v>
                </c:pt>
                <c:pt idx="188">
                  <c:v>1665.2092192163368</c:v>
                </c:pt>
                <c:pt idx="189">
                  <c:v>1625.5896631951809</c:v>
                </c:pt>
                <c:pt idx="190">
                  <c:v>1586.2913488618601</c:v>
                </c:pt>
                <c:pt idx="191">
                  <c:v>1547.3741873317745</c:v>
                </c:pt>
                <c:pt idx="192">
                  <c:v>1508.8909274053242</c:v>
                </c:pt>
                <c:pt idx="193">
                  <c:v>1470.8877366590821</c:v>
                </c:pt>
                <c:pt idx="194">
                  <c:v>1433.4047509731452</c:v>
                </c:pt>
                <c:pt idx="195">
                  <c:v>1396.4765914574384</c:v>
                </c:pt>
                <c:pt idx="196">
                  <c:v>1360.1328484972723</c:v>
                </c:pt>
                <c:pt idx="197">
                  <c:v>1324.3985332234445</c:v>
                </c:pt>
                <c:pt idx="198">
                  <c:v>1289.2944971541046</c:v>
                </c:pt>
                <c:pt idx="199">
                  <c:v>1254.8378210801152</c:v>
                </c:pt>
                <c:pt idx="200">
                  <c:v>1221.0421744947962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1C-4E0B-88A4-EA7EA70B2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Cuscatlan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Cuscatlan!$I$3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Cuscatlan!$C$3:$C$204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Cuscatlan!$I$4:$I$204</c:f>
              <c:numCache>
                <c:formatCode>0</c:formatCode>
                <c:ptCount val="201"/>
                <c:pt idx="1">
                  <c:v>0.13199931531363304</c:v>
                </c:pt>
                <c:pt idx="2">
                  <c:v>0.14502306084260422</c:v>
                </c:pt>
                <c:pt idx="3">
                  <c:v>0.15933177428084716</c:v>
                </c:pt>
                <c:pt idx="4">
                  <c:v>0.175052230213944</c:v>
                </c:pt>
                <c:pt idx="5">
                  <c:v>0.19232370977866034</c:v>
                </c:pt>
                <c:pt idx="6">
                  <c:v>0.21129923425168284</c:v>
                </c:pt>
                <c:pt idx="7">
                  <c:v>0.2321469202712125</c:v>
                </c:pt>
                <c:pt idx="8">
                  <c:v>0.25505146867567774</c:v>
                </c:pt>
                <c:pt idx="9">
                  <c:v>0.28021580012278491</c:v>
                </c:pt>
                <c:pt idx="10">
                  <c:v>0.30786285194668467</c:v>
                </c:pt>
                <c:pt idx="11">
                  <c:v>0.33823755213244561</c:v>
                </c:pt>
                <c:pt idx="12">
                  <c:v>0.37160898784763785</c:v>
                </c:pt>
                <c:pt idx="13">
                  <c:v>0.40827278768414199</c:v>
                </c:pt>
                <c:pt idx="14">
                  <c:v>0.448553738644137</c:v>
                </c:pt>
                <c:pt idx="15">
                  <c:v>0.4928086609687688</c:v>
                </c:pt>
                <c:pt idx="16">
                  <c:v>0.54142956617402815</c:v>
                </c:pt>
                <c:pt idx="17">
                  <c:v>0.59484712614527557</c:v>
                </c:pt>
                <c:pt idx="18">
                  <c:v>0.65353448387087176</c:v>
                </c:pt>
                <c:pt idx="19">
                  <c:v>0.7180114393897461</c:v>
                </c:pt>
                <c:pt idx="20">
                  <c:v>0.7888490478127923</c:v>
                </c:pt>
                <c:pt idx="21">
                  <c:v>0.8666746698814598</c:v>
                </c:pt>
                <c:pt idx="22">
                  <c:v>0.95217751947901774</c:v>
                </c:pt>
                <c:pt idx="23">
                  <c:v>1.0461147568436915</c:v>
                </c:pt>
                <c:pt idx="24">
                  <c:v>1.1493181809841322</c:v>
                </c:pt>
                <c:pt idx="25">
                  <c:v>1.2627015800055963</c:v>
                </c:pt>
                <c:pt idx="26">
                  <c:v>1.3872688037623537</c:v>
                </c:pt>
                <c:pt idx="27">
                  <c:v>1.5241226295043964</c:v>
                </c:pt>
                <c:pt idx="28">
                  <c:v>1.6744744980347066</c:v>
                </c:pt>
                <c:pt idx="29">
                  <c:v>1.8396552053914981</c:v>
                </c:pt>
                <c:pt idx="30">
                  <c:v>2.0211266432767707</c:v>
                </c:pt>
                <c:pt idx="31">
                  <c:v>2.2204946904318161</c:v>
                </c:pt>
                <c:pt idx="32">
                  <c:v>2.4395233669803638</c:v>
                </c:pt>
                <c:pt idx="33">
                  <c:v>2.680150374494616</c:v>
                </c:pt>
                <c:pt idx="34">
                  <c:v>2.9445041562673895</c:v>
                </c:pt>
                <c:pt idx="35">
                  <c:v>3.2349226250795038</c:v>
                </c:pt>
                <c:pt idx="36">
                  <c:v>3.5539737197254775</c:v>
                </c:pt>
                <c:pt idx="37">
                  <c:v>3.9044779667980056</c:v>
                </c:pt>
                <c:pt idx="38">
                  <c:v>4.2895332408336495</c:v>
                </c:pt>
                <c:pt idx="39">
                  <c:v>4.7125419339946966</c:v>
                </c:pt>
                <c:pt idx="40">
                  <c:v>5.1772407661159168</c:v>
                </c:pt>
                <c:pt idx="41">
                  <c:v>5.6877334872945191</c:v>
                </c:pt>
                <c:pt idx="42">
                  <c:v>6.24852674836439</c:v>
                </c:pt>
                <c:pt idx="43">
                  <c:v>6.8645694396905226</c:v>
                </c:pt>
                <c:pt idx="44">
                  <c:v>7.5412958258645517</c:v>
                </c:pt>
                <c:pt idx="45">
                  <c:v>8.2846728331928414</c:v>
                </c:pt>
                <c:pt idx="46">
                  <c:v>9.1012518784534713</c:v>
                </c:pt>
                <c:pt idx="47">
                  <c:v>9.9982256613561855</c:v>
                </c:pt>
                <c:pt idx="48">
                  <c:v>10.983490379552522</c:v>
                </c:pt>
                <c:pt idx="49">
                  <c:v>12.065713863972229</c:v>
                </c:pt>
                <c:pt idx="50">
                  <c:v>13.254410173736428</c:v>
                </c:pt>
                <c:pt idx="51">
                  <c:v>14.560021233906209</c:v>
                </c:pt>
                <c:pt idx="52">
                  <c:v>15.994006145803105</c:v>
                </c:pt>
                <c:pt idx="53">
                  <c:v>17.568938848450482</c:v>
                </c:pt>
                <c:pt idx="54">
                  <c:v>19.298614860611174</c:v>
                </c:pt>
                <c:pt idx="55">
                  <c:v>21.198167885602508</c:v>
                </c:pt>
                <c:pt idx="56">
                  <c:v>23.284197115083348</c:v>
                </c:pt>
                <c:pt idx="57">
                  <c:v>25.574906122682751</c:v>
                </c:pt>
                <c:pt idx="58">
                  <c:v>28.090254292816663</c:v>
                </c:pt>
                <c:pt idx="59">
                  <c:v>30.852121783194463</c:v>
                </c:pt>
                <c:pt idx="60">
                  <c:v>33.884489069907325</c:v>
                </c:pt>
                <c:pt idx="61">
                  <c:v>37.213632169777718</c:v>
                </c:pt>
                <c:pt idx="62">
                  <c:v>40.868334673524288</c:v>
                </c:pt>
                <c:pt idx="63">
                  <c:v>44.880117752375888</c:v>
                </c:pt>
                <c:pt idx="64">
                  <c:v>49.283489316481457</c:v>
                </c:pt>
                <c:pt idx="65">
                  <c:v>54.116213501416404</c:v>
                </c:pt>
                <c:pt idx="66">
                  <c:v>59.419601633911796</c:v>
                </c:pt>
                <c:pt idx="67">
                  <c:v>65.238825773095456</c:v>
                </c:pt>
                <c:pt idx="68">
                  <c:v>71.623255831139389</c:v>
                </c:pt>
                <c:pt idx="69">
                  <c:v>78.626821137750511</c:v>
                </c:pt>
                <c:pt idx="70">
                  <c:v>86.308397115052671</c:v>
                </c:pt>
                <c:pt idx="71">
                  <c:v>94.732217459547527</c:v>
                </c:pt>
                <c:pt idx="72">
                  <c:v>103.96831186998882</c:v>
                </c:pt>
                <c:pt idx="73">
                  <c:v>114.09296889529323</c:v>
                </c:pt>
                <c:pt idx="74">
                  <c:v>125.18922288299022</c:v>
                </c:pt>
                <c:pt idx="75">
                  <c:v>137.3473632605527</c:v>
                </c:pt>
                <c:pt idx="76">
                  <c:v>150.66546344973025</c:v>
                </c:pt>
                <c:pt idx="77">
                  <c:v>165.24992556397609</c:v>
                </c:pt>
                <c:pt idx="78">
                  <c:v>181.21603563306485</c:v>
                </c:pt>
                <c:pt idx="79">
                  <c:v>198.68852239438556</c:v>
                </c:pt>
                <c:pt idx="80">
                  <c:v>217.80211064018803</c:v>
                </c:pt>
                <c:pt idx="81">
                  <c:v>238.70205766342593</c:v>
                </c:pt>
                <c:pt idx="82">
                  <c:v>261.54465844804315</c:v>
                </c:pt>
                <c:pt idx="83">
                  <c:v>286.49770184749536</c:v>
                </c:pt>
                <c:pt idx="84">
                  <c:v>313.74085603395764</c:v>
                </c:pt>
                <c:pt idx="85">
                  <c:v>343.46595693054672</c:v>
                </c:pt>
                <c:pt idx="86">
                  <c:v>375.87716811995034</c:v>
                </c:pt>
                <c:pt idx="87">
                  <c:v>411.19097483117554</c:v>
                </c:pt>
                <c:pt idx="88">
                  <c:v>449.63596804271248</c:v>
                </c:pt>
                <c:pt idx="89">
                  <c:v>491.45236754264846</c:v>
                </c:pt>
                <c:pt idx="90">
                  <c:v>536.89122504233717</c:v>
                </c:pt>
                <c:pt idx="91">
                  <c:v>586.21324030696076</c:v>
                </c:pt>
                <c:pt idx="92">
                  <c:v>639.68711499060726</c:v>
                </c:pt>
                <c:pt idx="93">
                  <c:v>697.58736080730444</c:v>
                </c:pt>
                <c:pt idx="94">
                  <c:v>760.19147133798788</c:v>
                </c:pt>
                <c:pt idx="95">
                  <c:v>827.77636084522226</c:v>
                </c:pt>
                <c:pt idx="96">
                  <c:v>900.61396982473013</c:v>
                </c:pt>
                <c:pt idx="97">
                  <c:v>978.96593677801241</c:v>
                </c:pt>
                <c:pt idx="98">
                  <c:v>1063.0772402054083</c:v>
                </c:pt>
                <c:pt idx="99">
                  <c:v>1153.1687257087917</c:v>
                </c:pt>
                <c:pt idx="100">
                  <c:v>1249.4284522056705</c:v>
                </c:pt>
                <c:pt idx="101">
                  <c:v>1352.0018206170207</c:v>
                </c:pt>
                <c:pt idx="102">
                  <c:v>1460.9804900979843</c:v>
                </c:pt>
                <c:pt idx="103">
                  <c:v>1576.3901429371529</c:v>
                </c:pt>
                <c:pt idx="104">
                  <c:v>1698.1772313202005</c:v>
                </c:pt>
                <c:pt idx="105">
                  <c:v>1826.1949282284552</c:v>
                </c:pt>
                <c:pt idx="106">
                  <c:v>1960.1886107181745</c:v>
                </c:pt>
                <c:pt idx="107">
                  <c:v>2099.7813249991268</c:v>
                </c:pt>
                <c:pt idx="108">
                  <c:v>2244.4598152486637</c:v>
                </c:pt>
                <c:pt idx="109">
                  <c:v>2393.5618354140306</c:v>
                </c:pt>
                <c:pt idx="110">
                  <c:v>2546.2655956892277</c:v>
                </c:pt>
                <c:pt idx="111">
                  <c:v>2701.5823098665201</c:v>
                </c:pt>
                <c:pt idx="112">
                  <c:v>2858.3528901252266</c:v>
                </c:pt>
                <c:pt idx="113">
                  <c:v>3015.2498633116707</c:v>
                </c:pt>
                <c:pt idx="114">
                  <c:v>3170.7855375791733</c:v>
                </c:pt>
                <c:pt idx="115">
                  <c:v>3323.3273116956589</c:v>
                </c:pt>
                <c:pt idx="116">
                  <c:v>3471.1207767441206</c:v>
                </c:pt>
                <c:pt idx="117">
                  <c:v>3612.3209042595099</c:v>
                </c:pt>
                <c:pt idx="118">
                  <c:v>3745.031150205647</c:v>
                </c:pt>
                <c:pt idx="119">
                  <c:v>3867.3497491157432</c:v>
                </c:pt>
                <c:pt idx="120">
                  <c:v>3977.4218619457779</c:v>
                </c:pt>
                <c:pt idx="121">
                  <c:v>4073.4956253893433</c:v>
                </c:pt>
                <c:pt idx="122">
                  <c:v>4153.979593012391</c:v>
                </c:pt>
                <c:pt idx="123">
                  <c:v>4217.4986295075914</c:v>
                </c:pt>
                <c:pt idx="124">
                  <c:v>4262.9450859715307</c:v>
                </c:pt>
                <c:pt idx="125">
                  <c:v>4289.5221003545512</c:v>
                </c:pt>
                <c:pt idx="126">
                  <c:v>4296.7761631053118</c:v>
                </c:pt>
                <c:pt idx="127">
                  <c:v>4284.6166611934632</c:v>
                </c:pt>
                <c:pt idx="128">
                  <c:v>4253.3209256392256</c:v>
                </c:pt>
                <c:pt idx="129">
                  <c:v>4203.5242858378369</c:v>
                </c:pt>
                <c:pt idx="130">
                  <c:v>4136.1956800769685</c:v>
                </c:pt>
                <c:pt idx="131">
                  <c:v>4052.6003752796464</c:v>
                </c:pt>
                <c:pt idx="132">
                  <c:v>3954.2522038572142</c:v>
                </c:pt>
                <c:pt idx="133">
                  <c:v>3842.8583453072374</c:v>
                </c:pt>
                <c:pt idx="134">
                  <c:v>3720.2600108014481</c:v>
                </c:pt>
                <c:pt idx="135">
                  <c:v>3588.3724151019901</c:v>
                </c:pt>
                <c:pt idx="136">
                  <c:v>3449.1271645178736</c:v>
                </c:pt>
                <c:pt idx="137">
                  <c:v>3304.4197064955156</c:v>
                </c:pt>
                <c:pt idx="138">
                  <c:v>3156.0638503675218</c:v>
                </c:pt>
                <c:pt idx="139">
                  <c:v>3005.7546617189896</c:v>
                </c:pt>
                <c:pt idx="140">
                  <c:v>2855.0403320509267</c:v>
                </c:pt>
                <c:pt idx="141">
                  <c:v>2705.3029942399844</c:v>
                </c:pt>
                <c:pt idx="142">
                  <c:v>2557.7479366355233</c:v>
                </c:pt>
                <c:pt idx="143">
                  <c:v>2413.4002875689621</c:v>
                </c:pt>
                <c:pt idx="144">
                  <c:v>2273.1080016261326</c:v>
                </c:pt>
                <c:pt idx="145">
                  <c:v>2137.5498683003034</c:v>
                </c:pt>
                <c:pt idx="146">
                  <c:v>2007.2472616598166</c:v>
                </c:pt>
                <c:pt idx="147">
                  <c:v>1882.5784304608671</c:v>
                </c:pt>
                <c:pt idx="148">
                  <c:v>1763.7942649185591</c:v>
                </c:pt>
                <c:pt idx="149">
                  <c:v>1651.034644568781</c:v>
                </c:pt>
                <c:pt idx="150">
                  <c:v>1544.344650873046</c:v>
                </c:pt>
                <c:pt idx="151">
                  <c:v>1443.6901029179849</c:v>
                </c:pt>
                <c:pt idx="152">
                  <c:v>1348.9720341268999</c:v>
                </c:pt>
                <c:pt idx="153">
                  <c:v>1260.0398660804597</c:v>
                </c:pt>
                <c:pt idx="154">
                  <c:v>1176.7031496212383</c:v>
                </c:pt>
                <c:pt idx="155">
                  <c:v>1098.7418333038668</c:v>
                </c:pt>
                <c:pt idx="156">
                  <c:v>1025.9150866314872</c:v>
                </c:pt>
                <c:pt idx="157">
                  <c:v>957.96875311523297</c:v>
                </c:pt>
                <c:pt idx="158">
                  <c:v>894.64153920618958</c:v>
                </c:pt>
                <c:pt idx="159">
                  <c:v>835.6700628441032</c:v>
                </c:pt>
                <c:pt idx="160">
                  <c:v>780.79289280717694</c:v>
                </c:pt>
                <c:pt idx="161">
                  <c:v>729.75370993996376</c:v>
                </c:pt>
                <c:pt idx="162">
                  <c:v>682.30371596410293</c:v>
                </c:pt>
                <c:pt idx="163">
                  <c:v>638.20340678749869</c:v>
                </c:pt>
                <c:pt idx="164">
                  <c:v>597.22381646224278</c:v>
                </c:pt>
                <c:pt idx="165">
                  <c:v>559.14732628167815</c:v>
                </c:pt>
                <c:pt idx="166">
                  <c:v>523.76812173122983</c:v>
                </c:pt>
                <c:pt idx="167">
                  <c:v>490.89236864924959</c:v>
                </c:pt>
                <c:pt idx="168">
                  <c:v>460.33816935405684</c:v>
                </c:pt>
                <c:pt idx="169">
                  <c:v>431.93534984674227</c:v>
                </c:pt>
                <c:pt idx="170">
                  <c:v>405.52512059459195</c:v>
                </c:pt>
                <c:pt idx="171">
                  <c:v>380.95964585051485</c:v>
                </c:pt>
                <c:pt idx="172">
                  <c:v>358.1015499326229</c:v>
                </c:pt>
                <c:pt idx="173">
                  <c:v>336.82338330660434</c:v>
                </c:pt>
                <c:pt idx="174">
                  <c:v>317.00706659565992</c:v>
                </c:pt>
                <c:pt idx="175">
                  <c:v>298.54332669481431</c:v>
                </c:pt>
                <c:pt idx="176">
                  <c:v>281.33113589384016</c:v>
                </c:pt>
                <c:pt idx="177">
                  <c:v>265.27716222501203</c:v>
                </c:pt>
                <c:pt idx="178">
                  <c:v>250.29523706402446</c:v>
                </c:pt>
                <c:pt idx="179">
                  <c:v>236.30584424814271</c:v>
                </c:pt>
                <c:pt idx="180">
                  <c:v>223.23563356695064</c:v>
                </c:pt>
                <c:pt idx="181">
                  <c:v>211.0169603683224</c:v>
                </c:pt>
                <c:pt idx="182">
                  <c:v>199.58745215395763</c:v>
                </c:pt>
                <c:pt idx="183">
                  <c:v>188.88960237090984</c:v>
                </c:pt>
                <c:pt idx="184">
                  <c:v>178.87039110067471</c:v>
                </c:pt>
                <c:pt idx="185">
                  <c:v>169.4809319741978</c:v>
                </c:pt>
                <c:pt idx="186">
                  <c:v>160.67614437345293</c:v>
                </c:pt>
                <c:pt idx="187">
                  <c:v>152.41444979633368</c:v>
                </c:pt>
                <c:pt idx="188">
                  <c:v>144.65749114365846</c:v>
                </c:pt>
                <c:pt idx="189">
                  <c:v>137.36987362050405</c:v>
                </c:pt>
                <c:pt idx="190">
                  <c:v>130.51892591699399</c:v>
                </c:pt>
                <c:pt idx="191">
                  <c:v>124.07448033648033</c:v>
                </c:pt>
                <c:pt idx="192">
                  <c:v>118.00867056407397</c:v>
                </c:pt>
                <c:pt idx="193">
                  <c:v>112.29574580956158</c:v>
                </c:pt>
                <c:pt idx="194">
                  <c:v>106.9119001110341</c:v>
                </c:pt>
                <c:pt idx="195">
                  <c:v>101.83511564523427</c:v>
                </c:pt>
                <c:pt idx="196">
                  <c:v>97.045018954738012</c:v>
                </c:pt>
                <c:pt idx="197">
                  <c:v>92.522749068343629</c:v>
                </c:pt>
                <c:pt idx="198">
                  <c:v>88.25083655772211</c:v>
                </c:pt>
                <c:pt idx="199">
                  <c:v>84.213092639199118</c:v>
                </c:pt>
                <c:pt idx="200">
                  <c:v>80.394507493553974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F9-4669-AA8B-2F6C217378AA}"/>
            </c:ext>
          </c:extLst>
        </c:ser>
        <c:ser>
          <c:idx val="1"/>
          <c:order val="1"/>
          <c:tx>
            <c:strRef>
              <c:f>Cuscatlan!$J$3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Cuscatlan!$C$3:$C$204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Cuscatlan!$J$4:$J$204</c:f>
              <c:numCache>
                <c:formatCode>0</c:formatCode>
                <c:ptCount val="201"/>
                <c:pt idx="1">
                  <c:v>2.9666666666666664E-2</c:v>
                </c:pt>
                <c:pt idx="2">
                  <c:v>3.2593757465415547E-2</c:v>
                </c:pt>
                <c:pt idx="3">
                  <c:v>3.5809649688232283E-2</c:v>
                </c:pt>
                <c:pt idx="4">
                  <c:v>3.9342837335623007E-2</c:v>
                </c:pt>
                <c:pt idx="5">
                  <c:v>4.3224625587449238E-2</c:v>
                </c:pt>
                <c:pt idx="6">
                  <c:v>4.7489408124634515E-2</c:v>
                </c:pt>
                <c:pt idx="7">
                  <c:v>5.217497180327995E-2</c:v>
                </c:pt>
                <c:pt idx="8">
                  <c:v>5.7322831377883264E-2</c:v>
                </c:pt>
                <c:pt idx="9">
                  <c:v>6.2978597235998912E-2</c:v>
                </c:pt>
                <c:pt idx="10">
                  <c:v>6.919237939844157E-2</c:v>
                </c:pt>
                <c:pt idx="11">
                  <c:v>7.6019231359578499E-2</c:v>
                </c:pt>
                <c:pt idx="12">
                  <c:v>8.3519637694188423E-2</c:v>
                </c:pt>
                <c:pt idx="13">
                  <c:v>9.1760049743862065E-2</c:v>
                </c:pt>
                <c:pt idx="14">
                  <c:v>0.10081347412036289</c:v>
                </c:pt>
                <c:pt idx="15">
                  <c:v>0.11076011922946019</c:v>
                </c:pt>
                <c:pt idx="16">
                  <c:v>0.12168810553055165</c:v>
                </c:pt>
                <c:pt idx="17">
                  <c:v>0.13369424580936279</c:v>
                </c:pt>
                <c:pt idx="18">
                  <c:v>0.14688490235802723</c:v>
                </c:pt>
                <c:pt idx="19">
                  <c:v>0.16137692863426217</c:v>
                </c:pt>
                <c:pt idx="20">
                  <c:v>0.17729870371501588</c:v>
                </c:pt>
                <c:pt idx="21">
                  <c:v>0.19479126867629487</c:v>
                </c:pt>
                <c:pt idx="22">
                  <c:v>0.21400957492690167</c:v>
                </c:pt>
                <c:pt idx="23">
                  <c:v>0.23512385550721579</c:v>
                </c:pt>
                <c:pt idx="24">
                  <c:v>0.25832113144333818</c:v>
                </c:pt>
                <c:pt idx="25">
                  <c:v>0.28380686643108949</c:v>
                </c:pt>
                <c:pt idx="26">
                  <c:v>0.31180678442355247</c:v>
                </c:pt>
                <c:pt idx="27">
                  <c:v>0.34256886612105053</c:v>
                </c:pt>
                <c:pt idx="28">
                  <c:v>0.37636554192564603</c:v>
                </c:pt>
                <c:pt idx="29">
                  <c:v>0.4134961006364874</c:v>
                </c:pt>
                <c:pt idx="30">
                  <c:v>0.45428933504188562</c:v>
                </c:pt>
                <c:pt idx="31">
                  <c:v>0.49910644762436707</c:v>
                </c:pt>
                <c:pt idx="32">
                  <c:v>0.54834424185303199</c:v>
                </c:pt>
                <c:pt idx="33">
                  <c:v>0.6024386270116816</c:v>
                </c:pt>
                <c:pt idx="34">
                  <c:v>0.66186846722129922</c:v>
                </c:pt>
                <c:pt idx="35">
                  <c:v>0.72715980828318838</c:v>
                </c:pt>
                <c:pt idx="36">
                  <c:v>0.7988905192177741</c:v>
                </c:pt>
                <c:pt idx="37">
                  <c:v>0.87769538892903731</c:v>
                </c:pt>
                <c:pt idx="38">
                  <c:v>0.96427172231307712</c:v>
                </c:pt>
                <c:pt idx="39">
                  <c:v>1.0593854843807062</c:v>
                </c:pt>
                <c:pt idx="40">
                  <c:v>1.1638780456098587</c:v>
                </c:pt>
                <c:pt idx="41">
                  <c:v>1.2786735868176355</c:v>
                </c:pt>
                <c:pt idx="42">
                  <c:v>1.4047872273801185</c:v>
                </c:pt>
                <c:pt idx="43">
                  <c:v>1.5433339466689246</c:v>
                </c:pt>
                <c:pt idx="44">
                  <c:v>1.6955383751574462</c:v>
                </c:pt>
                <c:pt idx="45">
                  <c:v>1.8627455388195129</c:v>
                </c:pt>
                <c:pt idx="46">
                  <c:v>2.0464326482435835</c:v>
                </c:pt>
                <c:pt idx="47">
                  <c:v>2.248222032362917</c:v>
                </c:pt>
                <c:pt idx="48">
                  <c:v>2.4698953259043868</c:v>
                </c:pt>
                <c:pt idx="49">
                  <c:v>2.7134090296342985</c:v>
                </c:pt>
                <c:pt idx="50">
                  <c:v>2.9809115732776648</c:v>
                </c:pt>
                <c:pt idx="51">
                  <c:v>3.2747620226559233</c:v>
                </c:pt>
                <c:pt idx="52">
                  <c:v>3.5975505851732774</c:v>
                </c:pt>
                <c:pt idx="53">
                  <c:v>3.9521210813263261</c:v>
                </c:pt>
                <c:pt idx="54">
                  <c:v>4.3415955644528124</c:v>
                </c:pt>
                <c:pt idx="55">
                  <c:v>4.769401286502517</c:v>
                </c:pt>
                <c:pt idx="56">
                  <c:v>5.2393002242253068</c:v>
                </c:pt>
                <c:pt idx="57">
                  <c:v>5.7554213978319364</c:v>
                </c:pt>
                <c:pt idx="58">
                  <c:v>6.3222962328771279</c:v>
                </c:pt>
                <c:pt idx="59">
                  <c:v>6.9448972358014514</c:v>
                </c:pt>
                <c:pt idx="60">
                  <c:v>7.6286802741761708</c:v>
                </c:pt>
                <c:pt idx="61">
                  <c:v>8.3796307741108809</c:v>
                </c:pt>
                <c:pt idx="62">
                  <c:v>9.2043141693439221</c:v>
                </c:pt>
                <c:pt idx="63">
                  <c:v>10.109930959013679</c:v>
                </c:pt>
                <c:pt idx="64">
                  <c:v>11.104376753700373</c:v>
                </c:pt>
                <c:pt idx="65">
                  <c:v>12.196307711632645</c:v>
                </c:pt>
                <c:pt idx="66">
                  <c:v>13.395211788453576</c:v>
                </c:pt>
                <c:pt idx="67">
                  <c:v>14.71148624397784</c:v>
                </c:pt>
                <c:pt idx="68">
                  <c:v>16.156521867113746</c:v>
                </c:pt>
                <c:pt idx="69">
                  <c:v>17.742794394533757</c:v>
                </c:pt>
                <c:pt idx="70">
                  <c:v>19.483963608469232</c:v>
                </c:pt>
                <c:pt idx="71">
                  <c:v>21.39498060260015</c:v>
                </c:pt>
                <c:pt idx="72">
                  <c:v>23.492203700480058</c:v>
                </c:pt>
                <c:pt idx="73">
                  <c:v>25.793523495940388</c:v>
                </c:pt>
                <c:pt idx="74">
                  <c:v>28.318497456636074</c:v>
                </c:pt>
                <c:pt idx="75">
                  <c:v>31.088494486943578</c:v>
                </c:pt>
                <c:pt idx="76">
                  <c:v>34.126849780775188</c:v>
                </c:pt>
                <c:pt idx="77">
                  <c:v>37.459030203757997</c:v>
                </c:pt>
                <c:pt idx="78">
                  <c:v>41.112810322030697</c:v>
                </c:pt>
                <c:pt idx="79">
                  <c:v>45.118459035077258</c:v>
                </c:pt>
                <c:pt idx="80">
                  <c:v>49.50893656494145</c:v>
                </c:pt>
                <c:pt idx="81">
                  <c:v>54.320101295102312</c:v>
                </c:pt>
                <c:pt idx="82">
                  <c:v>59.590925629280541</c:v>
                </c:pt>
                <c:pt idx="83">
                  <c:v>65.363719642263135</c:v>
                </c:pt>
                <c:pt idx="84">
                  <c:v>71.684360808996715</c:v>
                </c:pt>
                <c:pt idx="85">
                  <c:v>78.602527511037565</c:v>
                </c:pt>
                <c:pt idx="86">
                  <c:v>86.171933316275883</c:v>
                </c:pt>
                <c:pt idx="87">
                  <c:v>94.450558193291883</c:v>
                </c:pt>
                <c:pt idx="88">
                  <c:v>103.50087184017369</c:v>
                </c:pt>
                <c:pt idx="89">
                  <c:v>113.3900431641017</c:v>
                </c:pt>
                <c:pt idx="90">
                  <c:v>124.19012862906355</c:v>
                </c:pt>
                <c:pt idx="91">
                  <c:v>135.97823068435079</c:v>
                </c:pt>
                <c:pt idx="92">
                  <c:v>148.8366157906456</c:v>
                </c:pt>
                <c:pt idx="93">
                  <c:v>162.85277967567876</c:v>
                </c:pt>
                <c:pt idx="94">
                  <c:v>178.11944539043949</c:v>
                </c:pt>
                <c:pt idx="95">
                  <c:v>194.73447752711846</c:v>
                </c:pt>
                <c:pt idx="96">
                  <c:v>212.80069364795611</c:v>
                </c:pt>
                <c:pt idx="97">
                  <c:v>232.4255516311579</c:v>
                </c:pt>
                <c:pt idx="98">
                  <c:v>253.72068936786704</c:v>
                </c:pt>
                <c:pt idx="99">
                  <c:v>276.80129118169856</c:v>
                </c:pt>
                <c:pt idx="100">
                  <c:v>301.78525367166947</c:v>
                </c:pt>
                <c:pt idx="101">
                  <c:v>328.79212263138203</c:v>
                </c:pt>
                <c:pt idx="102">
                  <c:v>357.94177255530752</c:v>
                </c:pt>
                <c:pt idx="103">
                  <c:v>389.35280134303753</c:v>
                </c:pt>
                <c:pt idx="104">
                  <c:v>423.14061553873847</c:v>
                </c:pt>
                <c:pt idx="105">
                  <c:v>459.41518621661322</c:v>
                </c:pt>
                <c:pt idx="106">
                  <c:v>498.2784628801702</c:v>
                </c:pt>
                <c:pt idx="107">
                  <c:v>539.82144290213694</c:v>
                </c:pt>
                <c:pt idx="108">
                  <c:v>584.12090744703994</c:v>
                </c:pt>
                <c:pt idx="109">
                  <c:v>631.23585171784885</c:v>
                </c:pt>
                <c:pt idx="110">
                  <c:v>681.20365777787026</c:v>
                </c:pt>
                <c:pt idx="111">
                  <c:v>734.03608185738824</c:v>
                </c:pt>
                <c:pt idx="112">
                  <c:v>789.71515432151534</c:v>
                </c:pt>
                <c:pt idx="113">
                  <c:v>848.18911825118005</c:v>
                </c:pt>
                <c:pt idx="114">
                  <c:v>909.36856025438681</c:v>
                </c:pt>
                <c:pt idx="115">
                  <c:v>973.12291252742261</c:v>
                </c:pt>
                <c:pt idx="116">
                  <c:v>1039.2775256901464</c:v>
                </c:pt>
                <c:pt idx="117">
                  <c:v>1107.6115245438837</c:v>
                </c:pt>
                <c:pt idx="118">
                  <c:v>1177.8566605521196</c:v>
                </c:pt>
                <c:pt idx="119">
                  <c:v>1249.6973626564834</c:v>
                </c:pt>
                <c:pt idx="120">
                  <c:v>1322.7721597917007</c:v>
                </c:pt>
                <c:pt idx="121">
                  <c:v>1396.6766030363685</c:v>
                </c:pt>
                <c:pt idx="122">
                  <c:v>1470.9677531550403</c:v>
                </c:pt>
                <c:pt idx="123">
                  <c:v>1545.170222642573</c:v>
                </c:pt>
                <c:pt idx="124">
                  <c:v>1618.7836745632126</c:v>
                </c:pt>
                <c:pt idx="125">
                  <c:v>1691.2915896282607</c:v>
                </c:pt>
                <c:pt idx="126">
                  <c:v>1762.1710256178371</c:v>
                </c:pt>
                <c:pt idx="127">
                  <c:v>1830.9030176027004</c:v>
                </c:pt>
                <c:pt idx="128">
                  <c:v>1896.9832112980164</c:v>
                </c:pt>
                <c:pt idx="129">
                  <c:v>1959.9322917153795</c:v>
                </c:pt>
                <c:pt idx="130">
                  <c:v>2019.3057691380557</c:v>
                </c:pt>
                <c:pt idx="131">
                  <c:v>2074.7027153424042</c:v>
                </c:pt>
                <c:pt idx="132">
                  <c:v>2125.7731026309539</c:v>
                </c:pt>
                <c:pt idx="133">
                  <c:v>2172.2234812576867</c:v>
                </c:pt>
                <c:pt idx="134">
                  <c:v>2213.820829459878</c:v>
                </c:pt>
                <c:pt idx="135">
                  <c:v>2250.3945154649919</c:v>
                </c:pt>
                <c:pt idx="136">
                  <c:v>2281.8364132641841</c:v>
                </c:pt>
                <c:pt idx="137">
                  <c:v>2308.0993053694083</c:v>
                </c:pt>
                <c:pt idx="138">
                  <c:v>2329.1937798164622</c:v>
                </c:pt>
                <c:pt idx="139">
                  <c:v>2345.1838813834829</c:v>
                </c:pt>
                <c:pt idx="140">
                  <c:v>2356.1818069683641</c:v>
                </c:pt>
                <c:pt idx="141">
                  <c:v>2362.3419432535957</c:v>
                </c:pt>
                <c:pt idx="142">
                  <c:v>2363.8545339742627</c:v>
                </c:pt>
                <c:pt idx="143">
                  <c:v>2360.9392382953083</c:v>
                </c:pt>
                <c:pt idx="144">
                  <c:v>2353.8388055500104</c:v>
                </c:pt>
                <c:pt idx="145">
                  <c:v>2342.813049413252</c:v>
                </c:pt>
                <c:pt idx="146">
                  <c:v>2328.1332605257194</c:v>
                </c:pt>
                <c:pt idx="147">
                  <c:v>2310.0771539374359</c:v>
                </c:pt>
                <c:pt idx="148">
                  <c:v>2288.9244089098602</c:v>
                </c:pt>
                <c:pt idx="149">
                  <c:v>2264.9528251387824</c:v>
                </c:pt>
                <c:pt idx="150">
                  <c:v>2238.4350920896964</c:v>
                </c:pt>
                <c:pt idx="151">
                  <c:v>2209.6361469959397</c:v>
                </c:pt>
                <c:pt idx="152">
                  <c:v>2178.8110818159757</c:v>
                </c:pt>
                <c:pt idx="153">
                  <c:v>2146.2035494345414</c:v>
                </c:pt>
                <c:pt idx="154">
                  <c:v>2112.0446138137772</c:v>
                </c:pt>
                <c:pt idx="155">
                  <c:v>2076.5519867920816</c:v>
                </c:pt>
                <c:pt idx="156">
                  <c:v>2039.9295949536938</c:v>
                </c:pt>
                <c:pt idx="157">
                  <c:v>2002.3674226919716</c:v>
                </c:pt>
                <c:pt idx="158">
                  <c:v>1964.0415816113243</c:v>
                </c:pt>
                <c:pt idx="159">
                  <c:v>1925.1145612207306</c:v>
                </c:pt>
                <c:pt idx="160">
                  <c:v>1885.735621044415</c:v>
                </c:pt>
                <c:pt idx="161">
                  <c:v>1846.0412894962139</c:v>
                </c:pt>
                <c:pt idx="162">
                  <c:v>1806.1559399078926</c:v>
                </c:pt>
                <c:pt idx="163">
                  <c:v>1766.192418817898</c:v>
                </c:pt>
                <c:pt idx="164">
                  <c:v>1726.2527059253305</c:v>
                </c:pt>
                <c:pt idx="165">
                  <c:v>1686.4285889495327</c:v>
                </c:pt>
                <c:pt idx="166">
                  <c:v>1646.8023399975714</c:v>
                </c:pt>
                <c:pt idx="167">
                  <c:v>1607.4473829423455</c:v>
                </c:pt>
                <c:pt idx="168">
                  <c:v>1568.4289437808618</c:v>
                </c:pt>
                <c:pt idx="169">
                  <c:v>1529.8046780123368</c:v>
                </c:pt>
                <c:pt idx="170">
                  <c:v>1491.625270790712</c:v>
                </c:pt>
                <c:pt idx="171">
                  <c:v>1453.9350070086614</c:v>
                </c:pt>
                <c:pt idx="172">
                  <c:v>1416.7723096019379</c:v>
                </c:pt>
                <c:pt idx="173">
                  <c:v>1380.170245263208</c:v>
                </c:pt>
                <c:pt idx="174">
                  <c:v>1344.1569974591969</c:v>
                </c:pt>
                <c:pt idx="175">
                  <c:v>1308.756307186228</c:v>
                </c:pt>
                <c:pt idx="176">
                  <c:v>1273.9878823053</c:v>
                </c:pt>
                <c:pt idx="177">
                  <c:v>1239.8677765933071</c:v>
                </c:pt>
                <c:pt idx="178">
                  <c:v>1206.4087398528723</c:v>
                </c:pt>
                <c:pt idx="179">
                  <c:v>1173.6205405573428</c:v>
                </c:pt>
                <c:pt idx="180">
                  <c:v>1141.5102625847928</c:v>
                </c:pt>
                <c:pt idx="181">
                  <c:v>1110.0825776277859</c:v>
                </c:pt>
                <c:pt idx="182">
                  <c:v>1079.3399948644533</c:v>
                </c:pt>
                <c:pt idx="183">
                  <c:v>1049.2830894495391</c:v>
                </c:pt>
                <c:pt idx="184">
                  <c:v>1019.9107113382246</c:v>
                </c:pt>
                <c:pt idx="185">
                  <c:v>991.22017589627046</c:v>
                </c:pt>
                <c:pt idx="186">
                  <c:v>963.20743768162936</c:v>
                </c:pt>
                <c:pt idx="187">
                  <c:v>935.8672487086543</c:v>
                </c:pt>
                <c:pt idx="188">
                  <c:v>909.19330242899025</c:v>
                </c:pt>
                <c:pt idx="189">
                  <c:v>883.17836458528586</c:v>
                </c:pt>
                <c:pt idx="190">
                  <c:v>857.81439201651801</c:v>
                </c:pt>
                <c:pt idx="191">
                  <c:v>833.09264041817153</c:v>
                </c:pt>
                <c:pt idx="192">
                  <c:v>809.00376198754805</c:v>
                </c:pt>
                <c:pt idx="193">
                  <c:v>785.53789381469733</c:v>
                </c:pt>
                <c:pt idx="194">
                  <c:v>762.68473781322439</c:v>
                </c:pt>
                <c:pt idx="195">
                  <c:v>740.43363292274421</c:v>
                </c:pt>
                <c:pt idx="196">
                  <c:v>718.77362025612797</c:v>
                </c:pt>
                <c:pt idx="197">
                  <c:v>697.69350180991421</c:v>
                </c:pt>
                <c:pt idx="198">
                  <c:v>677.18189330527798</c:v>
                </c:pt>
                <c:pt idx="199">
                  <c:v>657.22727167964774</c:v>
                </c:pt>
                <c:pt idx="200">
                  <c:v>637.81801770528909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F9-4669-AA8B-2F6C217378AA}"/>
            </c:ext>
          </c:extLst>
        </c:ser>
        <c:ser>
          <c:idx val="2"/>
          <c:order val="2"/>
          <c:tx>
            <c:strRef>
              <c:f>Cuscatlan!$K$3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Cuscatlan!$C$3:$C$204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Cuscatlan!$K$4:$K$204</c:f>
              <c:numCache>
                <c:formatCode>0</c:formatCode>
                <c:ptCount val="201"/>
                <c:pt idx="1">
                  <c:v>3.6666666666666701E-3</c:v>
                </c:pt>
                <c:pt idx="2">
                  <c:v>4.0284419339277682E-3</c:v>
                </c:pt>
                <c:pt idx="3">
                  <c:v>4.4259117592197247E-3</c:v>
                </c:pt>
                <c:pt idx="4">
                  <c:v>4.862597872942174E-3</c:v>
                </c:pt>
                <c:pt idx="5">
                  <c:v>5.3423694546285618E-3</c:v>
                </c:pt>
                <c:pt idx="6">
                  <c:v>5.869477408662698E-3</c:v>
                </c:pt>
                <c:pt idx="7">
                  <c:v>6.4485920206301126E-3</c:v>
                </c:pt>
                <c:pt idx="8">
                  <c:v>7.0848443276035561E-3</c:v>
                </c:pt>
                <c:pt idx="9">
                  <c:v>7.7838715684942555E-3</c:v>
                </c:pt>
                <c:pt idx="10">
                  <c:v>8.5518671166613276E-3</c:v>
                </c:pt>
                <c:pt idx="11">
                  <c:v>9.3956353365771284E-3</c:v>
                </c:pt>
                <c:pt idx="12">
                  <c:v>1.0322651849843522E-2</c:v>
                </c:pt>
                <c:pt idx="13">
                  <c:v>1.1341129743623415E-2</c:v>
                </c:pt>
                <c:pt idx="14">
                  <c:v>1.2460092307011155E-2</c:v>
                </c:pt>
                <c:pt idx="15">
                  <c:v>1.368945293847262E-2</c:v>
                </c:pt>
                <c:pt idx="16">
                  <c:v>1.5040102930742354E-2</c:v>
                </c:pt>
                <c:pt idx="17">
                  <c:v>1.6524007909022385E-2</c:v>
                </c:pt>
                <c:pt idx="18">
                  <c:v>1.8154313774587653E-2</c:v>
                </c:pt>
                <c:pt idx="19">
                  <c:v>1.9945463089627927E-2</c:v>
                </c:pt>
                <c:pt idx="20">
                  <c:v>2.1913322931069398E-2</c:v>
                </c:pt>
                <c:pt idx="21">
                  <c:v>2.4075325342013999E-2</c:v>
                </c:pt>
                <c:pt idx="22">
                  <c:v>2.6450621620178884E-2</c:v>
                </c:pt>
                <c:pt idx="23">
                  <c:v>2.9060251804262655E-2</c:v>
                </c:pt>
                <c:pt idx="24">
                  <c:v>3.1927330852547446E-2</c:v>
                </c:pt>
                <c:pt idx="25">
                  <c:v>3.5077253154404353E-2</c:v>
                </c:pt>
                <c:pt idx="26">
                  <c:v>3.8537917175944722E-2</c:v>
                </c:pt>
                <c:pt idx="27">
                  <c:v>4.2339972217208539E-2</c:v>
                </c:pt>
                <c:pt idx="28">
                  <c:v>4.6517089451484382E-2</c:v>
                </c:pt>
                <c:pt idx="29">
                  <c:v>5.1106259629228837E-2</c:v>
                </c:pt>
                <c:pt idx="30">
                  <c:v>5.6148120061356707E-2</c:v>
                </c:pt>
                <c:pt idx="31">
                  <c:v>6.1687313751326321E-2</c:v>
                </c:pt>
                <c:pt idx="32">
                  <c:v>6.7772883824532115E-2</c:v>
                </c:pt>
                <c:pt idx="33">
                  <c:v>7.4458706709309042E-2</c:v>
                </c:pt>
                <c:pt idx="34">
                  <c:v>8.1803967858812332E-2</c:v>
                </c:pt>
                <c:pt idx="35">
                  <c:v>8.987368416983238E-2</c:v>
                </c:pt>
                <c:pt idx="36">
                  <c:v>9.8739277656129484E-2</c:v>
                </c:pt>
                <c:pt idx="37">
                  <c:v>0.10847920537325192</c:v>
                </c:pt>
                <c:pt idx="38">
                  <c:v>0.11917965107240293</c:v>
                </c:pt>
                <c:pt idx="39">
                  <c:v>0.13093528458637954</c:v>
                </c:pt>
                <c:pt idx="40">
                  <c:v>0.14385009552481415</c:v>
                </c:pt>
                <c:pt idx="41">
                  <c:v>0.1580383084830787</c:v>
                </c:pt>
                <c:pt idx="42">
                  <c:v>0.17362538765372268</c:v>
                </c:pt>
                <c:pt idx="43">
                  <c:v>0.19074913947593469</c:v>
                </c:pt>
                <c:pt idx="44">
                  <c:v>0.20956092277226884</c:v>
                </c:pt>
                <c:pt idx="45">
                  <c:v>0.23022697670802991</c:v>
                </c:pt>
                <c:pt idx="46">
                  <c:v>0.25292987787280269</c:v>
                </c:pt>
                <c:pt idx="47">
                  <c:v>0.27787013883137207</c:v>
                </c:pt>
                <c:pt idx="48">
                  <c:v>0.30526796162863234</c:v>
                </c:pt>
                <c:pt idx="49">
                  <c:v>0.33536516096603719</c:v>
                </c:pt>
                <c:pt idx="50">
                  <c:v>0.36842727310173423</c:v>
                </c:pt>
                <c:pt idx="51">
                  <c:v>0.40474586796871009</c:v>
                </c:pt>
                <c:pt idx="52">
                  <c:v>0.4446410835607425</c:v>
                </c:pt>
                <c:pt idx="53">
                  <c:v>0.48846440330999585</c:v>
                </c:pt>
                <c:pt idx="54">
                  <c:v>0.53660169897731447</c:v>
                </c:pt>
                <c:pt idx="55">
                  <c:v>0.58947656350031175</c:v>
                </c:pt>
                <c:pt idx="56">
                  <c:v>0.64755396029751056</c:v>
                </c:pt>
                <c:pt idx="57">
                  <c:v>0.71134421770956591</c:v>
                </c:pt>
                <c:pt idx="58">
                  <c:v>0.781407399569084</c:v>
                </c:pt>
                <c:pt idx="59">
                  <c:v>0.85835808532377578</c:v>
                </c:pt>
                <c:pt idx="60">
                  <c:v>0.94287059568469611</c:v>
                </c:pt>
                <c:pt idx="61">
                  <c:v>1.0356847024181997</c:v>
                </c:pt>
                <c:pt idx="62">
                  <c:v>1.137611863626778</c:v>
                </c:pt>
                <c:pt idx="63">
                  <c:v>1.2495420286421415</c:v>
                </c:pt>
                <c:pt idx="64">
                  <c:v>1.372451059446115</c:v>
                </c:pt>
                <c:pt idx="65">
                  <c:v>1.5074088182916767</c:v>
                </c:pt>
                <c:pt idx="66">
                  <c:v>1.6555879738538146</c:v>
                </c:pt>
                <c:pt idx="67">
                  <c:v>1.8182735807163641</c:v>
                </c:pt>
                <c:pt idx="68">
                  <c:v>1.9968734891938358</c:v>
                </c:pt>
                <c:pt idx="69">
                  <c:v>2.1929296442682196</c:v>
                </c:pt>
                <c:pt idx="70">
                  <c:v>2.4081303336310307</c:v>
                </c:pt>
                <c:pt idx="71">
                  <c:v>2.6443234452651896</c:v>
                </c:pt>
                <c:pt idx="72">
                  <c:v>2.9035307944413584</c:v>
                </c:pt>
                <c:pt idx="73">
                  <c:v>3.1879635781499389</c:v>
                </c:pt>
                <c:pt idx="74">
                  <c:v>3.5000390114943496</c:v>
                </c:pt>
                <c:pt idx="75">
                  <c:v>3.8423981950155022</c:v>
                </c:pt>
                <c:pt idx="76">
                  <c:v>4.2179252538036787</c:v>
                </c:pt>
                <c:pt idx="77">
                  <c:v>4.6297677779925666</c:v>
                </c:pt>
                <c:pt idx="78">
                  <c:v>5.0813585791273947</c:v>
                </c:pt>
                <c:pt idx="79">
                  <c:v>5.5764387571443859</c:v>
                </c:pt>
                <c:pt idx="80">
                  <c:v>6.1190820473523209</c:v>
                </c:pt>
                <c:pt idx="81">
                  <c:v>6.7137203847879325</c:v>
                </c:pt>
                <c:pt idx="82">
                  <c:v>7.3651705833942316</c:v>
                </c:pt>
                <c:pt idx="83">
                  <c:v>8.0786619782572497</c:v>
                </c:pt>
                <c:pt idx="84">
                  <c:v>8.8598648190894913</c:v>
                </c:pt>
                <c:pt idx="85">
                  <c:v>9.7149191305776874</c:v>
                </c:pt>
                <c:pt idx="86">
                  <c:v>10.65046366830377</c:v>
                </c:pt>
                <c:pt idx="87">
                  <c:v>11.67366449580013</c:v>
                </c:pt>
                <c:pt idx="88">
                  <c:v>12.792242586987774</c:v>
                </c:pt>
                <c:pt idx="89">
                  <c:v>14.014499716911462</c:v>
                </c:pt>
                <c:pt idx="90">
                  <c:v>15.349341740670791</c:v>
                </c:pt>
                <c:pt idx="91">
                  <c:v>16.806298174470339</c:v>
                </c:pt>
                <c:pt idx="92">
                  <c:v>18.395536783113521</c:v>
                </c:pt>
                <c:pt idx="93">
                  <c:v>20.12787164530863</c:v>
                </c:pt>
                <c:pt idx="94">
                  <c:v>22.014762913425127</c:v>
                </c:pt>
                <c:pt idx="95">
                  <c:v>24.068306211216914</c:v>
                </c:pt>
                <c:pt idx="96">
                  <c:v>26.301209327275501</c:v>
                </c:pt>
                <c:pt idx="97">
                  <c:v>28.726753572390333</c:v>
                </c:pt>
                <c:pt idx="98">
                  <c:v>31.358736888163371</c:v>
                </c:pt>
                <c:pt idx="99">
                  <c:v>34.211395539311091</c:v>
                </c:pt>
                <c:pt idx="100">
                  <c:v>37.299301015599639</c:v>
                </c:pt>
                <c:pt idx="101">
                  <c:v>40.637228639833779</c:v>
                </c:pt>
                <c:pt idx="102">
                  <c:v>44.239994360768392</c:v>
                </c:pt>
                <c:pt idx="103">
                  <c:v>48.122256345768733</c:v>
                </c:pt>
                <c:pt idx="104">
                  <c:v>52.298278325012674</c:v>
                </c:pt>
                <c:pt idx="105">
                  <c:v>56.781652229019663</c:v>
                </c:pt>
                <c:pt idx="106">
                  <c:v>61.584978558223348</c:v>
                </c:pt>
                <c:pt idx="107">
                  <c:v>66.719504178915869</c:v>
                </c:pt>
                <c:pt idx="108">
                  <c:v>72.194718897948817</c:v>
                </c:pt>
                <c:pt idx="109">
                  <c:v>78.017914257262291</c:v>
                </c:pt>
                <c:pt idx="110">
                  <c:v>84.193710511871672</c:v>
                </c:pt>
                <c:pt idx="111">
                  <c:v>90.723560679003143</c:v>
                </c:pt>
                <c:pt idx="112">
                  <c:v>97.605243792546943</c:v>
                </c:pt>
                <c:pt idx="113">
                  <c:v>104.83236292992123</c:v>
                </c:pt>
                <c:pt idx="114">
                  <c:v>112.39386699773333</c:v>
                </c:pt>
                <c:pt idx="115">
                  <c:v>120.27361840226584</c:v>
                </c:pt>
                <c:pt idx="116">
                  <c:v>128.45003126507439</c:v>
                </c:pt>
                <c:pt idx="117">
                  <c:v>136.89580640430037</c:v>
                </c:pt>
                <c:pt idx="118">
                  <c:v>145.57778950644189</c:v>
                </c:pt>
                <c:pt idx="119">
                  <c:v>154.45697740698125</c:v>
                </c:pt>
                <c:pt idx="120">
                  <c:v>163.48869390683959</c:v>
                </c:pt>
                <c:pt idx="121">
                  <c:v>172.62295093707945</c:v>
                </c:pt>
                <c:pt idx="122">
                  <c:v>181.80500319893773</c:v>
                </c:pt>
                <c:pt idx="123">
                  <c:v>190.9760949333519</c:v>
                </c:pt>
                <c:pt idx="124">
                  <c:v>200.07438674376806</c:v>
                </c:pt>
                <c:pt idx="125">
                  <c:v>209.03603916753804</c:v>
                </c:pt>
                <c:pt idx="126">
                  <c:v>217.79641889658686</c:v>
                </c:pt>
                <c:pt idx="127">
                  <c:v>226.29138419808677</c:v>
                </c:pt>
                <c:pt idx="128">
                  <c:v>234.45859914919328</c:v>
                </c:pt>
                <c:pt idx="129">
                  <c:v>242.23882257156399</c:v>
                </c:pt>
                <c:pt idx="130">
                  <c:v>249.57711753391726</c:v>
                </c:pt>
                <c:pt idx="131">
                  <c:v>256.42393110973558</c:v>
                </c:pt>
                <c:pt idx="132">
                  <c:v>262.7360014487698</c:v>
                </c:pt>
                <c:pt idx="133">
                  <c:v>268.47705948128737</c:v>
                </c:pt>
                <c:pt idx="134">
                  <c:v>273.61830476470431</c:v>
                </c:pt>
                <c:pt idx="135">
                  <c:v>278.13864797881951</c:v>
                </c:pt>
                <c:pt idx="136">
                  <c:v>282.02472523489939</c:v>
                </c:pt>
                <c:pt idx="137">
                  <c:v>285.27070066363501</c:v>
                </c:pt>
                <c:pt idx="138">
                  <c:v>287.8778828986641</c:v>
                </c:pt>
                <c:pt idx="139">
                  <c:v>289.8541875867229</c:v>
                </c:pt>
                <c:pt idx="140">
                  <c:v>291.21348176013521</c:v>
                </c:pt>
                <c:pt idx="141">
                  <c:v>291.9748469189841</c:v>
                </c:pt>
                <c:pt idx="142">
                  <c:v>292.16179633389788</c:v>
                </c:pt>
                <c:pt idx="143">
                  <c:v>291.80147889043167</c:v>
                </c:pt>
                <c:pt idx="144">
                  <c:v>290.92389731517017</c:v>
                </c:pt>
                <c:pt idx="145">
                  <c:v>289.56116341062699</c:v>
                </c:pt>
                <c:pt idx="146">
                  <c:v>287.74680748070722</c:v>
                </c:pt>
                <c:pt idx="147">
                  <c:v>285.51515385743625</c:v>
                </c:pt>
                <c:pt idx="148">
                  <c:v>282.90076964054487</c:v>
                </c:pt>
                <c:pt idx="149">
                  <c:v>279.93798962389468</c:v>
                </c:pt>
                <c:pt idx="150">
                  <c:v>276.66051699985042</c:v>
                </c:pt>
                <c:pt idx="151">
                  <c:v>273.10109681972324</c:v>
                </c:pt>
                <c:pt idx="152">
                  <c:v>269.2912573030984</c:v>
                </c:pt>
                <c:pt idx="153">
                  <c:v>265.26111285146044</c:v>
                </c:pt>
                <c:pt idx="154">
                  <c:v>261.03922193204011</c:v>
                </c:pt>
                <c:pt idx="155">
                  <c:v>256.65249274958336</c:v>
                </c:pt>
                <c:pt idx="156">
                  <c:v>252.12612971337813</c:v>
                </c:pt>
                <c:pt idx="157">
                  <c:v>247.48361404058102</c:v>
                </c:pt>
                <c:pt idx="158">
                  <c:v>242.74671233398416</c:v>
                </c:pt>
                <c:pt idx="159">
                  <c:v>237.93550756660741</c:v>
                </c:pt>
                <c:pt idx="160">
                  <c:v>233.06844754481557</c:v>
                </c:pt>
                <c:pt idx="161">
                  <c:v>228.16240656694802</c:v>
                </c:pt>
                <c:pt idx="162">
                  <c:v>223.23275661782964</c:v>
                </c:pt>
                <c:pt idx="163">
                  <c:v>218.29344502243706</c:v>
                </c:pt>
                <c:pt idx="164">
                  <c:v>213.35707601324333</c:v>
                </c:pt>
                <c:pt idx="165">
                  <c:v>208.43499413983008</c:v>
                </c:pt>
                <c:pt idx="166">
                  <c:v>203.53736786486857</c:v>
                </c:pt>
                <c:pt idx="167">
                  <c:v>198.67327204905413</c:v>
                </c:pt>
                <c:pt idx="168">
                  <c:v>193.85076833246623</c:v>
                </c:pt>
                <c:pt idx="169">
                  <c:v>189.07698267568225</c:v>
                </c:pt>
                <c:pt idx="170">
                  <c:v>184.3581795359309</c:v>
                </c:pt>
                <c:pt idx="171">
                  <c:v>179.69983232691337</c:v>
                </c:pt>
                <c:pt idx="172">
                  <c:v>175.1066899508015</c:v>
                </c:pt>
                <c:pt idx="173">
                  <c:v>170.5828393021944</c:v>
                </c:pt>
                <c:pt idx="174">
                  <c:v>166.13176373091213</c:v>
                </c:pt>
                <c:pt idx="175">
                  <c:v>161.75639751739917</c:v>
                </c:pt>
                <c:pt idx="176">
                  <c:v>157.45917646470016</c:v>
                </c:pt>
                <c:pt idx="177">
                  <c:v>153.24208474748758</c:v>
                </c:pt>
                <c:pt idx="178">
                  <c:v>149.10669818406305</c:v>
                </c:pt>
                <c:pt idx="179">
                  <c:v>145.05422411382904</c:v>
                </c:pt>
                <c:pt idx="180">
                  <c:v>141.0855380722779</c:v>
                </c:pt>
                <c:pt idx="181">
                  <c:v>137.20121745961416</c:v>
                </c:pt>
                <c:pt idx="182">
                  <c:v>133.40157239897752</c:v>
                </c:pt>
                <c:pt idx="183">
                  <c:v>129.68667397690945</c:v>
                </c:pt>
                <c:pt idx="184">
                  <c:v>126.05638005303913</c:v>
                </c:pt>
                <c:pt idx="185">
                  <c:v>122.51035881864028</c:v>
                </c:pt>
                <c:pt idx="186">
                  <c:v>119.04811027525768</c:v>
                </c:pt>
                <c:pt idx="187">
                  <c:v>115.66898579545176</c:v>
                </c:pt>
                <c:pt idx="188">
                  <c:v>112.37220591818992</c:v>
                </c:pt>
                <c:pt idx="189">
                  <c:v>109.15687652177702</c:v>
                </c:pt>
                <c:pt idx="190">
                  <c:v>106.02200350765962</c:v>
                </c:pt>
                <c:pt idx="191">
                  <c:v>102.96650611909995</c:v>
                </c:pt>
                <c:pt idx="192">
                  <c:v>99.989229009697056</c:v>
                </c:pt>
                <c:pt idx="193">
                  <c:v>97.088953168108745</c:v>
                </c:pt>
                <c:pt idx="194">
                  <c:v>94.264405797140185</c:v>
                </c:pt>
                <c:pt idx="195">
                  <c:v>91.514269237642637</c:v>
                </c:pt>
                <c:pt idx="196">
                  <c:v>88.837189020420411</c:v>
                </c:pt>
                <c:pt idx="197">
                  <c:v>86.23178112257375</c:v>
                </c:pt>
                <c:pt idx="198">
                  <c:v>83.696638498405221</c:v>
                </c:pt>
                <c:pt idx="199">
                  <c:v>81.230336949170038</c:v>
                </c:pt>
                <c:pt idx="200">
                  <c:v>78.831440390541431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F9-4669-AA8B-2F6C21737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Cabañas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Cabañas!$I$3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Cabañas!$C$3:$C$204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Cabañas!$I$4:$I$204</c:f>
              <c:numCache>
                <c:formatCode>0</c:formatCode>
                <c:ptCount val="201"/>
                <c:pt idx="1">
                  <c:v>0.13199911603393893</c:v>
                </c:pt>
                <c:pt idx="2">
                  <c:v>0.14502278749886158</c:v>
                </c:pt>
                <c:pt idx="3">
                  <c:v>0.15933140744343693</c:v>
                </c:pt>
                <c:pt idx="4">
                  <c:v>0.175051745941631</c:v>
                </c:pt>
                <c:pt idx="5">
                  <c:v>0.19232307862788692</c:v>
                </c:pt>
                <c:pt idx="6">
                  <c:v>0.21129842007433394</c:v>
                </c:pt>
                <c:pt idx="7">
                  <c:v>0.23214587875634468</c:v>
                </c:pt>
                <c:pt idx="8">
                  <c:v>0.25505014558141059</c:v>
                </c:pt>
                <c:pt idx="9">
                  <c:v>0.2802141291333311</c:v>
                </c:pt>
                <c:pt idx="10">
                  <c:v>0.30786075207593544</c:v>
                </c:pt>
                <c:pt idx="11">
                  <c:v>0.33823492457915627</c:v>
                </c:pt>
                <c:pt idx="12">
                  <c:v>0.37160571218748001</c:v>
                </c:pt>
                <c:pt idx="13">
                  <c:v>0.40826871726001512</c:v>
                </c:pt>
                <c:pt idx="14">
                  <c:v>0.44854869498728756</c:v>
                </c:pt>
                <c:pt idx="15">
                  <c:v>0.49280242704845312</c:v>
                </c:pt>
                <c:pt idx="16">
                  <c:v>0.54142187823140764</c:v>
                </c:pt>
                <c:pt idx="17">
                  <c:v>0.59483766381647429</c:v>
                </c:pt>
                <c:pt idx="18">
                  <c:v>0.65352285824284162</c:v>
                </c:pt>
                <c:pt idx="19">
                  <c:v>0.71799717855859591</c:v>
                </c:pt>
                <c:pt idx="20">
                  <c:v>0.78883157942491844</c:v>
                </c:pt>
                <c:pt idx="21">
                  <c:v>0.86665330002999375</c:v>
                </c:pt>
                <c:pt idx="22">
                  <c:v>0.95215140719794655</c:v>
                </c:pt>
                <c:pt idx="23">
                  <c:v>1.0460828832849003</c:v>
                </c:pt>
                <c:pt idx="24">
                  <c:v>1.1492793121729785</c:v>
                </c:pt>
                <c:pt idx="25">
                  <c:v>1.2626542218417536</c:v>
                </c:pt>
                <c:pt idx="26">
                  <c:v>1.3872111476563938</c:v>
                </c:pt>
                <c:pt idx="27">
                  <c:v>1.5240524867072081</c:v>
                </c:pt>
                <c:pt idx="28">
                  <c:v>1.6743892203144854</c:v>
                </c:pt>
                <c:pt idx="29">
                  <c:v>1.8395515892275067</c:v>
                </c:pt>
                <c:pt idx="30">
                  <c:v>2.0210008141531808</c:v>
                </c:pt>
                <c:pt idx="31">
                  <c:v>2.2203419631079551</c:v>
                </c:pt>
                <c:pt idx="32">
                  <c:v>2.4393380767607002</c:v>
                </c:pt>
                <c:pt idx="33">
                  <c:v>2.6799256734926469</c:v>
                </c:pt>
                <c:pt idx="34">
                  <c:v>2.9442317674160114</c:v>
                </c:pt>
                <c:pt idx="35">
                  <c:v>3.234592545142656</c:v>
                </c:pt>
                <c:pt idx="36">
                  <c:v>3.5535738607591401</c:v>
                </c:pt>
                <c:pt idx="37">
                  <c:v>3.9039937233294815</c:v>
                </c:pt>
                <c:pt idx="38">
                  <c:v>4.288946967399891</c:v>
                </c:pt>
                <c:pt idx="39">
                  <c:v>4.7118323145110432</c:v>
                </c:pt>
                <c:pt idx="40">
                  <c:v>5.1763820527249189</c:v>
                </c:pt>
                <c:pt idx="41">
                  <c:v>5.6866945817368562</c:v>
                </c:pt>
                <c:pt idx="42">
                  <c:v>6.2472700933592158</c:v>
                </c:pt>
                <c:pt idx="43">
                  <c:v>6.8630496811172188</c:v>
                </c:pt>
                <c:pt idx="44">
                  <c:v>7.539458198468715</c:v>
                </c:pt>
                <c:pt idx="45">
                  <c:v>8.2824512128162375</c:v>
                </c:pt>
                <c:pt idx="46">
                  <c:v>9.0985664320734418</c:v>
                </c:pt>
                <c:pt idx="47">
                  <c:v>9.9949800121099663</c:v>
                </c:pt>
                <c:pt idx="48">
                  <c:v>10.979568186929372</c:v>
                </c:pt>
                <c:pt idx="49">
                  <c:v>12.060974698897621</c:v>
                </c:pt>
                <c:pt idx="50">
                  <c:v>13.248684543646641</c:v>
                </c:pt>
                <c:pt idx="51">
                  <c:v>14.553104583278722</c:v>
                </c:pt>
                <c:pt idx="52">
                  <c:v>15.98565162196074</c:v>
                </c:pt>
                <c:pt idx="53">
                  <c:v>17.558848579589991</c:v>
                </c:pt>
                <c:pt idx="54">
                  <c:v>19.286429441476788</c:v>
                </c:pt>
                <c:pt idx="55">
                  <c:v>21.183453704307393</c:v>
                </c:pt>
                <c:pt idx="56">
                  <c:v>23.2664310802177</c:v>
                </c:pt>
                <c:pt idx="57">
                  <c:v>25.553457260579446</c:v>
                </c:pt>
                <c:pt idx="58">
                  <c:v>28.064361577748052</c:v>
                </c:pt>
                <c:pt idx="59">
                  <c:v>30.820867434865583</c:v>
                </c:pt>
                <c:pt idx="60">
                  <c:v>33.846766398756358</c:v>
                </c:pt>
                <c:pt idx="61">
                  <c:v>37.168106866392549</c:v>
                </c:pt>
                <c:pt idx="62">
                  <c:v>40.813398218132527</c:v>
                </c:pt>
                <c:pt idx="63">
                  <c:v>44.813831357017442</c:v>
                </c:pt>
                <c:pt idx="64">
                  <c:v>49.203516498061063</c:v>
                </c:pt>
                <c:pt idx="65">
                  <c:v>54.019739008889154</c:v>
                </c:pt>
                <c:pt idx="66">
                  <c:v>59.303234006289749</c:v>
                </c:pt>
                <c:pt idx="67">
                  <c:v>65.098480273853127</c:v>
                </c:pt>
                <c:pt idx="68">
                  <c:v>71.454013873925945</c:v>
                </c:pt>
                <c:pt idx="69">
                  <c:v>78.422761570744115</c:v>
                </c:pt>
                <c:pt idx="70">
                  <c:v>86.062393846886877</c:v>
                </c:pt>
                <c:pt idx="71">
                  <c:v>94.435696865761088</c:v>
                </c:pt>
                <c:pt idx="72">
                  <c:v>103.61096218964983</c:v>
                </c:pt>
                <c:pt idx="73">
                  <c:v>113.66239238395788</c:v>
                </c:pt>
                <c:pt idx="74">
                  <c:v>124.67051979847686</c:v>
                </c:pt>
                <c:pt idx="75">
                  <c:v>136.72263478719927</c:v>
                </c:pt>
                <c:pt idx="76">
                  <c:v>149.91321837739216</c:v>
                </c:pt>
                <c:pt idx="77">
                  <c:v>164.344372890833</c:v>
                </c:pt>
                <c:pt idx="78">
                  <c:v>180.12624221674247</c:v>
                </c:pt>
                <c:pt idx="79">
                  <c:v>197.37741129593343</c:v>
                </c:pt>
                <c:pt idx="80">
                  <c:v>216.22527185650551</c:v>
                </c:pt>
                <c:pt idx="81">
                  <c:v>236.80633850072786</c:v>
                </c:pt>
                <c:pt idx="82">
                  <c:v>259.26649584090018</c:v>
                </c:pt>
                <c:pt idx="83">
                  <c:v>283.76115348540031</c:v>
                </c:pt>
                <c:pt idx="84">
                  <c:v>310.45528126210911</c:v>
                </c:pt>
                <c:pt idx="85">
                  <c:v>339.523292129418</c:v>
                </c:pt>
                <c:pt idx="86">
                  <c:v>371.14873478496105</c:v>
                </c:pt>
                <c:pt idx="87">
                  <c:v>405.52375209486991</c:v>
                </c:pt>
                <c:pt idx="88">
                  <c:v>442.84825523647186</c:v>
                </c:pt>
                <c:pt idx="89">
                  <c:v>483.328757044425</c:v>
                </c:pt>
                <c:pt idx="90">
                  <c:v>527.17680172714984</c:v>
                </c:pt>
                <c:pt idx="91">
                  <c:v>574.60692223440537</c:v>
                </c:pt>
                <c:pt idx="92">
                  <c:v>625.83405159287861</c:v>
                </c:pt>
                <c:pt idx="93">
                  <c:v>681.07031112070217</c:v>
                </c:pt>
                <c:pt idx="94">
                  <c:v>740.52109739292769</c:v>
                </c:pt>
                <c:pt idx="95">
                  <c:v>804.38039215702349</c:v>
                </c:pt>
                <c:pt idx="96">
                  <c:v>872.82522628606614</c:v>
                </c:pt>
                <c:pt idx="97">
                  <c:v>946.00924169035693</c:v>
                </c:pt>
                <c:pt idx="98">
                  <c:v>1024.0553154216366</c:v>
                </c:pt>
                <c:pt idx="99">
                  <c:v>1107.0472396179305</c:v>
                </c:pt>
                <c:pt idx="100">
                  <c:v>1195.0204910406133</c:v>
                </c:pt>
                <c:pt idx="101">
                  <c:v>1287.9521761354879</c:v>
                </c:pt>
                <c:pt idx="102">
                  <c:v>1385.7503027531554</c:v>
                </c:pt>
                <c:pt idx="103">
                  <c:v>1488.2426080891689</c:v>
                </c:pt>
                <c:pt idx="104">
                  <c:v>1595.1652631279949</c:v>
                </c:pt>
                <c:pt idx="105">
                  <c:v>1706.1518744314294</c:v>
                </c:pt>
                <c:pt idx="106">
                  <c:v>1820.7233100662586</c:v>
                </c:pt>
                <c:pt idx="107">
                  <c:v>1938.2789810378176</c:v>
                </c:pt>
                <c:pt idx="108">
                  <c:v>2058.0903034312591</c:v>
                </c:pt>
                <c:pt idx="109">
                  <c:v>2179.297137658953</c:v>
                </c:pt>
                <c:pt idx="110">
                  <c:v>2300.9080357349048</c:v>
                </c:pt>
                <c:pt idx="111">
                  <c:v>2421.8051100989455</c:v>
                </c:pt>
                <c:pt idx="112">
                  <c:v>2540.7542532573984</c:v>
                </c:pt>
                <c:pt idx="113">
                  <c:v>2656.4212738916076</c:v>
                </c:pt>
                <c:pt idx="114">
                  <c:v>2767.3942646659707</c:v>
                </c:pt>
                <c:pt idx="115">
                  <c:v>2872.2121801961339</c:v>
                </c:pt>
                <c:pt idx="116">
                  <c:v>2969.3991914816984</c:v>
                </c:pt>
                <c:pt idx="117">
                  <c:v>3057.5039188349242</c:v>
                </c:pt>
                <c:pt idx="118">
                  <c:v>3135.1421648222909</c:v>
                </c:pt>
                <c:pt idx="119">
                  <c:v>3201.0413186862756</c:v>
                </c:pt>
                <c:pt idx="120">
                  <c:v>3254.084237489531</c:v>
                </c:pt>
                <c:pt idx="121">
                  <c:v>3293.3501803615741</c:v>
                </c:pt>
                <c:pt idx="122">
                  <c:v>3318.1503263635973</c:v>
                </c:pt>
                <c:pt idx="123">
                  <c:v>3328.0555729119483</c:v>
                </c:pt>
                <c:pt idx="124">
                  <c:v>3322.9146962248301</c:v>
                </c:pt>
                <c:pt idx="125">
                  <c:v>3302.8615360908852</c:v>
                </c:pt>
                <c:pt idx="126">
                  <c:v>3268.3105952588621</c:v>
                </c:pt>
                <c:pt idx="127">
                  <c:v>3219.9412475562299</c:v>
                </c:pt>
                <c:pt idx="128">
                  <c:v>3158.6715443791304</c:v>
                </c:pt>
                <c:pt idx="129">
                  <c:v>3085.6233118901519</c:v>
                </c:pt>
                <c:pt idx="130">
                  <c:v>3002.0807687074516</c:v>
                </c:pt>
                <c:pt idx="131">
                  <c:v>2909.4452163563942</c:v>
                </c:pt>
                <c:pt idx="132">
                  <c:v>2809.1884416401472</c:v>
                </c:pt>
                <c:pt idx="133">
                  <c:v>2702.8073309383108</c:v>
                </c:pt>
                <c:pt idx="134">
                  <c:v>2591.7818670899478</c:v>
                </c:pt>
                <c:pt idx="135">
                  <c:v>2477.5382142076223</c:v>
                </c:pt>
                <c:pt idx="136">
                  <c:v>2361.4180573613248</c:v>
                </c:pt>
                <c:pt idx="137">
                  <c:v>2244.65481430713</c:v>
                </c:pt>
                <c:pt idx="138">
                  <c:v>2128.3568280064833</c:v>
                </c:pt>
                <c:pt idx="139">
                  <c:v>2013.4972201351979</c:v>
                </c:pt>
                <c:pt idx="140">
                  <c:v>1900.9097595431058</c:v>
                </c:pt>
                <c:pt idx="141">
                  <c:v>1791.2898827713673</c:v>
                </c:pt>
                <c:pt idx="142">
                  <c:v>1685.1998907165637</c:v>
                </c:pt>
                <c:pt idx="143">
                  <c:v>1583.07732192801</c:v>
                </c:pt>
                <c:pt idx="144">
                  <c:v>1485.2455494675607</c:v>
                </c:pt>
                <c:pt idx="145">
                  <c:v>1391.9257438944037</c:v>
                </c:pt>
                <c:pt idx="146">
                  <c:v>1303.2494700629968</c:v>
                </c:pt>
                <c:pt idx="147">
                  <c:v>1219.2713232065264</c:v>
                </c:pt>
                <c:pt idx="148">
                  <c:v>1139.9811470912739</c:v>
                </c:pt>
                <c:pt idx="149">
                  <c:v>1065.3155045934773</c:v>
                </c:pt>
                <c:pt idx="150">
                  <c:v>995.16818312277212</c:v>
                </c:pt>
                <c:pt idx="151">
                  <c:v>929.39961108178682</c:v>
                </c:pt>
                <c:pt idx="152">
                  <c:v>867.84513643204889</c:v>
                </c:pt>
                <c:pt idx="153">
                  <c:v>810.32217540669353</c:v>
                </c:pt>
                <c:pt idx="154">
                  <c:v>756.63628040155277</c:v>
                </c:pt>
                <c:pt idx="155">
                  <c:v>706.58620349913974</c:v>
                </c:pt>
                <c:pt idx="156">
                  <c:v>659.96804847504086</c:v>
                </c:pt>
                <c:pt idx="157">
                  <c:v>616.57861193620761</c:v>
                </c:pt>
                <c:pt idx="158">
                  <c:v>576.21801562903067</c:v>
                </c:pt>
                <c:pt idx="159">
                  <c:v>538.69172879610608</c:v>
                </c:pt>
                <c:pt idx="160">
                  <c:v>503.81207328039068</c:v>
                </c:pt>
                <c:pt idx="161">
                  <c:v>471.39929607663925</c:v>
                </c:pt>
                <c:pt idx="162">
                  <c:v>441.28228512530796</c:v>
                </c:pt>
                <c:pt idx="163">
                  <c:v>413.29899499899318</c:v>
                </c:pt>
                <c:pt idx="164">
                  <c:v>387.29664020879795</c:v>
                </c:pt>
                <c:pt idx="165">
                  <c:v>363.13170546041357</c:v>
                </c:pt>
                <c:pt idx="166">
                  <c:v>340.66981449713847</c:v>
                </c:pt>
                <c:pt idx="167">
                  <c:v>319.78549226889766</c:v>
                </c:pt>
                <c:pt idx="168">
                  <c:v>300.36184908727734</c:v>
                </c:pt>
                <c:pt idx="169">
                  <c:v>282.29021014745842</c:v>
                </c:pt>
                <c:pt idx="170">
                  <c:v>265.46970927134879</c:v>
                </c:pt>
                <c:pt idx="171">
                  <c:v>249.80686188847028</c:v>
                </c:pt>
                <c:pt idx="172">
                  <c:v>235.21512905072129</c:v>
                </c:pt>
                <c:pt idx="173">
                  <c:v>221.61448160051884</c:v>
                </c:pt>
                <c:pt idx="174">
                  <c:v>208.9309714076177</c:v>
                </c:pt>
                <c:pt idx="175">
                  <c:v>197.09631479113014</c:v>
                </c:pt>
                <c:pt idx="176">
                  <c:v>186.04749178885592</c:v>
                </c:pt>
                <c:pt idx="177">
                  <c:v>175.726363771374</c:v>
                </c:pt>
                <c:pt idx="178">
                  <c:v>166.0793109754427</c:v>
                </c:pt>
                <c:pt idx="179">
                  <c:v>157.05689080845335</c:v>
                </c:pt>
                <c:pt idx="180">
                  <c:v>148.61351721726274</c:v>
                </c:pt>
                <c:pt idx="181">
                  <c:v>140.70716099034755</c:v>
                </c:pt>
                <c:pt idx="182">
                  <c:v>133.29907054631002</c:v>
                </c:pt>
                <c:pt idx="183">
                  <c:v>126.35351253296888</c:v>
                </c:pt>
                <c:pt idx="184">
                  <c:v>119.83753140184331</c:v>
                </c:pt>
                <c:pt idx="185">
                  <c:v>113.72072701817584</c:v>
                </c:pt>
                <c:pt idx="186">
                  <c:v>107.97504930474646</c:v>
                </c:pt>
                <c:pt idx="187">
                  <c:v>102.57460888885549</c:v>
                </c:pt>
                <c:pt idx="188">
                  <c:v>97.495502718096745</c:v>
                </c:pt>
                <c:pt idx="189">
                  <c:v>92.715653625548654</c:v>
                </c:pt>
                <c:pt idx="190">
                  <c:v>88.214662853709456</c:v>
                </c:pt>
                <c:pt idx="191">
                  <c:v>83.973674584860362</c:v>
                </c:pt>
                <c:pt idx="192">
                  <c:v>79.975251570397717</c:v>
                </c:pt>
                <c:pt idx="193">
                  <c:v>76.203261000552672</c:v>
                </c:pt>
                <c:pt idx="194">
                  <c:v>72.642769806918679</c:v>
                </c:pt>
                <c:pt idx="195">
                  <c:v>69.279948641876558</c:v>
                </c:pt>
                <c:pt idx="196">
                  <c:v>66.101983830260494</c:v>
                </c:pt>
                <c:pt idx="197">
                  <c:v>63.096996638652676</c:v>
                </c:pt>
                <c:pt idx="198">
                  <c:v>60.253969255956278</c:v>
                </c:pt>
                <c:pt idx="199">
                  <c:v>57.562676924997454</c:v>
                </c:pt>
                <c:pt idx="200">
                  <c:v>55.0136257085924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A9-4149-92DF-4F6C541B73D3}"/>
            </c:ext>
          </c:extLst>
        </c:ser>
        <c:ser>
          <c:idx val="1"/>
          <c:order val="1"/>
          <c:tx>
            <c:strRef>
              <c:f>Cabañas!$J$3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Cabañas!$C$3:$C$204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Cabañas!$J$4:$J$204</c:f>
              <c:numCache>
                <c:formatCode>0</c:formatCode>
                <c:ptCount val="201"/>
                <c:pt idx="1">
                  <c:v>2.9666666666666664E-2</c:v>
                </c:pt>
                <c:pt idx="2">
                  <c:v>3.2593751553451296E-2</c:v>
                </c:pt>
                <c:pt idx="3">
                  <c:v>3.5809635864135804E-2</c:v>
                </c:pt>
                <c:pt idx="4">
                  <c:v>3.9342813089486582E-2</c:v>
                </c:pt>
                <c:pt idx="5">
                  <c:v>4.3224587782772071E-2</c:v>
                </c:pt>
                <c:pt idx="6">
                  <c:v>4.7489352855973645E-2</c:v>
                </c:pt>
                <c:pt idx="7">
                  <c:v>5.2174894222979759E-2</c:v>
                </c:pt>
                <c:pt idx="8">
                  <c:v>5.7322725485318658E-2</c:v>
                </c:pt>
                <c:pt idx="9">
                  <c:v>6.2978455621389887E-2</c:v>
                </c:pt>
                <c:pt idx="10">
                  <c:v>6.9192192931632368E-2</c:v>
                </c:pt>
                <c:pt idx="11">
                  <c:v>7.601898881216404E-2</c:v>
                </c:pt>
                <c:pt idx="12">
                  <c:v>8.3519325280940207E-2</c:v>
                </c:pt>
                <c:pt idx="13">
                  <c:v>9.1759650566470771E-2</c:v>
                </c:pt>
                <c:pt idx="14">
                  <c:v>0.10081296749296885</c:v>
                </c:pt>
                <c:pt idx="15">
                  <c:v>0.11075947986115943</c:v>
                </c:pt>
                <c:pt idx="16">
                  <c:v>0.12168730253489154</c:v>
                </c:pt>
                <c:pt idx="17">
                  <c:v>0.13369324150459358</c:v>
                </c:pt>
                <c:pt idx="18">
                  <c:v>0.14688365081432922</c:v>
                </c:pt>
                <c:pt idx="19">
                  <c:v>0.16137537391505585</c:v>
                </c:pt>
                <c:pt idx="20">
                  <c:v>0.17729677774845898</c:v>
                </c:pt>
                <c:pt idx="21">
                  <c:v>0.19478888867978297</c:v>
                </c:pt>
                <c:pt idx="22">
                  <c:v>0.21400664029134667</c:v>
                </c:pt>
                <c:pt idx="23">
                  <c:v>0.23512024402850754</c:v>
                </c:pt>
                <c:pt idx="24">
                  <c:v>0.25831669476500929</c:v>
                </c:pt>
                <c:pt idx="25">
                  <c:v>0.28380142453397406</c:v>
                </c:pt>
                <c:pt idx="26">
                  <c:v>0.31180011896414694</c:v>
                </c:pt>
                <c:pt idx="27">
                  <c:v>0.34256071237914842</c:v>
                </c:pt>
                <c:pt idx="28">
                  <c:v>0.37635557907215733</c:v>
                </c:pt>
                <c:pt idx="29">
                  <c:v>0.41348393997241512</c:v>
                </c:pt>
                <c:pt idx="30">
                  <c:v>0.45427450578708395</c:v>
                </c:pt>
                <c:pt idx="31">
                  <c:v>0.49908837974739223</c:v>
                </c:pt>
                <c:pt idx="32">
                  <c:v>0.54832224532801521</c:v>
                </c:pt>
                <c:pt idx="33">
                  <c:v>0.60241186676098224</c:v>
                </c:pt>
                <c:pt idx="34">
                  <c:v>0.66183593284923126</c:v>
                </c:pt>
                <c:pt idx="35">
                  <c:v>0.72712027752093189</c:v>
                </c:pt>
                <c:pt idx="36">
                  <c:v>0.79884251377613302</c:v>
                </c:pt>
                <c:pt idx="37">
                  <c:v>0.87763712118611648</c:v>
                </c:pt>
                <c:pt idx="38">
                  <c:v>0.96420103093868714</c:v>
                </c:pt>
                <c:pt idx="39">
                  <c:v>1.0592997566069273</c:v>
                </c:pt>
                <c:pt idx="40">
                  <c:v>1.1637741233838574</c:v>
                </c:pt>
                <c:pt idx="41">
                  <c:v>1.2785476535019016</c:v>
                </c:pt>
                <c:pt idx="42">
                  <c:v>1.4046346709766981</c:v>
                </c:pt>
                <c:pt idx="43">
                  <c:v>1.5431491947137981</c:v>
                </c:pt>
                <c:pt idx="44">
                  <c:v>1.6953146954298155</c:v>
                </c:pt>
                <c:pt idx="45">
                  <c:v>1.8624747988033936</c:v>
                </c:pt>
                <c:pt idx="46">
                  <c:v>2.0461050248234955</c:v>
                </c:pt>
                <c:pt idx="47">
                  <c:v>2.2478256614808911</c:v>
                </c:pt>
                <c:pt idx="48">
                  <c:v>2.4694158797907901</c:v>
                </c:pt>
                <c:pt idx="49">
                  <c:v>2.7128292066766684</c:v>
                </c:pt>
                <c:pt idx="50">
                  <c:v>2.9802104825214091</c:v>
                </c:pt>
                <c:pt idx="51">
                  <c:v>3.2739144412322125</c:v>
                </c:pt>
                <c:pt idx="52">
                  <c:v>3.5965260624950739</c:v>
                </c:pt>
                <c:pt idx="53">
                  <c:v>3.9508828585300728</c:v>
                </c:pt>
                <c:pt idx="54">
                  <c:v>4.3400992711069071</c:v>
                </c:pt>
                <c:pt idx="55">
                  <c:v>4.7675933688338228</c:v>
                </c:pt>
                <c:pt idx="56">
                  <c:v>5.2371160497671481</c:v>
                </c:pt>
                <c:pt idx="57">
                  <c:v>5.7527829701547013</c:v>
                </c:pt>
                <c:pt idx="58">
                  <c:v>6.3191094365467357</c:v>
                </c:pt>
                <c:pt idx="59">
                  <c:v>6.9410485154683697</c:v>
                </c:pt>
                <c:pt idx="60">
                  <c:v>7.6240326321871015</c:v>
                </c:pt>
                <c:pt idx="61">
                  <c:v>8.3740189476106384</c:v>
                </c:pt>
                <c:pt idx="62">
                  <c:v>9.1975388197265957</c:v>
                </c:pt>
                <c:pt idx="63">
                  <c:v>10.101751672873641</c:v>
                </c:pt>
                <c:pt idx="64">
                  <c:v>11.094503614036036</c:v>
                </c:pt>
                <c:pt idx="65">
                  <c:v>12.184391149677312</c:v>
                </c:pt>
                <c:pt idx="66">
                  <c:v>13.380830368618446</c:v>
                </c:pt>
                <c:pt idx="67">
                  <c:v>14.694131965184427</c:v>
                </c:pt>
                <c:pt idx="68">
                  <c:v>16.135582481135923</c:v>
                </c:pt>
                <c:pt idx="69">
                  <c:v>17.717532143357868</c:v>
                </c:pt>
                <c:pt idx="70">
                  <c:v>19.453489665178015</c:v>
                </c:pt>
                <c:pt idx="71">
                  <c:v>21.358224360463051</c:v>
                </c:pt>
                <c:pt idx="72">
                  <c:v>23.447875888798528</c:v>
                </c:pt>
                <c:pt idx="73">
                  <c:v>25.740071904131526</c:v>
                </c:pt>
                <c:pt idx="74">
                  <c:v>28.254053814717896</c:v>
                </c:pt>
                <c:pt idx="75">
                  <c:v>31.010810774915438</c:v>
                </c:pt>
                <c:pt idx="76">
                  <c:v>34.033221914438499</c:v>
                </c:pt>
                <c:pt idx="77">
                  <c:v>37.346206662486523</c:v>
                </c:pt>
                <c:pt idx="78">
                  <c:v>40.976882836165011</c:v>
                </c:pt>
                <c:pt idx="79">
                  <c:v>44.954731927389531</c:v>
                </c:pt>
                <c:pt idx="80">
                  <c:v>49.311770731589242</c:v>
                </c:pt>
                <c:pt idx="81">
                  <c:v>54.082728105612595</c:v>
                </c:pt>
                <c:pt idx="82">
                  <c:v>59.3052252109471</c:v>
                </c:pt>
                <c:pt idx="83">
                  <c:v>65.019957080528897</c:v>
                </c:pt>
                <c:pt idx="84">
                  <c:v>71.270872731244836</c:v>
                </c:pt>
                <c:pt idx="85">
                  <c:v>78.1053503176459</c:v>
                </c:pt>
                <c:pt idx="86">
                  <c:v>85.574362973563765</c:v>
                </c:pt>
                <c:pt idx="87">
                  <c:v>93.732630006398807</c:v>
                </c:pt>
                <c:pt idx="88">
                  <c:v>102.638746985</c:v>
                </c:pt>
                <c:pt idx="89">
                  <c:v>112.35528699084867</c:v>
                </c:pt>
                <c:pt idx="90">
                  <c:v>122.94886388347165</c:v>
                </c:pt>
                <c:pt idx="91">
                  <c:v>134.49014687192803</c:v>
                </c:pt>
                <c:pt idx="92">
                  <c:v>147.05381400248444</c:v>
                </c:pt>
                <c:pt idx="93">
                  <c:v>160.718430399657</c:v>
                </c:pt>
                <c:pt idx="94">
                  <c:v>175.56623528291593</c:v>
                </c:pt>
                <c:pt idx="95">
                  <c:v>191.68281999614226</c:v>
                </c:pt>
                <c:pt idx="96">
                  <c:v>209.15667763026255</c:v>
                </c:pt>
                <c:pt idx="97">
                  <c:v>228.0786034224071</c:v>
                </c:pt>
                <c:pt idx="98">
                  <c:v>248.54092414514074</c:v>
                </c:pt>
                <c:pt idx="99">
                  <c:v>270.63653436447788</c:v>
                </c:pt>
                <c:pt idx="100">
                  <c:v>294.45771799432725</c:v>
                </c:pt>
                <c:pt idx="101">
                  <c:v>320.09473529538786</c:v>
                </c:pt>
                <c:pt idx="102">
                  <c:v>347.63415867756106</c:v>
                </c:pt>
                <c:pt idx="103">
                  <c:v>377.15694570331931</c:v>
                </c:pt>
                <c:pt idx="104">
                  <c:v>408.73624488652064</c:v>
                </c:pt>
                <c:pt idx="105">
                  <c:v>442.43493952976706</c:v>
                </c:pt>
                <c:pt idx="106">
                  <c:v>478.302947153574</c:v>
                </c:pt>
                <c:pt idx="107">
                  <c:v>516.37430711375384</c:v>
                </c:pt>
                <c:pt idx="108">
                  <c:v>556.66410664741716</c:v>
                </c:pt>
                <c:pt idx="109">
                  <c:v>599.1653154276305</c:v>
                </c:pt>
                <c:pt idx="110">
                  <c:v>643.84561999725838</c:v>
                </c:pt>
                <c:pt idx="111">
                  <c:v>690.64437105748539</c:v>
                </c:pt>
                <c:pt idx="112">
                  <c:v>739.46977695517126</c:v>
                </c:pt>
                <c:pt idx="113">
                  <c:v>790.19649390330176</c:v>
                </c:pt>
                <c:pt idx="114">
                  <c:v>842.66377523197593</c:v>
                </c:pt>
                <c:pt idx="115">
                  <c:v>896.67434590933385</c:v>
                </c:pt>
                <c:pt idx="116">
                  <c:v>951.99416239150798</c:v>
                </c:pt>
                <c:pt idx="117">
                  <c:v>1008.3531996590815</c:v>
                </c:pt>
                <c:pt idx="118">
                  <c:v>1065.4473759292148</c:v>
                </c:pt>
                <c:pt idx="119">
                  <c:v>1122.9416809546356</c:v>
                </c:pt>
                <c:pt idx="120">
                  <c:v>1180.4745173771739</c:v>
                </c:pt>
                <c:pt idx="121">
                  <c:v>1237.6631991767908</c:v>
                </c:pt>
                <c:pt idx="122">
                  <c:v>1294.1104812216245</c:v>
                </c:pt>
                <c:pt idx="123">
                  <c:v>1349.4119248630236</c:v>
                </c:pt>
                <c:pt idx="124">
                  <c:v>1403.1638426973109</c:v>
                </c:pt>
                <c:pt idx="125">
                  <c:v>1454.9715172620704</c:v>
                </c:pt>
                <c:pt idx="126">
                  <c:v>1504.457358924031</c:v>
                </c:pt>
                <c:pt idx="127">
                  <c:v>1551.2686612859095</c:v>
                </c:pt>
                <c:pt idx="128">
                  <c:v>1595.0846295872136</c:v>
                </c:pt>
                <c:pt idx="129">
                  <c:v>1635.6223977508876</c:v>
                </c:pt>
                <c:pt idx="130">
                  <c:v>1672.6418094119326</c:v>
                </c:pt>
                <c:pt idx="131">
                  <c:v>1705.9488119031892</c:v>
                </c:pt>
                <c:pt idx="132">
                  <c:v>1735.3973929249892</c:v>
                </c:pt>
                <c:pt idx="133">
                  <c:v>1760.8900702628137</c:v>
                </c:pt>
                <c:pt idx="134">
                  <c:v>1782.3770187385564</c:v>
                </c:pt>
                <c:pt idx="135">
                  <c:v>1799.8539801709398</c:v>
                </c:pt>
                <c:pt idx="136">
                  <c:v>1813.3591478534013</c:v>
                </c:pt>
                <c:pt idx="137">
                  <c:v>1822.9692452933405</c:v>
                </c:pt>
                <c:pt idx="138">
                  <c:v>1828.7950299413408</c:v>
                </c:pt>
                <c:pt idx="139">
                  <c:v>1830.9764481741549</c:v>
                </c:pt>
                <c:pt idx="140">
                  <c:v>1829.6776507656939</c:v>
                </c:pt>
                <c:pt idx="141">
                  <c:v>1825.0820519399499</c:v>
                </c:pt>
                <c:pt idx="142">
                  <c:v>1817.3875833975021</c:v>
                </c:pt>
                <c:pt idx="143">
                  <c:v>1806.8022607088431</c:v>
                </c:pt>
                <c:pt idx="144">
                  <c:v>1793.5401459024126</c:v>
                </c:pt>
                <c:pt idx="145">
                  <c:v>1777.8177590065363</c:v>
                </c:pt>
                <c:pt idx="146">
                  <c:v>1759.8509641085191</c:v>
                </c:pt>
                <c:pt idx="147">
                  <c:v>1739.8523329167706</c:v>
                </c:pt>
                <c:pt idx="148">
                  <c:v>1718.028971074672</c:v>
                </c:pt>
                <c:pt idx="149">
                  <c:v>1694.5807794025573</c:v>
                </c:pt>
                <c:pt idx="150">
                  <c:v>1669.6991133920785</c:v>
                </c:pt>
                <c:pt idx="151">
                  <c:v>1643.5657990449845</c:v>
                </c:pt>
                <c:pt idx="152">
                  <c:v>1616.3524608722448</c:v>
                </c:pt>
                <c:pt idx="153">
                  <c:v>1588.2201178906544</c:v>
                </c:pt>
                <c:pt idx="154">
                  <c:v>1559.3190051646975</c:v>
                </c:pt>
                <c:pt idx="155">
                  <c:v>1529.7885813111204</c:v>
                </c:pt>
                <c:pt idx="156">
                  <c:v>1499.7576859712242</c:v>
                </c:pt>
                <c:pt idx="157">
                  <c:v>1469.3448152102762</c:v>
                </c:pt>
                <c:pt idx="158">
                  <c:v>1438.6584868573746</c:v>
                </c:pt>
                <c:pt idx="159">
                  <c:v>1407.7976717591234</c:v>
                </c:pt>
                <c:pt idx="160">
                  <c:v>1376.8522706547703</c:v>
                </c:pt>
                <c:pt idx="161">
                  <c:v>1345.9036198069293</c:v>
                </c:pt>
                <c:pt idx="162">
                  <c:v>1315.025011596972</c:v>
                </c:pt>
                <c:pt idx="163">
                  <c:v>1284.2822190024572</c:v>
                </c:pt>
                <c:pt idx="164">
                  <c:v>1253.7340152206787</c:v>
                </c:pt>
                <c:pt idx="165">
                  <c:v>1223.4326817061838</c:v>
                </c:pt>
                <c:pt idx="166">
                  <c:v>1193.42449957797</c:v>
                </c:pt>
                <c:pt idx="167">
                  <c:v>1163.7502207554528</c:v>
                </c:pt>
                <c:pt idx="168">
                  <c:v>1134.4455163342486</c:v>
                </c:pt>
                <c:pt idx="169">
                  <c:v>1105.5414006460296</c:v>
                </c:pt>
                <c:pt idx="170">
                  <c:v>1077.0646301922031</c:v>
                </c:pt>
                <c:pt idx="171">
                  <c:v>1049.038077227513</c:v>
                </c:pt>
                <c:pt idx="172">
                  <c:v>1021.4810782226207</c:v>
                </c:pt>
                <c:pt idx="173">
                  <c:v>994.40975777703818</c:v>
                </c:pt>
                <c:pt idx="174">
                  <c:v>967.83732880528555</c:v>
                </c:pt>
                <c:pt idx="175">
                  <c:v>941.7743699968687</c:v>
                </c:pt>
                <c:pt idx="176">
                  <c:v>916.22908166910997</c:v>
                </c:pt>
                <c:pt idx="177">
                  <c:v>891.20752120320913</c:v>
                </c:pt>
                <c:pt idx="178">
                  <c:v>866.71381928831954</c:v>
                </c:pt>
                <c:pt idx="179">
                  <c:v>842.75037820431362</c:v>
                </c:pt>
                <c:pt idx="180">
                  <c:v>819.31805335815397</c:v>
                </c:pt>
                <c:pt idx="181">
                  <c:v>796.41631925699426</c:v>
                </c:pt>
                <c:pt idx="182">
                  <c:v>774.04342105780813</c:v>
                </c:pt>
                <c:pt idx="183">
                  <c:v>752.19651278208835</c:v>
                </c:pt>
                <c:pt idx="184">
                  <c:v>730.87178322783029</c:v>
                </c:pt>
                <c:pt idx="185">
                  <c:v>710.06457055182398</c:v>
                </c:pt>
                <c:pt idx="186">
                  <c:v>689.76946643496899</c:v>
                </c:pt>
                <c:pt idx="187">
                  <c:v>669.98041068317752</c:v>
                </c:pt>
                <c:pt idx="188">
                  <c:v>650.6907770574411</c:v>
                </c:pt>
                <c:pt idx="189">
                  <c:v>631.89345106949656</c:v>
                </c:pt>
                <c:pt idx="190">
                  <c:v>613.58090042473805</c:v>
                </c:pt>
                <c:pt idx="191">
                  <c:v>595.74523874190686</c:v>
                </c:pt>
                <c:pt idx="192">
                  <c:v>578.37828312986085</c:v>
                </c:pt>
                <c:pt idx="193">
                  <c:v>561.47160615545397</c:v>
                </c:pt>
                <c:pt idx="194">
                  <c:v>545.01658269328846</c:v>
                </c:pt>
                <c:pt idx="195">
                  <c:v>529.00443210778417</c:v>
                </c:pt>
                <c:pt idx="196">
                  <c:v>513.42625618056695</c:v>
                </c:pt>
                <c:pt idx="197">
                  <c:v>498.27307316151251</c:v>
                </c:pt>
                <c:pt idx="198">
                  <c:v>483.53584828974203</c:v>
                </c:pt>
                <c:pt idx="199">
                  <c:v>469.205521101344</c:v>
                </c:pt>
                <c:pt idx="200">
                  <c:v>455.27302981340745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A9-4149-92DF-4F6C541B73D3}"/>
            </c:ext>
          </c:extLst>
        </c:ser>
        <c:ser>
          <c:idx val="2"/>
          <c:order val="2"/>
          <c:tx>
            <c:strRef>
              <c:f>Cabañas!$K$3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Cabañas!$C$3:$C$204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Cabañas!$K$4:$K$204</c:f>
              <c:numCache>
                <c:formatCode>0</c:formatCode>
                <c:ptCount val="201"/>
                <c:pt idx="1">
                  <c:v>3.6666666666666701E-3</c:v>
                </c:pt>
                <c:pt idx="2">
                  <c:v>4.0284412032355566E-3</c:v>
                </c:pt>
                <c:pt idx="3">
                  <c:v>4.4259100506235305E-3</c:v>
                </c:pt>
                <c:pt idx="4">
                  <c:v>4.862594876228683E-3</c:v>
                </c:pt>
                <c:pt idx="5">
                  <c:v>5.3423647821403738E-3</c:v>
                </c:pt>
                <c:pt idx="6">
                  <c:v>5.8694705777046132E-3</c:v>
                </c:pt>
                <c:pt idx="7">
                  <c:v>6.4485824320536841E-3</c:v>
                </c:pt>
                <c:pt idx="8">
                  <c:v>7.0848312397584923E-3</c:v>
                </c:pt>
                <c:pt idx="9">
                  <c:v>7.7838540655650488E-3</c:v>
                </c:pt>
                <c:pt idx="10">
                  <c:v>8.5518440702017622E-3</c:v>
                </c:pt>
                <c:pt idx="11">
                  <c:v>9.3956053588067998E-3</c:v>
                </c:pt>
                <c:pt idx="12">
                  <c:v>1.0322613236970148E-2</c:v>
                </c:pt>
                <c:pt idx="13">
                  <c:v>1.1341080407091904E-2</c:v>
                </c:pt>
                <c:pt idx="14">
                  <c:v>1.2460029690142231E-2</c:v>
                </c:pt>
                <c:pt idx="15">
                  <c:v>1.3689373915424212E-2</c:v>
                </c:pt>
                <c:pt idx="16">
                  <c:v>1.5040003684087734E-2</c:v>
                </c:pt>
                <c:pt idx="17">
                  <c:v>1.6523883781466638E-2</c:v>
                </c:pt>
                <c:pt idx="18">
                  <c:v>1.8154159089411492E-2</c:v>
                </c:pt>
                <c:pt idx="19">
                  <c:v>1.9945270933321529E-2</c:v>
                </c:pt>
                <c:pt idx="20">
                  <c:v>2.1913084890258998E-2</c:v>
                </c:pt>
                <c:pt idx="21">
                  <c:v>2.4075031185141739E-2</c:v>
                </c:pt>
                <c:pt idx="22">
                  <c:v>2.6450258912413659E-2</c:v>
                </c:pt>
                <c:pt idx="23">
                  <c:v>2.9059805441725685E-2</c:v>
                </c:pt>
                <c:pt idx="24">
                  <c:v>3.1926782499046125E-2</c:v>
                </c:pt>
                <c:pt idx="25">
                  <c:v>3.5076580560378851E-2</c:v>
                </c:pt>
                <c:pt idx="26">
                  <c:v>3.8537093355119324E-2</c:v>
                </c:pt>
                <c:pt idx="27">
                  <c:v>4.233896445135546E-2</c:v>
                </c:pt>
                <c:pt idx="28">
                  <c:v>4.6515858087570056E-2</c:v>
                </c:pt>
                <c:pt idx="29">
                  <c:v>5.1104756625804167E-2</c:v>
                </c:pt>
                <c:pt idx="30">
                  <c:v>5.6146287232111555E-2</c:v>
                </c:pt>
                <c:pt idx="31">
                  <c:v>6.168508064293618E-2</c:v>
                </c:pt>
                <c:pt idx="32">
                  <c:v>6.7770165152900824E-2</c:v>
                </c:pt>
                <c:pt idx="33">
                  <c:v>7.4455399262593383E-2</c:v>
                </c:pt>
                <c:pt idx="34">
                  <c:v>8.1799946756646646E-2</c:v>
                </c:pt>
                <c:pt idx="35">
                  <c:v>8.9868798345283801E-2</c:v>
                </c:pt>
                <c:pt idx="36">
                  <c:v>9.8733344399297443E-2</c:v>
                </c:pt>
                <c:pt idx="37">
                  <c:v>0.10847200374210439</c:v>
                </c:pt>
                <c:pt idx="38">
                  <c:v>0.11917091393624234</c:v>
                </c:pt>
                <c:pt idx="39">
                  <c:v>0.13092468901883386</c:v>
                </c:pt>
                <c:pt idx="40">
                  <c:v>0.14383725120474658</c:v>
                </c:pt>
                <c:pt idx="41">
                  <c:v>0.15802274369124639</c:v>
                </c:pt>
                <c:pt idx="42">
                  <c:v>0.17360653236790669</c:v>
                </c:pt>
                <c:pt idx="43">
                  <c:v>0.19072630496462695</c:v>
                </c:pt>
                <c:pt idx="44">
                  <c:v>0.20953327696323584</c:v>
                </c:pt>
                <c:pt idx="45">
                  <c:v>0.23019351445884664</c:v>
                </c:pt>
                <c:pt idx="46">
                  <c:v>0.25288938509054465</c:v>
                </c:pt>
                <c:pt idx="47">
                  <c:v>0.27782114917179584</c:v>
                </c:pt>
                <c:pt idx="48">
                  <c:v>0.30520870424380586</c:v>
                </c:pt>
                <c:pt idx="49">
                  <c:v>0.33529349745442005</c:v>
                </c:pt>
                <c:pt idx="50">
                  <c:v>0.36834062143523078</c:v>
                </c:pt>
                <c:pt idx="51">
                  <c:v>0.40464111071409403</c:v>
                </c:pt>
                <c:pt idx="52">
                  <c:v>0.44451445716231297</c:v>
                </c:pt>
                <c:pt idx="53">
                  <c:v>0.48831136453742524</c:v>
                </c:pt>
                <c:pt idx="54">
                  <c:v>0.5364167638446744</c:v>
                </c:pt>
                <c:pt idx="55">
                  <c:v>0.58925311300193373</c:v>
                </c:pt>
                <c:pt idx="56">
                  <c:v>0.64728400615099646</c:v>
                </c:pt>
                <c:pt idx="57">
                  <c:v>0.71101811990676156</c:v>
                </c:pt>
                <c:pt idx="58">
                  <c:v>0.78101352586532768</c:v>
                </c:pt>
                <c:pt idx="59">
                  <c:v>0.85788240078822631</c:v>
                </c:pt>
                <c:pt idx="60">
                  <c:v>0.94229616802312599</c:v>
                </c:pt>
                <c:pt idx="61">
                  <c:v>1.0349911058844619</c:v>
                </c:pt>
                <c:pt idx="62">
                  <c:v>1.1367744608650863</c:v>
                </c:pt>
                <c:pt idx="63">
                  <c:v>1.2485311056360693</c:v>
                </c:pt>
                <c:pt idx="64">
                  <c:v>1.3712307837572644</c:v>
                </c:pt>
                <c:pt idx="65">
                  <c:v>1.5059359847915796</c:v>
                </c:pt>
                <c:pt idx="66">
                  <c:v>1.6538104949977872</c:v>
                </c:pt>
                <c:pt idx="67">
                  <c:v>1.8161286698542571</c:v>
                </c:pt>
                <c:pt idx="68">
                  <c:v>1.9942854751965771</c:v>
                </c:pt>
                <c:pt idx="69">
                  <c:v>2.1898073435610867</c:v>
                </c:pt>
                <c:pt idx="70">
                  <c:v>2.4043638912017795</c:v>
                </c:pt>
                <c:pt idx="71">
                  <c:v>2.6397805389336382</c:v>
                </c:pt>
                <c:pt idx="72">
                  <c:v>2.8980520761436415</c:v>
                </c:pt>
                <c:pt idx="73">
                  <c:v>3.1813572016342366</c:v>
                </c:pt>
                <c:pt idx="74">
                  <c:v>3.492074066987608</c:v>
                </c:pt>
                <c:pt idx="75">
                  <c:v>3.8327968373491026</c:v>
                </c:pt>
                <c:pt idx="76">
                  <c:v>4.2063532703238637</c:v>
                </c:pt>
                <c:pt idx="77">
                  <c:v>4.6158232953635077</c:v>
                </c:pt>
                <c:pt idx="78">
                  <c:v>5.0645585527844448</c:v>
                </c:pt>
                <c:pt idx="79">
                  <c:v>5.5562028224863527</c:v>
                </c:pt>
                <c:pt idx="80">
                  <c:v>6.0947132364885634</c:v>
                </c:pt>
                <c:pt idx="81">
                  <c:v>6.6843821254127995</c:v>
                </c:pt>
                <c:pt idx="82">
                  <c:v>7.3298592957350426</c:v>
                </c:pt>
                <c:pt idx="83">
                  <c:v>8.0361744706271772</c:v>
                </c:pt>
                <c:pt idx="84">
                  <c:v>8.8087595510527397</c:v>
                </c:pt>
                <c:pt idx="85">
                  <c:v>9.6534702639787167</c:v>
                </c:pt>
                <c:pt idx="86">
                  <c:v>10.576606659653958</c:v>
                </c:pt>
                <c:pt idx="87">
                  <c:v>11.584931798543685</c:v>
                </c:pt>
                <c:pt idx="88">
                  <c:v>12.685687829606755</c:v>
                </c:pt>
                <c:pt idx="89">
                  <c:v>13.886608504486928</c:v>
                </c:pt>
                <c:pt idx="90">
                  <c:v>15.195926996833588</c:v>
                </c:pt>
                <c:pt idx="91">
                  <c:v>16.622377703272019</c:v>
                </c:pt>
                <c:pt idx="92">
                  <c:v>18.175190494689105</c:v>
                </c:pt>
                <c:pt idx="93">
                  <c:v>19.864075667373356</c:v>
                </c:pt>
                <c:pt idx="94">
                  <c:v>21.69919761923682</c:v>
                </c:pt>
                <c:pt idx="95">
                  <c:v>23.691135055703</c:v>
                </c:pt>
                <c:pt idx="96">
                  <c:v>25.850825325088653</c:v>
                </c:pt>
                <c:pt idx="97">
                  <c:v>28.189490310634611</c:v>
                </c:pt>
                <c:pt idx="98">
                  <c:v>30.718541186478099</c:v>
                </c:pt>
                <c:pt idx="99">
                  <c:v>33.449459303474832</c:v>
                </c:pt>
                <c:pt idx="100">
                  <c:v>36.393650538624755</c:v>
                </c:pt>
                <c:pt idx="101">
                  <c:v>39.562270654486177</c:v>
                </c:pt>
                <c:pt idx="102">
                  <c:v>42.966019611833438</c:v>
                </c:pt>
                <c:pt idx="103">
                  <c:v>46.614903401533894</c:v>
                </c:pt>
                <c:pt idx="104">
                  <c:v>50.517962851143047</c:v>
                </c:pt>
                <c:pt idx="105">
                  <c:v>54.682970054240933</c:v>
                </c:pt>
                <c:pt idx="106">
                  <c:v>59.116094592014825</c:v>
                </c:pt>
                <c:pt idx="107">
                  <c:v>63.821543575857277</c:v>
                </c:pt>
                <c:pt idx="108">
                  <c:v>68.801181720467369</c:v>
                </c:pt>
                <c:pt idx="109">
                  <c:v>74.054140109033071</c:v>
                </c:pt>
                <c:pt idx="110">
                  <c:v>79.576424943481456</c:v>
                </c:pt>
                <c:pt idx="111">
                  <c:v>85.360540243060072</c:v>
                </c:pt>
                <c:pt idx="112">
                  <c:v>91.395140971987558</c:v>
                </c:pt>
                <c:pt idx="113">
                  <c:v>97.664735201531769</c:v>
                </c:pt>
                <c:pt idx="114">
                  <c:v>104.14945536574993</c:v>
                </c:pt>
                <c:pt idx="115">
                  <c:v>110.8249191573335</c:v>
                </c:pt>
                <c:pt idx="116">
                  <c:v>117.66219984614155</c:v>
                </c:pt>
                <c:pt idx="117">
                  <c:v>124.62792355336975</c:v>
                </c:pt>
                <c:pt idx="118">
                  <c:v>131.6845071373188</c:v>
                </c:pt>
                <c:pt idx="119">
                  <c:v>138.79054483708993</c:v>
                </c:pt>
                <c:pt idx="120">
                  <c:v>145.90134484436996</c:v>
                </c:pt>
                <c:pt idx="121">
                  <c:v>152.96960888701923</c:v>
                </c:pt>
                <c:pt idx="122">
                  <c:v>159.94623925211104</c:v>
                </c:pt>
                <c:pt idx="123">
                  <c:v>166.78124914037389</c:v>
                </c:pt>
                <c:pt idx="124">
                  <c:v>173.42474460303859</c:v>
                </c:pt>
                <c:pt idx="125">
                  <c:v>179.82794033576167</c:v>
                </c:pt>
                <c:pt idx="126">
                  <c:v>185.94416795690287</c:v>
                </c:pt>
                <c:pt idx="127">
                  <c:v>191.7298345409553</c:v>
                </c:pt>
                <c:pt idx="128">
                  <c:v>197.14529129729627</c:v>
                </c:pt>
                <c:pt idx="129">
                  <c:v>202.15557725010987</c:v>
                </c:pt>
                <c:pt idx="130">
                  <c:v>206.73101015203682</c:v>
                </c:pt>
                <c:pt idx="131">
                  <c:v>210.84760596556291</c:v>
                </c:pt>
                <c:pt idx="132">
                  <c:v>214.48731822668427</c:v>
                </c:pt>
                <c:pt idx="133">
                  <c:v>217.63809857180865</c:v>
                </c:pt>
                <c:pt idx="134">
                  <c:v>220.29378883285554</c:v>
                </c:pt>
                <c:pt idx="135">
                  <c:v>222.45386271775683</c:v>
                </c:pt>
                <c:pt idx="136">
                  <c:v>224.1230407459262</c:v>
                </c:pt>
                <c:pt idx="137">
                  <c:v>225.31080559805352</c:v>
                </c:pt>
                <c:pt idx="138">
                  <c:v>226.03084639724457</c:v>
                </c:pt>
                <c:pt idx="139">
                  <c:v>226.30045988669355</c:v>
                </c:pt>
                <c:pt idx="140">
                  <c:v>226.13993436429948</c:v>
                </c:pt>
                <c:pt idx="141">
                  <c:v>225.57193900381426</c:v>
                </c:pt>
                <c:pt idx="142">
                  <c:v>224.6209372738488</c:v>
                </c:pt>
                <c:pt idx="143">
                  <c:v>223.31263896401455</c:v>
                </c:pt>
                <c:pt idx="144">
                  <c:v>221.67350117895009</c:v>
                </c:pt>
                <c:pt idx="145">
                  <c:v>219.73028482103282</c:v>
                </c:pt>
                <c:pt idx="146">
                  <c:v>217.50966972127787</c:v>
                </c:pt>
                <c:pt idx="147">
                  <c:v>215.03792878746626</c:v>
                </c:pt>
                <c:pt idx="148">
                  <c:v>212.34065934630797</c:v>
                </c:pt>
                <c:pt idx="149">
                  <c:v>209.44256824076575</c:v>
                </c:pt>
                <c:pt idx="150">
                  <c:v>206.36730614958293</c:v>
                </c:pt>
                <c:pt idx="151">
                  <c:v>203.13734594938029</c:v>
                </c:pt>
                <c:pt idx="152">
                  <c:v>199.77389965836755</c:v>
                </c:pt>
                <c:pt idx="153">
                  <c:v>196.29686850333948</c:v>
                </c:pt>
                <c:pt idx="154">
                  <c:v>192.72482086305268</c:v>
                </c:pt>
                <c:pt idx="155">
                  <c:v>189.07499319575663</c:v>
                </c:pt>
                <c:pt idx="156">
                  <c:v>185.36330950206158</c:v>
                </c:pt>
                <c:pt idx="157">
                  <c:v>181.60441536306806</c:v>
                </c:pt>
                <c:pt idx="158">
                  <c:v>177.81172309473186</c:v>
                </c:pt>
                <c:pt idx="159">
                  <c:v>173.9974650488806</c:v>
                </c:pt>
                <c:pt idx="160">
                  <c:v>170.17275255283695</c:v>
                </c:pt>
                <c:pt idx="161">
                  <c:v>166.34763840310379</c:v>
                </c:pt>
                <c:pt idx="162">
                  <c:v>162.5311812086147</c:v>
                </c:pt>
                <c:pt idx="163">
                  <c:v>158.731510213787</c:v>
                </c:pt>
                <c:pt idx="164">
                  <c:v>154.95588952165707</c:v>
                </c:pt>
                <c:pt idx="165">
                  <c:v>151.2107808850341</c:v>
                </c:pt>
                <c:pt idx="166">
                  <c:v>147.50190444222116</c:v>
                </c:pt>
                <c:pt idx="167">
                  <c:v>143.8342969473033</c:v>
                </c:pt>
                <c:pt idx="168">
                  <c:v>140.21236718737919</c:v>
                </c:pt>
                <c:pt idx="169">
                  <c:v>136.63994839445323</c:v>
                </c:pt>
                <c:pt idx="170">
                  <c:v>133.12034755184547</c:v>
                </c:pt>
                <c:pt idx="171">
                  <c:v>129.65639156744555</c:v>
                </c:pt>
                <c:pt idx="172">
                  <c:v>126.25047034212177</c:v>
                </c:pt>
                <c:pt idx="173">
                  <c:v>122.90457680390371</c:v>
                </c:pt>
                <c:pt idx="174">
                  <c:v>119.62034400964215</c:v>
                </c:pt>
                <c:pt idx="175">
                  <c:v>116.39907943781535</c:v>
                </c:pt>
                <c:pt idx="176">
                  <c:v>113.241796610789</c:v>
                </c:pt>
                <c:pt idx="177">
                  <c:v>110.14924419365518</c:v>
                </c:pt>
                <c:pt idx="178">
                  <c:v>107.12193272102836</c:v>
                </c:pt>
                <c:pt idx="179">
                  <c:v>104.16015910390404</c:v>
                </c:pt>
                <c:pt idx="180">
                  <c:v>101.26402906673823</c:v>
                </c:pt>
                <c:pt idx="181">
                  <c:v>98.433477660976919</c:v>
                </c:pt>
                <c:pt idx="182">
                  <c:v>95.668287995908969</c:v>
                </c:pt>
                <c:pt idx="183">
                  <c:v>92.968108321381806</c:v>
                </c:pt>
                <c:pt idx="184">
                  <c:v>90.332467589956636</c:v>
                </c:pt>
                <c:pt idx="185">
                  <c:v>87.760789618764846</c:v>
                </c:pt>
                <c:pt idx="186">
                  <c:v>85.252405963872661</c:v>
                </c:pt>
                <c:pt idx="187">
                  <c:v>82.806567612527644</c:v>
                </c:pt>
                <c:pt idx="188">
                  <c:v>80.422455591369214</c:v>
                </c:pt>
                <c:pt idx="189">
                  <c:v>78.099190581623262</c:v>
                </c:pt>
                <c:pt idx="190">
                  <c:v>75.835841625529511</c:v>
                </c:pt>
                <c:pt idx="191">
                  <c:v>73.631434001808785</c:v>
                </c:pt>
                <c:pt idx="192">
                  <c:v>71.484956341892982</c:v>
                </c:pt>
                <c:pt idx="193">
                  <c:v>69.395367052921344</c:v>
                </c:pt>
                <c:pt idx="194">
                  <c:v>67.361600108159323</c:v>
                </c:pt>
                <c:pt idx="195">
                  <c:v>65.382570260512708</c:v>
                </c:pt>
                <c:pt idx="196">
                  <c:v>63.457177730182494</c:v>
                </c:pt>
                <c:pt idx="197">
                  <c:v>61.584312413220701</c:v>
                </c:pt>
                <c:pt idx="198">
                  <c:v>59.762857653788402</c:v>
                </c:pt>
                <c:pt idx="199">
                  <c:v>57.991693619267295</c:v>
                </c:pt>
                <c:pt idx="200">
                  <c:v>56.26970031401671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A9-4149-92DF-4F6C541B7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La Paz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'La Paz'!$I$3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Paz'!$C$3:$C$204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Paz'!$I$4:$I$204</c:f>
              <c:numCache>
                <c:formatCode>0</c:formatCode>
                <c:ptCount val="201"/>
                <c:pt idx="1">
                  <c:v>0.13199957155098543</c:v>
                </c:pt>
                <c:pt idx="2">
                  <c:v>0.14502341231307508</c:v>
                </c:pt>
                <c:pt idx="3">
                  <c:v>0.15933224596757553</c:v>
                </c:pt>
                <c:pt idx="4">
                  <c:v>0.17505285290127959</c:v>
                </c:pt>
                <c:pt idx="5">
                  <c:v>0.19232452132607017</c:v>
                </c:pt>
                <c:pt idx="6">
                  <c:v>0.21130028113966018</c:v>
                </c:pt>
                <c:pt idx="7">
                  <c:v>0.23214825947642262</c:v>
                </c:pt>
                <c:pt idx="8">
                  <c:v>0.25505316994452426</c:v>
                </c:pt>
                <c:pt idx="9">
                  <c:v>0.2802179487270175</c:v>
                </c:pt>
                <c:pt idx="10">
                  <c:v>0.30786555202210342</c:v>
                </c:pt>
                <c:pt idx="11">
                  <c:v>0.33824093072281647</c:v>
                </c:pt>
                <c:pt idx="12">
                  <c:v>0.37161319980136459</c:v>
                </c:pt>
                <c:pt idx="13">
                  <c:v>0.40827802158195647</c:v>
                </c:pt>
                <c:pt idx="14">
                  <c:v>0.44856022397315515</c:v>
                </c:pt>
                <c:pt idx="15">
                  <c:v>0.49281667680304764</c:v>
                </c:pt>
                <c:pt idx="16">
                  <c:v>0.54143945167583629</c:v>
                </c:pt>
                <c:pt idx="17">
                  <c:v>0.59485929326658371</c:v>
                </c:pt>
                <c:pt idx="18">
                  <c:v>0.65354943271340504</c:v>
                </c:pt>
                <c:pt idx="19">
                  <c:v>0.71802977677711877</c:v>
                </c:pt>
                <c:pt idx="20">
                  <c:v>0.78887150974315179</c:v>
                </c:pt>
                <c:pt idx="21">
                  <c:v>0.86670214866778994</c:v>
                </c:pt>
                <c:pt idx="22">
                  <c:v>0.95221109655171532</c:v>
                </c:pt>
                <c:pt idx="23">
                  <c:v>1.0461557423921761</c:v>
                </c:pt>
                <c:pt idx="24">
                  <c:v>1.1493681618582789</c:v>
                </c:pt>
                <c:pt idx="25">
                  <c:v>1.2627624775923336</c:v>
                </c:pt>
                <c:pt idx="26">
                  <c:v>1.3873429439082854</c:v>
                </c:pt>
                <c:pt idx="27">
                  <c:v>1.5242128269844462</c:v>
                </c:pt>
                <c:pt idx="28">
                  <c:v>1.6745841585846992</c:v>
                </c:pt>
                <c:pt idx="29">
                  <c:v>1.8397884489476724</c:v>
                </c:pt>
                <c:pt idx="30">
                  <c:v>2.0212884528196078</c:v>
                </c:pt>
                <c:pt idx="31">
                  <c:v>2.2206910917419544</c:v>
                </c:pt>
                <c:pt idx="32">
                  <c:v>2.439761645712982</c:v>
                </c:pt>
                <c:pt idx="33">
                  <c:v>2.6804393383043807</c:v>
                </c:pt>
                <c:pt idx="34">
                  <c:v>2.9448544513156869</c:v>
                </c:pt>
                <c:pt idx="35">
                  <c:v>3.2353471181857829</c:v>
                </c:pt>
                <c:pt idx="36">
                  <c:v>3.5544879597532097</c:v>
                </c:pt>
                <c:pt idx="37">
                  <c:v>3.9051007416751995</c:v>
                </c:pt>
                <c:pt idx="38">
                  <c:v>4.2902872499970526</c:v>
                </c:pt>
                <c:pt idx="39">
                  <c:v>4.7134546001351394</c:v>
                </c:pt>
                <c:pt idx="40">
                  <c:v>5.1783452150335707</c:v>
                </c:pt>
                <c:pt idx="41">
                  <c:v>5.6890697306204645</c:v>
                </c:pt>
                <c:pt idx="42">
                  <c:v>6.2501431110776773</c:v>
                </c:pt>
                <c:pt idx="43">
                  <c:v>6.8665242830093138</c:v>
                </c:pt>
                <c:pt idx="44">
                  <c:v>7.5436596265189539</c:v>
                </c:pt>
                <c:pt idx="45">
                  <c:v>8.2875306926602743</c:v>
                </c:pt>
                <c:pt idx="46">
                  <c:v>9.1047065508938889</c:v>
                </c:pt>
                <c:pt idx="47">
                  <c:v>10.002401207252239</c:v>
                </c:pt>
                <c:pt idx="48">
                  <c:v>10.988536574074379</c:v>
                </c:pt>
                <c:pt idx="49">
                  <c:v>12.07181151561211</c:v>
                </c:pt>
                <c:pt idx="50">
                  <c:v>13.261777540712437</c:v>
                </c:pt>
                <c:pt idx="51">
                  <c:v>14.568921764322285</c:v>
                </c:pt>
                <c:pt idx="52">
                  <c:v>16.004757813896997</c:v>
                </c:pt>
                <c:pt idx="53">
                  <c:v>17.581925415055547</c:v>
                </c:pt>
                <c:pt idx="54">
                  <c:v>19.314299453108578</c:v>
                </c:pt>
                <c:pt idx="55">
                  <c:v>21.217109373436493</c:v>
                </c:pt>
                <c:pt idx="56">
                  <c:v>23.307069854094099</c:v>
                </c:pt>
                <c:pt idx="57">
                  <c:v>25.602523758361517</c:v>
                </c:pt>
                <c:pt idx="58">
                  <c:v>28.123598453029931</c:v>
                </c:pt>
                <c:pt idx="59">
                  <c:v>30.892376659649905</c:v>
                </c:pt>
                <c:pt idx="60">
                  <c:v>33.93308309024134</c:v>
                </c:pt>
                <c:pt idx="61">
                  <c:v>37.272288205309088</c:v>
                </c:pt>
                <c:pt idx="62">
                  <c:v>40.939130519389053</c:v>
                </c:pt>
                <c:pt idx="63">
                  <c:v>44.965558966385153</c:v>
                </c:pt>
                <c:pt idx="64">
                  <c:v>49.386596921845374</c:v>
                </c:pt>
                <c:pt idx="65">
                  <c:v>54.240629559745706</c:v>
                </c:pt>
                <c:pt idx="66">
                  <c:v>59.569716294358514</c:v>
                </c:pt>
                <c:pt idx="67">
                  <c:v>65.419930119667626</c:v>
                </c:pt>
                <c:pt idx="68">
                  <c:v>71.84172570493233</c:v>
                </c:pt>
                <c:pt idx="69">
                  <c:v>78.890338129668677</c:v>
                </c:pt>
                <c:pt idx="70">
                  <c:v>86.626214137464515</c:v>
                </c:pt>
                <c:pt idx="71">
                  <c:v>95.115477747057838</c:v>
                </c:pt>
                <c:pt idx="72">
                  <c:v>104.43043197051843</c:v>
                </c:pt>
                <c:pt idx="73">
                  <c:v>114.6500982395102</c:v>
                </c:pt>
                <c:pt idx="74">
                  <c:v>125.86079491624434</c:v>
                </c:pt>
                <c:pt idx="75">
                  <c:v>138.15675594763204</c:v>
                </c:pt>
                <c:pt idx="76">
                  <c:v>151.64079028760818</c:v>
                </c:pt>
                <c:pt idx="77">
                  <c:v>166.42498213794167</c:v>
                </c:pt>
                <c:pt idx="78">
                  <c:v>182.63143131184475</c:v>
                </c:pt>
                <c:pt idx="79">
                  <c:v>200.39303207199842</c:v>
                </c:pt>
                <c:pt idx="80">
                  <c:v>219.85428759416922</c:v>
                </c:pt>
                <c:pt idx="81">
                  <c:v>241.17215571210014</c:v>
                </c:pt>
                <c:pt idx="82">
                  <c:v>264.51691975476916</c:v>
                </c:pt>
                <c:pt idx="83">
                  <c:v>290.07307603231033</c:v>
                </c:pt>
                <c:pt idx="84">
                  <c:v>318.04022679360514</c:v>
                </c:pt>
                <c:pt idx="85">
                  <c:v>348.63396419157499</c:v>
                </c:pt>
                <c:pt idx="86">
                  <c:v>382.08672687021681</c:v>
                </c:pt>
                <c:pt idx="87">
                  <c:v>418.64860614448133</c:v>
                </c:pt>
                <c:pt idx="88">
                  <c:v>458.58807329214403</c:v>
                </c:pt>
                <c:pt idx="89">
                  <c:v>502.19259312960639</c:v>
                </c:pt>
                <c:pt idx="90">
                  <c:v>549.76908172217384</c:v>
                </c:pt>
                <c:pt idx="91">
                  <c:v>601.64415772019277</c:v>
                </c:pt>
                <c:pt idx="92">
                  <c:v>658.16412737780672</c:v>
                </c:pt>
                <c:pt idx="93">
                  <c:v>719.69463280351567</c:v>
                </c:pt>
                <c:pt idx="94">
                  <c:v>786.61988147216732</c:v>
                </c:pt>
                <c:pt idx="95">
                  <c:v>859.34136263909124</c:v>
                </c:pt>
                <c:pt idx="96">
                  <c:v>938.2759432916971</c:v>
                </c:pt>
                <c:pt idx="97">
                  <c:v>1023.8532230494758</c:v>
                </c:pt>
                <c:pt idx="98">
                  <c:v>1116.5120145621067</c:v>
                </c:pt>
                <c:pt idx="99">
                  <c:v>1216.6958042691817</c:v>
                </c:pt>
                <c:pt idx="100">
                  <c:v>1324.8470389636832</c:v>
                </c:pt>
                <c:pt idx="101">
                  <c:v>1441.4000778607192</c:v>
                </c:pt>
                <c:pt idx="102">
                  <c:v>1566.7726495980532</c:v>
                </c:pt>
                <c:pt idx="103">
                  <c:v>1701.355660969183</c:v>
                </c:pt>
                <c:pt idx="104">
                  <c:v>1845.5012218010888</c:v>
                </c:pt>
                <c:pt idx="105">
                  <c:v>1999.5087811963567</c:v>
                </c:pt>
                <c:pt idx="106">
                  <c:v>2163.6093176035401</c:v>
                </c:pt>
                <c:pt idx="107">
                  <c:v>2337.9475922134011</c:v>
                </c:pt>
                <c:pt idx="108">
                  <c:v>2522.5625651979312</c:v>
                </c:pt>
                <c:pt idx="109">
                  <c:v>2717.3661899582871</c:v>
                </c:pt>
                <c:pt idx="110">
                  <c:v>2922.1209433859881</c:v>
                </c:pt>
                <c:pt idx="111">
                  <c:v>3136.4166199637975</c:v>
                </c:pt>
                <c:pt idx="112">
                  <c:v>3359.64711156368</c:v>
                </c:pt>
                <c:pt idx="113">
                  <c:v>3590.98810681231</c:v>
                </c:pt>
                <c:pt idx="114">
                  <c:v>3829.3768633448462</c:v>
                </c:pt>
                <c:pt idx="115">
                  <c:v>4073.4954175883267</c:v>
                </c:pt>
                <c:pt idx="116">
                  <c:v>4321.7587789776962</c:v>
                </c:pt>
                <c:pt idx="117">
                  <c:v>4572.3097826871272</c:v>
                </c:pt>
                <c:pt idx="118">
                  <c:v>4823.0223170871823</c:v>
                </c:pt>
                <c:pt idx="119">
                  <c:v>5071.5145675621643</c:v>
                </c:pt>
                <c:pt idx="120">
                  <c:v>5315.1736972296167</c:v>
                </c:pt>
                <c:pt idx="121">
                  <c:v>5551.1929942582747</c:v>
                </c:pt>
                <c:pt idx="122">
                  <c:v>5776.6219438410035</c:v>
                </c:pt>
                <c:pt idx="123">
                  <c:v>5988.4289374351683</c:v>
                </c:pt>
                <c:pt idx="124">
                  <c:v>6183.5754426747017</c:v>
                </c:pt>
                <c:pt idx="125">
                  <c:v>6359.0994803842686</c:v>
                </c:pt>
                <c:pt idx="126">
                  <c:v>6512.2052717809374</c:v>
                </c:pt>
                <c:pt idx="127">
                  <c:v>6640.3550308969743</c:v>
                </c:pt>
                <c:pt idx="128">
                  <c:v>6741.3581962997541</c:v>
                </c:pt>
                <c:pt idx="129">
                  <c:v>6813.4530296926914</c:v>
                </c:pt>
                <c:pt idx="130">
                  <c:v>6855.3755426739062</c:v>
                </c:pt>
                <c:pt idx="131">
                  <c:v>6866.4111938951974</c:v>
                </c:pt>
                <c:pt idx="132">
                  <c:v>6846.4257223603609</c:v>
                </c:pt>
                <c:pt idx="133">
                  <c:v>6795.8727860600957</c:v>
                </c:pt>
                <c:pt idx="134">
                  <c:v>6715.777641707401</c:v>
                </c:pt>
                <c:pt idx="135">
                  <c:v>6607.6977734256716</c:v>
                </c:pt>
                <c:pt idx="136">
                  <c:v>6473.6629792678295</c:v>
                </c:pt>
                <c:pt idx="137">
                  <c:v>6316.0987848858813</c:v>
                </c:pt>
                <c:pt idx="138">
                  <c:v>6137.7380363597085</c:v>
                </c:pt>
                <c:pt idx="139">
                  <c:v>5941.5260438265532</c:v>
                </c:pt>
                <c:pt idx="140">
                  <c:v>5730.5246806877585</c:v>
                </c:pt>
                <c:pt idx="141">
                  <c:v>5507.8204272612747</c:v>
                </c:pt>
                <c:pt idx="142">
                  <c:v>5276.4405702074973</c:v>
                </c:pt>
                <c:pt idx="143">
                  <c:v>5039.2807493972623</c:v>
                </c:pt>
                <c:pt idx="144">
                  <c:v>4799.045913110137</c:v>
                </c:pt>
                <c:pt idx="145">
                  <c:v>4558.2056237600909</c:v>
                </c:pt>
                <c:pt idx="146">
                  <c:v>4318.9636504240743</c:v>
                </c:pt>
                <c:pt idx="147">
                  <c:v>4083.2409608928551</c:v>
                </c:pt>
                <c:pt idx="148">
                  <c:v>3852.6706210560728</c:v>
                </c:pt>
                <c:pt idx="149">
                  <c:v>3628.6027291523396</c:v>
                </c:pt>
                <c:pt idx="150">
                  <c:v>3412.1173389025707</c:v>
                </c:pt>
                <c:pt idx="151">
                  <c:v>3204.0433251230543</c:v>
                </c:pt>
                <c:pt idx="152">
                  <c:v>3004.9812765063734</c:v>
                </c:pt>
                <c:pt idx="153">
                  <c:v>2815.328720072067</c:v>
                </c:pt>
                <c:pt idx="154">
                  <c:v>2635.3062511908565</c:v>
                </c:pt>
                <c:pt idx="155">
                  <c:v>2464.9834295519872</c:v>
                </c:pt>
                <c:pt idx="156">
                  <c:v>2304.3035803145185</c:v>
                </c:pt>
                <c:pt idx="157">
                  <c:v>2153.1068941332755</c:v>
                </c:pt>
                <c:pt idx="158">
                  <c:v>2011.151439901138</c:v>
                </c:pt>
                <c:pt idx="159">
                  <c:v>1878.1318856490088</c:v>
                </c:pt>
                <c:pt idx="160">
                  <c:v>1753.6958660138996</c:v>
                </c:pt>
                <c:pt idx="161">
                  <c:v>1637.4580417522609</c:v>
                </c:pt>
                <c:pt idx="162">
                  <c:v>1529.0119723155158</c:v>
                </c:pt>
                <c:pt idx="163">
                  <c:v>1427.9399716379937</c:v>
                </c:pt>
                <c:pt idx="164">
                  <c:v>1333.821145229457</c:v>
                </c:pt>
                <c:pt idx="165">
                  <c:v>1246.2378183019255</c:v>
                </c:pt>
                <c:pt idx="166">
                  <c:v>1164.7805643083468</c:v>
                </c:pt>
                <c:pt idx="167">
                  <c:v>1089.0520345638542</c:v>
                </c:pt>
                <c:pt idx="168">
                  <c:v>1018.6697754999506</c:v>
                </c:pt>
                <c:pt idx="169">
                  <c:v>953.26820285933002</c:v>
                </c:pt>
                <c:pt idx="170">
                  <c:v>892.49988349303476</c:v>
                </c:pt>
                <c:pt idx="171">
                  <c:v>836.0362566089309</c:v>
                </c:pt>
                <c:pt idx="172">
                  <c:v>783.56790818698153</c:v>
                </c:pt>
                <c:pt idx="173">
                  <c:v>734.80449536254582</c:v>
                </c:pt>
                <c:pt idx="174">
                  <c:v>689.47440219219209</c:v>
                </c:pt>
                <c:pt idx="175">
                  <c:v>647.32419449608244</c:v>
                </c:pt>
                <c:pt idx="176">
                  <c:v>608.1179294364332</c:v>
                </c:pt>
                <c:pt idx="177">
                  <c:v>571.63636508256934</c:v>
                </c:pt>
                <c:pt idx="178">
                  <c:v>537.67610631956506</c:v>
                </c:pt>
                <c:pt idx="179">
                  <c:v>506.04871594143737</c:v>
                </c:pt>
                <c:pt idx="180">
                  <c:v>476.57981348148354</c:v>
                </c:pt>
                <c:pt idx="181">
                  <c:v>449.10817912058985</c:v>
                </c:pt>
                <c:pt idx="182">
                  <c:v>423.48487573421363</c:v>
                </c:pt>
                <c:pt idx="183">
                  <c:v>399.5723986555567</c:v>
                </c:pt>
                <c:pt idx="184">
                  <c:v>377.24385992414591</c:v>
                </c:pt>
                <c:pt idx="185">
                  <c:v>356.38221154712681</c:v>
                </c:pt>
                <c:pt idx="186">
                  <c:v>336.87951053004269</c:v>
                </c:pt>
                <c:pt idx="187">
                  <c:v>318.63622705262321</c:v>
                </c:pt>
                <c:pt idx="188">
                  <c:v>301.5605961029155</c:v>
                </c:pt>
                <c:pt idx="189">
                  <c:v>285.56801208046346</c:v>
                </c:pt>
                <c:pt idx="190">
                  <c:v>270.58046528621026</c:v>
                </c:pt>
                <c:pt idx="191">
                  <c:v>256.52601879166042</c:v>
                </c:pt>
                <c:pt idx="192">
                  <c:v>243.33832388806803</c:v>
                </c:pt>
                <c:pt idx="193">
                  <c:v>230.956172129593</c:v>
                </c:pt>
                <c:pt idx="194">
                  <c:v>219.32308187925051</c:v>
                </c:pt>
                <c:pt idx="195">
                  <c:v>208.3869172241653</c:v>
                </c:pt>
                <c:pt idx="196">
                  <c:v>198.09953713187031</c:v>
                </c:pt>
                <c:pt idx="197">
                  <c:v>188.41647275990798</c:v>
                </c:pt>
                <c:pt idx="198">
                  <c:v>179.29663089702484</c:v>
                </c:pt>
                <c:pt idx="199">
                  <c:v>170.70202159806973</c:v>
                </c:pt>
                <c:pt idx="200">
                  <c:v>162.59750817024241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4F-426D-9E91-09AE9BB6599C}"/>
            </c:ext>
          </c:extLst>
        </c:ser>
        <c:ser>
          <c:idx val="1"/>
          <c:order val="1"/>
          <c:tx>
            <c:strRef>
              <c:f>'La Paz'!$J$3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Paz'!$C$3:$C$204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Paz'!$J$4:$J$204</c:f>
              <c:numCache>
                <c:formatCode>0</c:formatCode>
                <c:ptCount val="201"/>
                <c:pt idx="1">
                  <c:v>2.9666666666666664E-2</c:v>
                </c:pt>
                <c:pt idx="2">
                  <c:v>3.2593765067123671E-2</c:v>
                </c:pt>
                <c:pt idx="3">
                  <c:v>3.5809667463507444E-2</c:v>
                </c:pt>
                <c:pt idx="4">
                  <c:v>3.9342868511761941E-2</c:v>
                </c:pt>
                <c:pt idx="5">
                  <c:v>4.3224674197441165E-2</c:v>
                </c:pt>
                <c:pt idx="6">
                  <c:v>4.7489479190199871E-2</c:v>
                </c:pt>
                <c:pt idx="7">
                  <c:v>5.2175071557669796E-2</c:v>
                </c:pt>
                <c:pt idx="8">
                  <c:v>5.732296753688134E-2</c:v>
                </c:pt>
                <c:pt idx="9">
                  <c:v>6.2978779327339501E-2</c:v>
                </c:pt>
                <c:pt idx="10">
                  <c:v>6.9192619161996358E-2</c:v>
                </c:pt>
                <c:pt idx="11">
                  <c:v>7.6019543233252218E-2</c:v>
                </c:pt>
                <c:pt idx="12">
                  <c:v>8.3520039403587362E-2</c:v>
                </c:pt>
                <c:pt idx="13">
                  <c:v>9.1760563017574917E-2</c:v>
                </c:pt>
                <c:pt idx="14">
                  <c:v>0.10081412555725379</c:v>
                </c:pt>
                <c:pt idx="15">
                  <c:v>0.11076094134988226</c:v>
                </c:pt>
                <c:pt idx="16">
                  <c:v>0.12168913805004325</c:v>
                </c:pt>
                <c:pt idx="17">
                  <c:v>0.13369553718142493</c:v>
                </c:pt>
                <c:pt idx="18">
                  <c:v>0.14688651164228611</c:v>
                </c:pt>
                <c:pt idx="19">
                  <c:v>0.16137892775804094</c:v>
                </c:pt>
                <c:pt idx="20">
                  <c:v>0.17730118021049407</c:v>
                </c:pt>
                <c:pt idx="21">
                  <c:v>0.19479432899252441</c:v>
                </c:pt>
                <c:pt idx="22">
                  <c:v>0.21401334843658468</c:v>
                </c:pt>
                <c:pt idx="23">
                  <c:v>0.23512849935306609</c:v>
                </c:pt>
                <c:pt idx="24">
                  <c:v>0.25832683639893178</c:v>
                </c:pt>
                <c:pt idx="25">
                  <c:v>0.28381386398742958</c:v>
                </c:pt>
                <c:pt idx="26">
                  <c:v>0.31181535535642119</c:v>
                </c:pt>
                <c:pt idx="27">
                  <c:v>0.34257935084715291</c:v>
                </c:pt>
                <c:pt idx="28">
                  <c:v>0.37637835301945299</c:v>
                </c:pt>
                <c:pt idx="29">
                  <c:v>0.41351173795681734</c:v>
                </c:pt>
                <c:pt idx="30">
                  <c:v>0.45430840401037104</c:v>
                </c:pt>
                <c:pt idx="31">
                  <c:v>0.49912968131034047</c:v>
                </c:pt>
                <c:pt idx="32">
                  <c:v>0.5483725276550071</c:v>
                </c:pt>
                <c:pt idx="33">
                  <c:v>0.60247303888932524</c:v>
                </c:pt>
                <c:pt idx="34">
                  <c:v>0.66191030462937783</c:v>
                </c:pt>
                <c:pt idx="35">
                  <c:v>0.72721064319743067</c:v>
                </c:pt>
                <c:pt idx="36">
                  <c:v>0.7989522529303611</c:v>
                </c:pt>
                <c:pt idx="37">
                  <c:v>0.87777032063869431</c:v>
                </c:pt>
                <c:pt idx="38">
                  <c:v>0.9643626319537687</c:v>
                </c:pt>
                <c:pt idx="39">
                  <c:v>1.0594957326385557</c:v>
                </c:pt>
                <c:pt idx="40">
                  <c:v>1.1640116946879464</c:v>
                </c:pt>
                <c:pt idx="41">
                  <c:v>1.2788355462443444</c:v>
                </c:pt>
                <c:pt idx="42">
                  <c:v>1.4049834300446067</c:v>
                </c:pt>
                <c:pt idx="43">
                  <c:v>1.5435715613384242</c:v>
                </c:pt>
                <c:pt idx="44">
                  <c:v>1.6958260630230864</c:v>
                </c:pt>
                <c:pt idx="45">
                  <c:v>1.8630937631757123</c:v>
                </c:pt>
                <c:pt idx="46">
                  <c:v>2.0468540482854438</c:v>
                </c:pt>
                <c:pt idx="47">
                  <c:v>2.248731874352448</c:v>
                </c:pt>
                <c:pt idx="48">
                  <c:v>2.4705120476891822</c:v>
                </c:pt>
                <c:pt idx="49">
                  <c:v>2.7141548977970822</c:v>
                </c:pt>
                <c:pt idx="50">
                  <c:v>2.9818134761670052</c:v>
                </c:pt>
                <c:pt idx="51">
                  <c:v>3.2758524273359075</c:v>
                </c:pt>
                <c:pt idx="52">
                  <c:v>3.5988686920996051</c:v>
                </c:pt>
                <c:pt idx="53">
                  <c:v>3.9537142175085624</c:v>
                </c:pt>
                <c:pt idx="54">
                  <c:v>4.3435208642382568</c:v>
                </c:pt>
                <c:pt idx="55">
                  <c:v>4.7717277192058702</c:v>
                </c:pt>
                <c:pt idx="56">
                  <c:v>5.2421110399776243</c:v>
                </c:pt>
                <c:pt idx="57">
                  <c:v>5.7588170776498275</c:v>
                </c:pt>
                <c:pt idx="58">
                  <c:v>6.3263980465595582</c:v>
                </c:pt>
                <c:pt idx="59">
                  <c:v>6.9498515324474601</c:v>
                </c:pt>
                <c:pt idx="60">
                  <c:v>7.6346636556021599</c:v>
                </c:pt>
                <c:pt idx="61">
                  <c:v>8.3868563320925826</c:v>
                </c:pt>
                <c:pt idx="62">
                  <c:v>9.2130390044470012</c:v>
                </c:pt>
                <c:pt idx="63">
                  <c:v>10.120465243040643</c:v>
                </c:pt>
                <c:pt idx="64">
                  <c:v>11.117094650942047</c:v>
                </c:pt>
                <c:pt idx="65">
                  <c:v>12.211660537925392</c:v>
                </c:pt>
                <c:pt idx="66">
                  <c:v>13.413743863600333</c:v>
                </c:pt>
                <c:pt idx="67">
                  <c:v>14.733853984879623</c:v>
                </c:pt>
                <c:pt idx="68">
                  <c:v>16.183516778933775</c:v>
                </c:pt>
                <c:pt idx="69">
                  <c:v>17.775370748882313</c:v>
                </c:pt>
                <c:pt idx="70">
                  <c:v>19.523271755099739</c:v>
                </c:pt>
                <c:pt idx="71">
                  <c:v>21.442407049341192</c:v>
                </c:pt>
                <c:pt idx="72">
                  <c:v>23.549419320859204</c:v>
                </c:pt>
                <c:pt idx="73">
                  <c:v>25.862541491955941</c:v>
                </c:pt>
                <c:pt idx="74">
                  <c:v>28.401743023329541</c:v>
                </c:pt>
                <c:pt idx="75">
                  <c:v>31.188888505067137</c:v>
                </c:pt>
                <c:pt idx="76">
                  <c:v>34.247909314677983</c:v>
                </c:pt>
                <c:pt idx="77">
                  <c:v>37.604989116054426</c:v>
                </c:pt>
                <c:pt idx="78">
                  <c:v>41.288763948944883</c:v>
                </c:pt>
                <c:pt idx="79">
                  <c:v>45.330537612898112</c:v>
                </c:pt>
                <c:pt idx="80">
                  <c:v>49.764512977270797</c:v>
                </c:pt>
                <c:pt idx="81">
                  <c:v>54.62803974332212</c:v>
                </c:pt>
                <c:pt idx="82">
                  <c:v>59.961879038003687</c:v>
                </c:pt>
                <c:pt idx="83">
                  <c:v>65.810485022795064</c:v>
                </c:pt>
                <c:pt idx="84">
                  <c:v>72.222303444327096</c:v>
                </c:pt>
                <c:pt idx="85">
                  <c:v>79.250086724393142</c:v>
                </c:pt>
                <c:pt idx="86">
                  <c:v>86.951224771263426</c:v>
                </c:pt>
                <c:pt idx="87">
                  <c:v>95.38809017603775</c:v>
                </c:pt>
                <c:pt idx="88">
                  <c:v>104.62839581912276</c:v>
                </c:pt>
                <c:pt idx="89">
                  <c:v>114.74556213281895</c:v>
                </c:pt>
                <c:pt idx="90">
                  <c:v>125.81909032456994</c:v>
                </c:pt>
                <c:pt idx="91">
                  <c:v>137.93493673817545</c:v>
                </c:pt>
                <c:pt idx="92">
                  <c:v>151.18588219260198</c:v>
                </c:pt>
                <c:pt idx="93">
                  <c:v>165.67188856505683</c:v>
                </c:pt>
                <c:pt idx="94">
                  <c:v>181.50043305272592</c:v>
                </c:pt>
                <c:pt idx="95">
                  <c:v>198.78680843464267</c:v>
                </c:pt>
                <c:pt idx="96">
                  <c:v>217.6543752451143</c:v>
                </c:pt>
                <c:pt idx="97">
                  <c:v>238.2347490545975</c:v>
                </c:pt>
                <c:pt idx="98">
                  <c:v>260.66790303657871</c:v>
                </c:pt>
                <c:pt idx="99">
                  <c:v>285.10216270070185</c:v>
                </c:pt>
                <c:pt idx="100">
                  <c:v>311.69406613733082</c:v>
                </c:pt>
                <c:pt idx="101">
                  <c:v>340.60805942200909</c:v>
                </c:pt>
                <c:pt idx="102">
                  <c:v>372.01599308447675</c:v>
                </c:pt>
                <c:pt idx="103">
                  <c:v>406.09638191973647</c:v>
                </c:pt>
                <c:pt idx="104">
                  <c:v>443.03338713116426</c:v>
                </c:pt>
                <c:pt idx="105">
                  <c:v>483.01547714022439</c:v>
                </c:pt>
                <c:pt idx="106">
                  <c:v>526.23372174437554</c:v>
                </c:pt>
                <c:pt idx="107">
                  <c:v>572.87967410846807</c:v>
                </c:pt>
                <c:pt idx="108">
                  <c:v>623.14279687384987</c:v>
                </c:pt>
                <c:pt idx="109">
                  <c:v>677.20739307892688</c:v>
                </c:pt>
                <c:pt idx="110">
                  <c:v>735.24901027839178</c:v>
                </c:pt>
                <c:pt idx="111">
                  <c:v>797.43029792289633</c:v>
                </c:pt>
                <c:pt idx="112">
                  <c:v>863.89631438439244</c:v>
                </c:pt>
                <c:pt idx="113">
                  <c:v>934.76930154796867</c:v>
                </c:pt>
                <c:pt idx="114">
                  <c:v>1010.1429719984682</c:v>
                </c:pt>
                <c:pt idx="115">
                  <c:v>1090.0763865444164</c:v>
                </c:pt>
                <c:pt idx="116">
                  <c:v>1174.5875377147231</c:v>
                </c:pt>
                <c:pt idx="117">
                  <c:v>1263.6467969005705</c:v>
                </c:pt>
                <c:pt idx="118">
                  <c:v>1357.1704272236027</c:v>
                </c:pt>
                <c:pt idx="119">
                  <c:v>1455.0144083897358</c:v>
                </c:pt>
                <c:pt idx="120">
                  <c:v>1556.9688602810888</c:v>
                </c:pt>
                <c:pt idx="121">
                  <c:v>1662.7533846228648</c:v>
                </c:pt>
                <c:pt idx="122">
                  <c:v>1772.0136639650982</c:v>
                </c:pt>
                <c:pt idx="123">
                  <c:v>1884.3196595002114</c:v>
                </c:pt>
                <c:pt idx="124">
                  <c:v>1999.1657293274477</c:v>
                </c:pt>
                <c:pt idx="125">
                  <c:v>2115.9729431492156</c:v>
                </c:pt>
                <c:pt idx="126">
                  <c:v>2234.0937962956418</c:v>
                </c:pt>
                <c:pt idx="127">
                  <c:v>2352.8194261486215</c:v>
                </c:pt>
                <c:pt idx="128">
                  <c:v>2471.3893111936109</c:v>
                </c:pt>
                <c:pt idx="129">
                  <c:v>2589.0032939773828</c:v>
                </c:pt>
                <c:pt idx="130">
                  <c:v>2704.8356240590206</c:v>
                </c:pt>
                <c:pt idx="131">
                  <c:v>2818.0505776897121</c:v>
                </c:pt>
                <c:pt idx="132">
                  <c:v>2927.8190905189463</c:v>
                </c:pt>
                <c:pt idx="133">
                  <c:v>3033.3357505983386</c:v>
                </c:pt>
                <c:pt idx="134">
                  <c:v>3133.8354515648434</c:v>
                </c:pt>
                <c:pt idx="135">
                  <c:v>3228.6090065500021</c:v>
                </c:pt>
                <c:pt idx="136">
                  <c:v>3317.0170736099626</c:v>
                </c:pt>
                <c:pt idx="137">
                  <c:v>3398.5018395412426</c:v>
                </c:pt>
                <c:pt idx="138">
                  <c:v>3472.5960421748159</c:v>
                </c:pt>
                <c:pt idx="139">
                  <c:v>3538.9290691809933</c:v>
                </c:pt>
                <c:pt idx="140">
                  <c:v>3597.2300395084812</c:v>
                </c:pt>
                <c:pt idx="141">
                  <c:v>3647.3279370519358</c:v>
                </c:pt>
                <c:pt idx="142">
                  <c:v>3689.149011825622</c:v>
                </c:pt>
                <c:pt idx="143">
                  <c:v>3722.7117816809246</c:v>
                </c:pt>
                <c:pt idx="144">
                  <c:v>3748.1200511903457</c:v>
                </c:pt>
                <c:pt idx="145">
                  <c:v>3765.5544115729349</c:v>
                </c:pt>
                <c:pt idx="146">
                  <c:v>3775.2626980253863</c:v>
                </c:pt>
                <c:pt idx="147">
                  <c:v>3777.5498630537882</c:v>
                </c:pt>
                <c:pt idx="148">
                  <c:v>3772.7676827918158</c:v>
                </c:pt>
                <c:pt idx="149">
                  <c:v>3761.3046551234188</c:v>
                </c:pt>
                <c:pt idx="150">
                  <c:v>3743.5763809174905</c:v>
                </c:pt>
                <c:pt idx="151">
                  <c:v>3720.0166492743501</c:v>
                </c:pt>
                <c:pt idx="152">
                  <c:v>3691.069379610522</c:v>
                </c:pt>
                <c:pt idx="153">
                  <c:v>3657.1815114931942</c:v>
                </c:pt>
                <c:pt idx="154">
                  <c:v>3618.796879805559</c:v>
                </c:pt>
                <c:pt idx="155">
                  <c:v>3576.3510692640352</c:v>
                </c:pt>
                <c:pt idx="156">
                  <c:v>3530.2672086986099</c:v>
                </c:pt>
                <c:pt idx="157">
                  <c:v>3480.9526412913197</c:v>
                </c:pt>
                <c:pt idx="158">
                  <c:v>3428.7963911075631</c:v>
                </c:pt>
                <c:pt idx="159">
                  <c:v>3374.1673374543775</c:v>
                </c:pt>
                <c:pt idx="160">
                  <c:v>3317.4130054801526</c:v>
                </c:pt>
                <c:pt idx="161">
                  <c:v>3258.8588826558935</c:v>
                </c:pt>
                <c:pt idx="162">
                  <c:v>3198.8081751393479</c:v>
                </c:pt>
                <c:pt idx="163">
                  <c:v>3137.5419244800637</c:v>
                </c:pt>
                <c:pt idx="164">
                  <c:v>3075.3194128226551</c:v>
                </c:pt>
                <c:pt idx="165">
                  <c:v>3012.3787930370404</c:v>
                </c:pt>
                <c:pt idx="166">
                  <c:v>2948.9378885454298</c:v>
                </c:pt>
                <c:pt idx="167">
                  <c:v>2885.1951156683963</c:v>
                </c:pt>
                <c:pt idx="168">
                  <c:v>2821.3304888381772</c:v>
                </c:pt>
                <c:pt idx="169">
                  <c:v>2757.5066758834027</c:v>
                </c:pt>
                <c:pt idx="170">
                  <c:v>2693.8700767054497</c:v>
                </c:pt>
                <c:pt idx="171">
                  <c:v>2630.5519040255608</c:v>
                </c:pt>
                <c:pt idx="172">
                  <c:v>2567.6692495041075</c:v>
                </c:pt>
                <c:pt idx="173">
                  <c:v>2505.326122463518</c:v>
                </c:pt>
                <c:pt idx="174">
                  <c:v>2443.6144517438229</c:v>
                </c:pt>
                <c:pt idx="175">
                  <c:v>2382.6150439507305</c:v>
                </c:pt>
                <c:pt idx="176">
                  <c:v>2322.3984935890899</c:v>
                </c:pt>
                <c:pt idx="177">
                  <c:v>2263.0260423760674</c:v>
                </c:pt>
                <c:pt idx="178">
                  <c:v>2204.5503864609809</c:v>
                </c:pt>
                <c:pt idx="179">
                  <c:v>2147.016431399762</c:v>
                </c:pt>
                <c:pt idx="180">
                  <c:v>2090.4619955926992</c:v>
                </c:pt>
                <c:pt idx="181">
                  <c:v>2034.9184635395598</c:v>
                </c:pt>
                <c:pt idx="182">
                  <c:v>1980.4113907354852</c:v>
                </c:pt>
                <c:pt idx="183">
                  <c:v>1926.9610623577507</c:v>
                </c:pt>
                <c:pt idx="184">
                  <c:v>1874.5830081059403</c:v>
                </c:pt>
                <c:pt idx="185">
                  <c:v>1823.2884756801584</c:v>
                </c:pt>
                <c:pt idx="186">
                  <c:v>1773.0848654333847</c:v>
                </c:pt>
                <c:pt idx="187">
                  <c:v>1723.9761287313299</c:v>
                </c:pt>
                <c:pt idx="188">
                  <c:v>1675.9631325095133</c:v>
                </c:pt>
                <c:pt idx="189">
                  <c:v>1629.0439924435827</c:v>
                </c:pt>
                <c:pt idx="190">
                  <c:v>1583.2143770538503</c:v>
                </c:pt>
                <c:pt idx="191">
                  <c:v>1538.4677849555462</c:v>
                </c:pt>
                <c:pt idx="192">
                  <c:v>1494.7957973478474</c:v>
                </c:pt>
                <c:pt idx="193">
                  <c:v>1452.1883077115986</c:v>
                </c:pt>
                <c:pt idx="194">
                  <c:v>1410.6337305610564</c:v>
                </c:pt>
                <c:pt idx="195">
                  <c:v>1370.1191909714389</c:v>
                </c:pt>
                <c:pt idx="196">
                  <c:v>1330.6306964833743</c:v>
                </c:pt>
                <c:pt idx="197">
                  <c:v>1292.1532928688407</c:v>
                </c:pt>
                <c:pt idx="198">
                  <c:v>1254.6712051317566</c:v>
                </c:pt>
                <c:pt idx="199">
                  <c:v>1218.1679650106432</c:v>
                </c:pt>
                <c:pt idx="200">
                  <c:v>1182.6265261510312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4F-426D-9E91-09AE9BB6599C}"/>
            </c:ext>
          </c:extLst>
        </c:ser>
        <c:ser>
          <c:idx val="2"/>
          <c:order val="2"/>
          <c:tx>
            <c:strRef>
              <c:f>'La Paz'!$K$3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Paz'!$C$3:$C$204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Paz'!$K$4:$K$204</c:f>
              <c:numCache>
                <c:formatCode>0</c:formatCode>
                <c:ptCount val="201"/>
                <c:pt idx="1">
                  <c:v>3.6666666666666701E-3</c:v>
                </c:pt>
                <c:pt idx="2">
                  <c:v>4.0284428734647278E-3</c:v>
                </c:pt>
                <c:pt idx="3">
                  <c:v>4.4259139561638461E-3</c:v>
                </c:pt>
                <c:pt idx="4">
                  <c:v>4.8626017261728287E-3</c:v>
                </c:pt>
                <c:pt idx="5">
                  <c:v>5.342375462605093E-3</c:v>
                </c:pt>
                <c:pt idx="6">
                  <c:v>5.8694861920471813E-3</c:v>
                </c:pt>
                <c:pt idx="7">
                  <c:v>6.4486043498243632E-3</c:v>
                </c:pt>
                <c:pt idx="8">
                  <c:v>7.0848611562437675E-3</c:v>
                </c:pt>
                <c:pt idx="9">
                  <c:v>7.7838940741655639E-3</c:v>
                </c:pt>
                <c:pt idx="10">
                  <c:v>8.5518967503591097E-3</c:v>
                </c:pt>
                <c:pt idx="11">
                  <c:v>9.3956738827615186E-3</c:v>
                </c:pt>
                <c:pt idx="12">
                  <c:v>1.0322701499319796E-2</c:v>
                </c:pt>
                <c:pt idx="13">
                  <c:v>1.1341193181947474E-2</c:v>
                </c:pt>
                <c:pt idx="14">
                  <c:v>1.2460172821683066E-2</c:v>
                </c:pt>
                <c:pt idx="15">
                  <c:v>1.3689554548861867E-2</c:v>
                </c:pt>
                <c:pt idx="16">
                  <c:v>1.5040230545510978E-2</c:v>
                </c:pt>
                <c:pt idx="17">
                  <c:v>1.6524167516805344E-2</c:v>
                </c:pt>
                <c:pt idx="18">
                  <c:v>1.8154512674889312E-2</c:v>
                </c:pt>
                <c:pt idx="19">
                  <c:v>1.9945710172342156E-2</c:v>
                </c:pt>
                <c:pt idx="20">
                  <c:v>2.1913629014780188E-2</c:v>
                </c:pt>
                <c:pt idx="21">
                  <c:v>2.407570358334574E-2</c:v>
                </c:pt>
                <c:pt idx="22">
                  <c:v>2.6451088009016115E-2</c:v>
                </c:pt>
                <c:pt idx="23">
                  <c:v>2.9060825762738534E-2</c:v>
                </c:pt>
                <c:pt idx="24">
                  <c:v>3.1928035959418559E-2</c:v>
                </c:pt>
                <c:pt idx="25">
                  <c:v>3.50781180209183E-2</c:v>
                </c:pt>
                <c:pt idx="26">
                  <c:v>3.8538976504726249E-2</c:v>
                </c:pt>
                <c:pt idx="27">
                  <c:v>4.2341268082232424E-2</c:v>
                </c:pt>
                <c:pt idx="28">
                  <c:v>4.6518672845100986E-2</c:v>
                </c:pt>
                <c:pt idx="29">
                  <c:v>5.1108192331741513E-2</c:v>
                </c:pt>
                <c:pt idx="30">
                  <c:v>5.6150476900158279E-2</c:v>
                </c:pt>
                <c:pt idx="31">
                  <c:v>6.1690185330491573E-2</c:v>
                </c:pt>
                <c:pt idx="32">
                  <c:v>6.7776379822529043E-2</c:v>
                </c:pt>
                <c:pt idx="33">
                  <c:v>7.4462959862725678E-2</c:v>
                </c:pt>
                <c:pt idx="34">
                  <c:v>8.1809138774417561E-2</c:v>
                </c:pt>
                <c:pt idx="35">
                  <c:v>8.9879967136761177E-2</c:v>
                </c:pt>
                <c:pt idx="36">
                  <c:v>9.8746907665550346E-2</c:v>
                </c:pt>
                <c:pt idx="37">
                  <c:v>0.10848846659579378</c:v>
                </c:pt>
                <c:pt idx="38">
                  <c:v>0.11919088709540973</c:v>
                </c:pt>
                <c:pt idx="39">
                  <c:v>0.13094891077555196</c:v>
                </c:pt>
                <c:pt idx="40">
                  <c:v>0.14386661395019576</c:v>
                </c:pt>
                <c:pt idx="41">
                  <c:v>0.15805832594031238</c:v>
                </c:pt>
                <c:pt idx="42">
                  <c:v>0.17364963742124367</c:v>
                </c:pt>
                <c:pt idx="43">
                  <c:v>0.19077850758115375</c:v>
                </c:pt>
                <c:pt idx="44">
                  <c:v>0.20959647969948278</c:v>
                </c:pt>
                <c:pt idx="45">
                  <c:v>0.23027001567340288</c:v>
                </c:pt>
                <c:pt idx="46">
                  <c:v>0.25298196102404386</c:v>
                </c:pt>
                <c:pt idx="47">
                  <c:v>0.27793315300985338</c:v>
                </c:pt>
                <c:pt idx="48">
                  <c:v>0.30534418566944976</c:v>
                </c:pt>
                <c:pt idx="49">
                  <c:v>0.33545734691874085</c:v>
                </c:pt>
                <c:pt idx="50">
                  <c:v>0.36853874424536059</c:v>
                </c:pt>
                <c:pt idx="51">
                  <c:v>0.40488063708646094</c:v>
                </c:pt>
                <c:pt idx="52">
                  <c:v>0.44480399565276063</c:v>
                </c:pt>
                <c:pt idx="53">
                  <c:v>0.48866130778195765</c:v>
                </c:pt>
                <c:pt idx="54">
                  <c:v>0.53683965737776274</c:v>
                </c:pt>
                <c:pt idx="55">
                  <c:v>0.58976410012656888</c:v>
                </c:pt>
                <c:pt idx="56">
                  <c:v>0.64790136449161706</c:v>
                </c:pt>
                <c:pt idx="57">
                  <c:v>0.71176390847357496</c:v>
                </c:pt>
                <c:pt idx="58">
                  <c:v>0.78191436530511471</c:v>
                </c:pt>
                <c:pt idx="59">
                  <c:v>0.85897041412272079</c:v>
                </c:pt>
                <c:pt idx="60">
                  <c:v>0.94361011473734657</c:v>
                </c:pt>
                <c:pt idx="61">
                  <c:v>1.0365777489103203</c:v>
                </c:pt>
                <c:pt idx="62">
                  <c:v>1.1386902140327766</c:v>
                </c:pt>
                <c:pt idx="63">
                  <c:v>1.2508440188027772</c:v>
                </c:pt>
                <c:pt idx="64">
                  <c:v>1.3740229343860972</c:v>
                </c:pt>
                <c:pt idx="65">
                  <c:v>1.5093063586199937</c:v>
                </c:pt>
                <c:pt idx="66">
                  <c:v>1.6578784550517283</c:v>
                </c:pt>
                <c:pt idx="67">
                  <c:v>1.8210381329626519</c:v>
                </c:pt>
                <c:pt idx="68">
                  <c:v>2.0002099389693453</c:v>
                </c:pt>
                <c:pt idx="69">
                  <c:v>2.1969559352551191</c:v>
                </c:pt>
                <c:pt idx="70">
                  <c:v>2.4129886438887338</c:v>
                </c:pt>
                <c:pt idx="71">
                  <c:v>2.6501851409298132</c:v>
                </c:pt>
                <c:pt idx="72">
                  <c:v>2.9106023879713652</c:v>
                </c:pt>
                <c:pt idx="73">
                  <c:v>3.1964938922642205</c:v>
                </c:pt>
                <c:pt idx="74">
                  <c:v>3.510327789400284</c:v>
                </c:pt>
                <c:pt idx="75">
                  <c:v>3.854806444446504</c:v>
                </c:pt>
                <c:pt idx="76">
                  <c:v>4.2328876681062715</c:v>
                </c:pt>
                <c:pt idx="77">
                  <c:v>4.6478076435572939</c:v>
                </c:pt>
                <c:pt idx="78">
                  <c:v>5.103105656611171</c:v>
                </c:pt>
                <c:pt idx="79">
                  <c:v>5.6026507162008965</c:v>
                </c:pt>
                <c:pt idx="80">
                  <c:v>6.1506701432581945</c:v>
                </c:pt>
                <c:pt idx="81">
                  <c:v>6.7517801929948753</c:v>
                </c:pt>
                <c:pt idx="82">
                  <c:v>7.4110187575060822</c:v>
                </c:pt>
                <c:pt idx="83">
                  <c:v>8.1338801713567008</c:v>
                </c:pt>
                <c:pt idx="84">
                  <c:v>8.926352111096616</c:v>
                </c:pt>
                <c:pt idx="85">
                  <c:v>9.7949545389699484</c:v>
                </c:pt>
                <c:pt idx="86">
                  <c:v>10.746780589706727</c:v>
                </c:pt>
                <c:pt idx="87">
                  <c:v>11.789539235240632</c:v>
                </c:pt>
                <c:pt idx="88">
                  <c:v>12.931599483262376</c:v>
                </c:pt>
                <c:pt idx="89">
                  <c:v>14.182035769224827</c:v>
                </c:pt>
                <c:pt idx="90">
                  <c:v>15.550674085059223</c:v>
                </c:pt>
                <c:pt idx="91">
                  <c:v>17.048138248538553</c:v>
                </c:pt>
                <c:pt idx="92">
                  <c:v>18.685895551894646</c:v>
                </c:pt>
                <c:pt idx="93">
                  <c:v>20.47630083388345</c:v>
                </c:pt>
                <c:pt idx="94">
                  <c:v>22.432637793033564</c:v>
                </c:pt>
                <c:pt idx="95">
                  <c:v>24.569156098663726</c:v>
                </c:pt>
                <c:pt idx="96">
                  <c:v>26.901102558384938</c:v>
                </c:pt>
                <c:pt idx="97">
                  <c:v>29.444744265175</c:v>
                </c:pt>
                <c:pt idx="98">
                  <c:v>32.217381274183914</c:v>
                </c:pt>
                <c:pt idx="99">
                  <c:v>35.237345951772177</c:v>
                </c:pt>
                <c:pt idx="100">
                  <c:v>38.523985702366772</c:v>
                </c:pt>
                <c:pt idx="101">
                  <c:v>42.09762532182139</c:v>
                </c:pt>
                <c:pt idx="102">
                  <c:v>45.979504763249984</c:v>
                </c:pt>
                <c:pt idx="103">
                  <c:v>50.191687653001182</c:v>
                </c:pt>
                <c:pt idx="104">
                  <c:v>54.756935488121478</c:v>
                </c:pt>
                <c:pt idx="105">
                  <c:v>59.69854211845476</c:v>
                </c:pt>
                <c:pt idx="106">
                  <c:v>65.040122912226252</c:v>
                </c:pt>
                <c:pt idx="107">
                  <c:v>70.80535297969837</c:v>
                </c:pt>
                <c:pt idx="108">
                  <c:v>77.017649051824222</c:v>
                </c:pt>
                <c:pt idx="109">
                  <c:v>83.699790155822512</c:v>
                </c:pt>
                <c:pt idx="110">
                  <c:v>90.873473180475486</c:v>
                </c:pt>
                <c:pt idx="111">
                  <c:v>98.558800866874918</c:v>
                </c:pt>
                <c:pt idx="112">
                  <c:v>106.77370177784637</c:v>
                </c:pt>
                <c:pt idx="113">
                  <c:v>115.533284460985</c:v>
                </c:pt>
                <c:pt idx="114">
                  <c:v>124.84913137059731</c:v>
                </c:pt>
                <c:pt idx="115">
                  <c:v>134.72854215717521</c:v>
                </c:pt>
                <c:pt idx="116">
                  <c:v>145.17374061642658</c:v>
                </c:pt>
                <c:pt idx="117">
                  <c:v>156.18106478546392</c:v>
                </c:pt>
                <c:pt idx="118">
                  <c:v>167.74016516246792</c:v>
                </c:pt>
                <c:pt idx="119">
                  <c:v>179.83324148637203</c:v>
                </c:pt>
                <c:pt idx="120">
                  <c:v>192.43435351788759</c:v>
                </c:pt>
                <c:pt idx="121">
                  <c:v>205.50884529046664</c:v>
                </c:pt>
                <c:pt idx="122">
                  <c:v>219.01292475973145</c:v>
                </c:pt>
                <c:pt idx="123">
                  <c:v>232.89344106182412</c:v>
                </c:pt>
                <c:pt idx="124">
                  <c:v>247.08789913035895</c:v>
                </c:pt>
                <c:pt idx="125">
                  <c:v>261.52474578248757</c:v>
                </c:pt>
                <c:pt idx="126">
                  <c:v>276.12395235114695</c:v>
                </c:pt>
                <c:pt idx="127">
                  <c:v>290.79790660263888</c:v>
                </c:pt>
                <c:pt idx="128">
                  <c:v>305.45261149583985</c:v>
                </c:pt>
                <c:pt idx="129">
                  <c:v>319.98917116574432</c:v>
                </c:pt>
                <c:pt idx="130">
                  <c:v>334.30552656909276</c:v>
                </c:pt>
                <c:pt idx="131">
                  <c:v>348.298386006594</c:v>
                </c:pt>
                <c:pt idx="132">
                  <c:v>361.86528085065663</c:v>
                </c:pt>
                <c:pt idx="133">
                  <c:v>374.90666580428945</c:v>
                </c:pt>
                <c:pt idx="134">
                  <c:v>387.32797715970014</c:v>
                </c:pt>
                <c:pt idx="135">
                  <c:v>399.04156260730394</c:v>
                </c:pt>
                <c:pt idx="136">
                  <c:v>409.96840235628792</c:v>
                </c:pt>
                <c:pt idx="137">
                  <c:v>420.03955320172707</c:v>
                </c:pt>
                <c:pt idx="138">
                  <c:v>429.19726363958438</c:v>
                </c:pt>
                <c:pt idx="139">
                  <c:v>437.39572765158385</c:v>
                </c:pt>
                <c:pt idx="140">
                  <c:v>444.60146555722844</c:v>
                </c:pt>
                <c:pt idx="141">
                  <c:v>450.79334053450935</c:v>
                </c:pt>
                <c:pt idx="142">
                  <c:v>455.9622374166504</c:v>
                </c:pt>
                <c:pt idx="143">
                  <c:v>460.11044492685625</c:v>
                </c:pt>
                <c:pt idx="144">
                  <c:v>463.25079284375107</c:v>
                </c:pt>
                <c:pt idx="145">
                  <c:v>465.40560143036322</c:v>
                </c:pt>
                <c:pt idx="146">
                  <c:v>466.60550200313816</c:v>
                </c:pt>
                <c:pt idx="147">
                  <c:v>466.88818532125515</c:v>
                </c:pt>
                <c:pt idx="148">
                  <c:v>466.29712933382041</c:v>
                </c:pt>
                <c:pt idx="149">
                  <c:v>464.88035063323201</c:v>
                </c:pt>
                <c:pt idx="150">
                  <c:v>462.68921561901612</c:v>
                </c:pt>
                <c:pt idx="151">
                  <c:v>459.77733867435836</c:v>
                </c:pt>
                <c:pt idx="152">
                  <c:v>456.19958624399766</c:v>
                </c:pt>
                <c:pt idx="153">
                  <c:v>452.01119804972109</c:v>
                </c:pt>
                <c:pt idx="154">
                  <c:v>447.267030088328</c:v>
                </c:pt>
                <c:pt idx="155">
                  <c:v>442.02091867308343</c:v>
                </c:pt>
                <c:pt idx="156">
                  <c:v>436.32516062567123</c:v>
                </c:pt>
                <c:pt idx="157">
                  <c:v>430.23010173263549</c:v>
                </c:pt>
                <c:pt idx="158">
                  <c:v>423.78382362003629</c:v>
                </c:pt>
                <c:pt idx="159">
                  <c:v>417.03191811233927</c:v>
                </c:pt>
                <c:pt idx="160">
                  <c:v>410.01733775597432</c:v>
                </c:pt>
                <c:pt idx="161">
                  <c:v>402.78031133949293</c:v>
                </c:pt>
                <c:pt idx="162">
                  <c:v>395.35831378126812</c:v>
                </c:pt>
                <c:pt idx="163">
                  <c:v>387.78608055371609</c:v>
                </c:pt>
                <c:pt idx="164">
                  <c:v>380.09565776459823</c:v>
                </c:pt>
                <c:pt idx="165">
                  <c:v>372.31648003828633</c:v>
                </c:pt>
                <c:pt idx="166">
                  <c:v>364.47546937078386</c:v>
                </c:pt>
                <c:pt idx="167">
                  <c:v>356.59714912755499</c:v>
                </c:pt>
                <c:pt idx="168">
                  <c:v>348.70376828337061</c:v>
                </c:pt>
                <c:pt idx="169">
                  <c:v>340.81543185075799</c:v>
                </c:pt>
                <c:pt idx="170">
                  <c:v>332.95023419955032</c:v>
                </c:pt>
                <c:pt idx="171">
                  <c:v>325.12439263237303</c:v>
                </c:pt>
                <c:pt idx="172">
                  <c:v>317.35237915219335</c:v>
                </c:pt>
                <c:pt idx="173">
                  <c:v>309.64704884380592</c:v>
                </c:pt>
                <c:pt idx="174">
                  <c:v>302.01976369867504</c:v>
                </c:pt>
                <c:pt idx="175">
                  <c:v>294.48051105009057</c:v>
                </c:pt>
                <c:pt idx="176">
                  <c:v>287.03801606157316</c:v>
                </c:pt>
                <c:pt idx="177">
                  <c:v>279.69984793412095</c:v>
                </c:pt>
                <c:pt idx="178">
                  <c:v>272.47251967495299</c:v>
                </c:pt>
                <c:pt idx="179">
                  <c:v>265.36158140895964</c:v>
                </c:pt>
                <c:pt idx="180">
                  <c:v>258.37170732044626</c:v>
                </c:pt>
                <c:pt idx="181">
                  <c:v>251.5067763925301</c:v>
                </c:pt>
                <c:pt idx="182">
                  <c:v>244.7699471695546</c:v>
                </c:pt>
                <c:pt idx="183">
                  <c:v>238.16372680826154</c:v>
                </c:pt>
                <c:pt idx="184">
                  <c:v>231.69003470972316</c:v>
                </c:pt>
                <c:pt idx="185">
                  <c:v>225.35026103912094</c:v>
                </c:pt>
                <c:pt idx="186">
                  <c:v>219.14532044682304</c:v>
                </c:pt>
                <c:pt idx="187">
                  <c:v>213.07570130387245</c:v>
                </c:pt>
                <c:pt idx="188">
                  <c:v>207.14151075960299</c:v>
                </c:pt>
                <c:pt idx="189">
                  <c:v>201.34251591999359</c:v>
                </c:pt>
                <c:pt idx="190">
                  <c:v>195.67818143362214</c:v>
                </c:pt>
                <c:pt idx="191">
                  <c:v>190.14770375855085</c:v>
                </c:pt>
                <c:pt idx="192">
                  <c:v>184.75004236883524</c:v>
                </c:pt>
                <c:pt idx="193">
                  <c:v>179.48394814413035</c:v>
                </c:pt>
                <c:pt idx="194">
                  <c:v>174.34798917046783</c:v>
                </c:pt>
                <c:pt idx="195">
                  <c:v>169.34057416500946</c:v>
                </c:pt>
                <c:pt idx="196">
                  <c:v>164.45997372266442</c:v>
                </c:pt>
                <c:pt idx="197">
                  <c:v>159.70433956805911</c:v>
                </c:pt>
                <c:pt idx="198">
                  <c:v>155.07172198257683</c:v>
                </c:pt>
                <c:pt idx="199">
                  <c:v>150.56008556311335</c:v>
                </c:pt>
                <c:pt idx="200">
                  <c:v>146.16732345686916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4F-426D-9E91-09AE9BB65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San</a:t>
            </a:r>
            <a:r>
              <a:rPr lang="es-ES" baseline="0"/>
              <a:t> Vicente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'San Vicente'!$I$3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Vicente'!$C$3:$C$204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Vicente'!$I$4:$I$204</c:f>
              <c:numCache>
                <c:formatCode>0</c:formatCode>
                <c:ptCount val="201"/>
                <c:pt idx="1">
                  <c:v>0.13199918340076464</c:v>
                </c:pt>
                <c:pt idx="2">
                  <c:v>0.14502287990314019</c:v>
                </c:pt>
                <c:pt idx="3">
                  <c:v>0.1593315314533684</c:v>
                </c:pt>
                <c:pt idx="4">
                  <c:v>0.17505190965056702</c:v>
                </c:pt>
                <c:pt idx="5">
                  <c:v>0.19232329198923831</c:v>
                </c:pt>
                <c:pt idx="6">
                  <c:v>0.21129869530798356</c:v>
                </c:pt>
                <c:pt idx="7">
                  <c:v>0.23214623084161295</c:v>
                </c:pt>
                <c:pt idx="8">
                  <c:v>0.25505059285475967</c:v>
                </c:pt>
                <c:pt idx="9">
                  <c:v>0.2802146940127887</c:v>
                </c:pt>
                <c:pt idx="10">
                  <c:v>0.30786146193880276</c:v>
                </c:pt>
                <c:pt idx="11">
                  <c:v>0.33823581282509801</c:v>
                </c:pt>
                <c:pt idx="12">
                  <c:v>0.3716068195257809</c:v>
                </c:pt>
                <c:pt idx="13">
                  <c:v>0.40827009326785696</c:v>
                </c:pt>
                <c:pt idx="14">
                  <c:v>0.44855039999565072</c:v>
                </c:pt>
                <c:pt idx="15">
                  <c:v>0.49280453442401384</c:v>
                </c:pt>
                <c:pt idx="16">
                  <c:v>0.54142447713701636</c:v>
                </c:pt>
                <c:pt idx="17">
                  <c:v>0.59484086254995316</c:v>
                </c:pt>
                <c:pt idx="18">
                  <c:v>0.65352678827456279</c:v>
                </c:pt>
                <c:pt idx="19">
                  <c:v>0.71800199941329879</c:v>
                </c:pt>
                <c:pt idx="20">
                  <c:v>0.78883748458342695</c:v>
                </c:pt>
                <c:pt idx="21">
                  <c:v>0.86666052406292626</c:v>
                </c:pt>
                <c:pt idx="22">
                  <c:v>0.95216023438751329</c:v>
                </c:pt>
                <c:pt idx="23">
                  <c:v>1.0460936580439761</c:v>
                </c:pt>
                <c:pt idx="24">
                  <c:v>1.1492924516347365</c:v>
                </c:pt>
                <c:pt idx="25">
                  <c:v>1.262670231070494</c:v>
                </c:pt>
                <c:pt idx="26">
                  <c:v>1.3872306380235735</c:v>
                </c:pt>
                <c:pt idx="27">
                  <c:v>1.524076198089338</c:v>
                </c:pt>
                <c:pt idx="28">
                  <c:v>1.6744180479055355</c:v>
                </c:pt>
                <c:pt idx="29">
                  <c:v>1.839586615922546</c:v>
                </c:pt>
                <c:pt idx="30">
                  <c:v>2.0210433496579463</c:v>
                </c:pt>
                <c:pt idx="31">
                  <c:v>2.220393591167952</c:v>
                </c:pt>
                <c:pt idx="32">
                  <c:v>2.439400712191655</c:v>
                </c:pt>
                <c:pt idx="33">
                  <c:v>2.680001631041844</c:v>
                </c:pt>
                <c:pt idx="34">
                  <c:v>2.9443238449035496</c:v>
                </c:pt>
                <c:pt idx="35">
                  <c:v>3.2347041238376537</c:v>
                </c:pt>
                <c:pt idx="36">
                  <c:v>3.5537090265562585</c:v>
                </c:pt>
                <c:pt idx="37">
                  <c:v>3.9041574130272276</c:v>
                </c:pt>
                <c:pt idx="38">
                  <c:v>4.2891451452698899</c:v>
                </c:pt>
                <c:pt idx="39">
                  <c:v>4.7120721854178722</c:v>
                </c:pt>
                <c:pt idx="40">
                  <c:v>5.1766723193467241</c:v>
                </c:pt>
                <c:pt idx="41">
                  <c:v>5.6870457549928224</c:v>
                </c:pt>
                <c:pt idx="42">
                  <c:v>6.2476948670254835</c:v>
                </c:pt>
                <c:pt idx="43">
                  <c:v>6.8635633838730419</c:v>
                </c:pt>
                <c:pt idx="44">
                  <c:v>7.5400793393384422</c:v>
                </c:pt>
                <c:pt idx="45">
                  <c:v>8.2832021392542075</c:v>
                </c:pt>
                <c:pt idx="46">
                  <c:v>9.0994741238917065</c:v>
                </c:pt>
                <c:pt idx="47">
                  <c:v>9.9960770392092222</c:v>
                </c:pt>
                <c:pt idx="48">
                  <c:v>10.980893864525305</c:v>
                </c:pt>
                <c:pt idx="49">
                  <c:v>12.062576480834236</c:v>
                </c:pt>
                <c:pt idx="50">
                  <c:v>13.250619702691019</c:v>
                </c:pt>
                <c:pt idx="51">
                  <c:v>14.555442237279919</c:v>
                </c:pt>
                <c:pt idx="52">
                  <c:v>15.988475176767546</c:v>
                </c:pt>
                <c:pt idx="53">
                  <c:v>17.56225867406253</c:v>
                </c:pt>
                <c:pt idx="54">
                  <c:v>19.290547497279075</c:v>
                </c:pt>
                <c:pt idx="55">
                  <c:v>21.188426204009918</c:v>
                </c:pt>
                <c:pt idx="56">
                  <c:v>23.27243472225949</c:v>
                </c:pt>
                <c:pt idx="57">
                  <c:v>25.560705169659748</c:v>
                </c:pt>
                <c:pt idx="58">
                  <c:v>28.073110785215274</c:v>
                </c:pt>
                <c:pt idx="59">
                  <c:v>30.831427886806381</c:v>
                </c:pt>
                <c:pt idx="60">
                  <c:v>33.859511801137423</c:v>
                </c:pt>
                <c:pt idx="61">
                  <c:v>37.183487738400459</c:v>
                </c:pt>
                <c:pt idx="62">
                  <c:v>40.831957598718738</c:v>
                </c:pt>
                <c:pt idx="63">
                  <c:v>44.836223697850293</c:v>
                </c:pt>
                <c:pt idx="64">
                  <c:v>49.230530381280921</c:v>
                </c:pt>
                <c:pt idx="65">
                  <c:v>54.052324453372357</c:v>
                </c:pt>
                <c:pt idx="66">
                  <c:v>59.34253527519234</c:v>
                </c:pt>
                <c:pt idx="67">
                  <c:v>65.145875273252912</c:v>
                </c:pt>
                <c:pt idx="68">
                  <c:v>71.51116144230123</c:v>
                </c:pt>
                <c:pt idx="69">
                  <c:v>78.491658207438917</c:v>
                </c:pt>
                <c:pt idx="70">
                  <c:v>86.14544172103804</c:v>
                </c:pt>
                <c:pt idx="71">
                  <c:v>94.535785292678739</c:v>
                </c:pt>
                <c:pt idx="72">
                  <c:v>103.73156516752108</c:v>
                </c:pt>
                <c:pt idx="73">
                  <c:v>113.80768525905637</c:v>
                </c:pt>
                <c:pt idx="74">
                  <c:v>124.84551868173375</c:v>
                </c:pt>
                <c:pt idx="75">
                  <c:v>136.93336298969953</c:v>
                </c:pt>
                <c:pt idx="76">
                  <c:v>150.16690487830047</c:v>
                </c:pt>
                <c:pt idx="77">
                  <c:v>164.64968870980462</c:v>
                </c:pt>
                <c:pt idx="78">
                  <c:v>180.49358154504469</c:v>
                </c:pt>
                <c:pt idx="79">
                  <c:v>197.8192253561422</c:v>
                </c:pt>
                <c:pt idx="80">
                  <c:v>216.75646471732307</c:v>
                </c:pt>
                <c:pt idx="81">
                  <c:v>237.44473547494195</c:v>
                </c:pt>
                <c:pt idx="82">
                  <c:v>260.03339663863346</c:v>
                </c:pt>
                <c:pt idx="83">
                  <c:v>284.68198397082386</c:v>
                </c:pt>
                <c:pt idx="84">
                  <c:v>311.56035944680548</c:v>
                </c:pt>
                <c:pt idx="85">
                  <c:v>340.84872589004181</c:v>
                </c:pt>
                <c:pt idx="86">
                  <c:v>372.73747065503557</c:v>
                </c:pt>
                <c:pt idx="87">
                  <c:v>407.42679625978496</c:v>
                </c:pt>
                <c:pt idx="88">
                  <c:v>445.12608942931297</c:v>
                </c:pt>
                <c:pt idx="89">
                  <c:v>486.05297322419943</c:v>
                </c:pt>
                <c:pt idx="90">
                  <c:v>530.43197998974392</c:v>
                </c:pt>
                <c:pt idx="91">
                  <c:v>578.49277606227088</c:v>
                </c:pt>
                <c:pt idx="92">
                  <c:v>630.46786291604428</c:v>
                </c:pt>
                <c:pt idx="93">
                  <c:v>686.58967427626408</c:v>
                </c:pt>
                <c:pt idx="94">
                  <c:v>747.08698537719397</c:v>
                </c:pt>
                <c:pt idx="95">
                  <c:v>812.18054991672102</c:v>
                </c:pt>
                <c:pt idx="96">
                  <c:v>882.07788346431812</c:v>
                </c:pt>
                <c:pt idx="97">
                  <c:v>956.96712044586639</c:v>
                </c:pt>
                <c:pt idx="98">
                  <c:v>1037.009886882503</c:v>
                </c:pt>
                <c:pt idx="99">
                  <c:v>1122.3331544846285</c:v>
                </c:pt>
                <c:pt idx="100">
                  <c:v>1213.0200752545256</c:v>
                </c:pt>
                <c:pt idx="101">
                  <c:v>1309.0998411317289</c:v>
                </c:pt>
                <c:pt idx="102">
                  <c:v>1410.5366718695416</c:v>
                </c:pt>
                <c:pt idx="103">
                  <c:v>1517.2181071801908</c:v>
                </c:pt>
                <c:pt idx="104">
                  <c:v>1628.9428662819444</c:v>
                </c:pt>
                <c:pt idx="105">
                  <c:v>1745.4086380925862</c:v>
                </c:pt>
                <c:pt idx="106">
                  <c:v>1866.2002754655521</c:v>
                </c:pt>
                <c:pt idx="107">
                  <c:v>1990.7789818806348</c:v>
                </c:pt>
                <c:pt idx="108">
                  <c:v>2118.4731911133249</c:v>
                </c:pt>
                <c:pt idx="109">
                  <c:v>2248.4719390439072</c:v>
                </c:pt>
                <c:pt idx="110">
                  <c:v>2379.8215986396272</c:v>
                </c:pt>
                <c:pt idx="111">
                  <c:v>2511.4268787683523</c:v>
                </c:pt>
                <c:pt idx="112">
                  <c:v>2642.0569583024253</c:v>
                </c:pt>
                <c:pt idx="113">
                  <c:v>2770.3575230239917</c:v>
                </c:pt>
                <c:pt idx="114">
                  <c:v>2894.8692812786876</c:v>
                </c:pt>
                <c:pt idx="115">
                  <c:v>3014.0532482265398</c:v>
                </c:pt>
                <c:pt idx="116">
                  <c:v>3126.322710017309</c:v>
                </c:pt>
                <c:pt idx="117">
                  <c:v>3230.0813221451554</c:v>
                </c:pt>
                <c:pt idx="118">
                  <c:v>3323.7662879819231</c:v>
                </c:pt>
                <c:pt idx="119">
                  <c:v>3405.8950449227873</c:v>
                </c:pt>
                <c:pt idx="120">
                  <c:v>3475.1134087653827</c:v>
                </c:pt>
                <c:pt idx="121">
                  <c:v>3530.2427501968932</c:v>
                </c:pt>
                <c:pt idx="122">
                  <c:v>3570.3235577999289</c:v>
                </c:pt>
                <c:pt idx="123">
                  <c:v>3594.652727012096</c:v>
                </c:pt>
                <c:pt idx="124">
                  <c:v>3602.812132139456</c:v>
                </c:pt>
                <c:pt idx="125">
                  <c:v>3594.6864906016503</c:v>
                </c:pt>
                <c:pt idx="126">
                  <c:v>3570.4691866725184</c:v>
                </c:pt>
                <c:pt idx="127">
                  <c:v>3530.6555285856107</c:v>
                </c:pt>
                <c:pt idx="128">
                  <c:v>3476.023787800098</c:v>
                </c:pt>
                <c:pt idx="129">
                  <c:v>3407.6052204454945</c:v>
                </c:pt>
                <c:pt idx="130">
                  <c:v>3326.6450081332455</c:v>
                </c:pt>
                <c:pt idx="131">
                  <c:v>3234.5566032668994</c:v>
                </c:pt>
                <c:pt idx="132">
                  <c:v>3132.872273524406</c:v>
                </c:pt>
                <c:pt idx="133">
                  <c:v>3023.1926941998859</c:v>
                </c:pt>
                <c:pt idx="134">
                  <c:v>2907.138250827878</c:v>
                </c:pt>
                <c:pt idx="135">
                  <c:v>2786.3043305388014</c:v>
                </c:pt>
                <c:pt idx="136">
                  <c:v>2662.2223598304154</c:v>
                </c:pt>
                <c:pt idx="137">
                  <c:v>2536.3277574080457</c:v>
                </c:pt>
                <c:pt idx="138">
                  <c:v>2409.935379238209</c:v>
                </c:pt>
                <c:pt idx="139">
                  <c:v>2284.2224938809422</c:v>
                </c:pt>
                <c:pt idx="140">
                  <c:v>2160.2188785515609</c:v>
                </c:pt>
                <c:pt idx="141">
                  <c:v>2038.8032917501964</c:v>
                </c:pt>
                <c:pt idx="142">
                  <c:v>1920.7053619575997</c:v>
                </c:pt>
                <c:pt idx="143">
                  <c:v>1806.5118260250401</c:v>
                </c:pt>
                <c:pt idx="144">
                  <c:v>1696.6760387546592</c:v>
                </c:pt>
                <c:pt idx="145">
                  <c:v>1591.5297353242051</c:v>
                </c:pt>
                <c:pt idx="146">
                  <c:v>1491.2961381143311</c:v>
                </c:pt>
                <c:pt idx="147">
                  <c:v>1396.1036382162144</c:v>
                </c:pt>
                <c:pt idx="148">
                  <c:v>1305.999431802634</c:v>
                </c:pt>
                <c:pt idx="149">
                  <c:v>1220.9626390863996</c:v>
                </c:pt>
                <c:pt idx="150">
                  <c:v>1140.9165693604814</c:v>
                </c:pt>
                <c:pt idx="151">
                  <c:v>1065.7399139411148</c:v>
                </c:pt>
                <c:pt idx="152">
                  <c:v>995.27674710533142</c:v>
                </c:pt>
                <c:pt idx="153">
                  <c:v>929.34529301436885</c:v>
                </c:pt>
                <c:pt idx="154">
                  <c:v>867.74547540203537</c:v>
                </c:pt>
                <c:pt idx="155">
                  <c:v>810.26530868534371</c:v>
                </c:pt>
                <c:pt idx="156">
                  <c:v>756.68621677729254</c:v>
                </c:pt>
                <c:pt idx="157">
                  <c:v>706.7873819942389</c:v>
                </c:pt>
                <c:pt idx="158">
                  <c:v>660.34923365177315</c:v>
                </c:pt>
                <c:pt idx="159">
                  <c:v>617.15618654591674</c:v>
                </c:pt>
                <c:pt idx="160">
                  <c:v>576.99873548130859</c:v>
                </c:pt>
                <c:pt idx="161">
                  <c:v>539.67500493003934</c:v>
                </c:pt>
                <c:pt idx="162">
                  <c:v>504.9918440334888</c:v>
                </c:pt>
                <c:pt idx="163">
                  <c:v>472.76554743761181</c:v>
                </c:pt>
                <c:pt idx="164">
                  <c:v>442.82227256222433</c:v>
                </c:pt>
                <c:pt idx="165">
                  <c:v>414.99821431774734</c:v>
                </c:pt>
                <c:pt idx="166">
                  <c:v>389.13958930269092</c:v>
                </c:pt>
                <c:pt idx="167">
                  <c:v>365.10247331915582</c:v>
                </c:pt>
                <c:pt idx="168">
                  <c:v>342.75252871576049</c:v>
                </c:pt>
                <c:pt idx="169">
                  <c:v>321.96465162562538</c:v>
                </c:pt>
                <c:pt idx="170">
                  <c:v>302.62256358472541</c:v>
                </c:pt>
                <c:pt idx="171">
                  <c:v>284.61836723827901</c:v>
                </c:pt>
                <c:pt idx="172">
                  <c:v>267.85208179903032</c:v>
                </c:pt>
                <c:pt idx="173">
                  <c:v>252.23117053317526</c:v>
                </c:pt>
                <c:pt idx="174">
                  <c:v>237.67006973785485</c:v>
                </c:pt>
                <c:pt idx="175">
                  <c:v>224.08972636189208</c:v>
                </c:pt>
                <c:pt idx="176">
                  <c:v>211.4171495372249</c:v>
                </c:pt>
                <c:pt idx="177">
                  <c:v>199.58497976724067</c:v>
                </c:pt>
                <c:pt idx="178">
                  <c:v>188.53107830197732</c:v>
                </c:pt>
                <c:pt idx="179">
                  <c:v>178.19813826805913</c:v>
                </c:pt>
                <c:pt idx="180">
                  <c:v>168.53331836924974</c:v>
                </c:pt>
                <c:pt idx="181">
                  <c:v>159.48789939391486</c:v>
                </c:pt>
                <c:pt idx="182">
                  <c:v>151.01696332650423</c:v>
                </c:pt>
                <c:pt idx="183">
                  <c:v>143.07909453447189</c:v>
                </c:pt>
                <c:pt idx="184">
                  <c:v>135.6361022673932</c:v>
                </c:pt>
                <c:pt idx="185">
                  <c:v>128.6527635427706</c:v>
                </c:pt>
                <c:pt idx="186">
                  <c:v>122.09658538781034</c:v>
                </c:pt>
                <c:pt idx="187">
                  <c:v>115.93758534572886</c:v>
                </c:pt>
                <c:pt idx="188">
                  <c:v>110.14808912869566</c:v>
                </c:pt>
                <c:pt idx="189">
                  <c:v>104.70254429906926</c:v>
                </c:pt>
                <c:pt idx="190">
                  <c:v>99.577348879496455</c:v>
                </c:pt>
                <c:pt idx="191">
                  <c:v>94.750693825419518</c:v>
                </c:pt>
                <c:pt idx="192">
                  <c:v>90.202418336374507</c:v>
                </c:pt>
                <c:pt idx="193">
                  <c:v>85.913877031865226</c:v>
                </c:pt>
                <c:pt idx="194">
                  <c:v>81.867818070994218</c:v>
                </c:pt>
                <c:pt idx="195">
                  <c:v>78.048271350446626</c:v>
                </c:pt>
                <c:pt idx="196">
                  <c:v>74.4404459713531</c:v>
                </c:pt>
                <c:pt idx="197">
                  <c:v>71.030636220884986</c:v>
                </c:pt>
                <c:pt idx="198">
                  <c:v>67.806135368336257</c:v>
                </c:pt>
                <c:pt idx="199">
                  <c:v>64.755156627348086</c:v>
                </c:pt>
                <c:pt idx="200">
                  <c:v>61.866760685435509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2F-4D1D-9CFE-A6D97ACAFF17}"/>
            </c:ext>
          </c:extLst>
        </c:ser>
        <c:ser>
          <c:idx val="1"/>
          <c:order val="1"/>
          <c:tx>
            <c:strRef>
              <c:f>'San Vicente'!$J$3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Vicente'!$C$3:$C$204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Vicente'!$J$4:$J$204</c:f>
              <c:numCache>
                <c:formatCode>0</c:formatCode>
                <c:ptCount val="201"/>
                <c:pt idx="1">
                  <c:v>2.9666666666666664E-2</c:v>
                </c:pt>
                <c:pt idx="2">
                  <c:v>3.2593753552000455E-2</c:v>
                </c:pt>
                <c:pt idx="3">
                  <c:v>3.5809640537393592E-2</c:v>
                </c:pt>
                <c:pt idx="4">
                  <c:v>3.9342821285930404E-2</c:v>
                </c:pt>
                <c:pt idx="5">
                  <c:v>4.3224600562699542E-2</c:v>
                </c:pt>
                <c:pt idx="6">
                  <c:v>4.7489371539623626E-2</c:v>
                </c:pt>
                <c:pt idx="7">
                  <c:v>5.2174920449106356E-2</c:v>
                </c:pt>
                <c:pt idx="8">
                  <c:v>5.7322761282437323E-2</c:v>
                </c:pt>
                <c:pt idx="9">
                  <c:v>6.2978503494380625E-2</c:v>
                </c:pt>
                <c:pt idx="10">
                  <c:v>6.9192255966947336E-2</c:v>
                </c:pt>
                <c:pt idx="11">
                  <c:v>7.6019070805566899E-2</c:v>
                </c:pt>
                <c:pt idx="12">
                  <c:v>8.351943089252592E-2</c:v>
                </c:pt>
                <c:pt idx="13">
                  <c:v>9.1759785508706546E-2</c:v>
                </c:pt>
                <c:pt idx="14">
                  <c:v>0.10081313875869609</c:v>
                </c:pt>
                <c:pt idx="15">
                  <c:v>0.11075969599994386</c:v>
                </c:pt>
                <c:pt idx="16">
                  <c:v>0.12168757398785811</c:v>
                </c:pt>
                <c:pt idx="17">
                  <c:v>0.13369358100999434</c:v>
                </c:pt>
                <c:pt idx="18">
                  <c:v>0.14688407389864314</c:v>
                </c:pt>
                <c:pt idx="19">
                  <c:v>0.16137589948750039</c:v>
                </c:pt>
                <c:pt idx="20">
                  <c:v>0.17729742882051155</c:v>
                </c:pt>
                <c:pt idx="21">
                  <c:v>0.19478969323580284</c:v>
                </c:pt>
                <c:pt idx="22">
                  <c:v>0.21400763234180956</c:v>
                </c:pt>
                <c:pt idx="23">
                  <c:v>0.23512146488391211</c:v>
                </c:pt>
                <c:pt idx="24">
                  <c:v>0.25831819457641969</c:v>
                </c:pt>
                <c:pt idx="25">
                  <c:v>0.28380326415570278</c:v>
                </c:pt>
                <c:pt idx="26">
                  <c:v>0.31180237220560408</c:v>
                </c:pt>
                <c:pt idx="27">
                  <c:v>0.34256346872678328</c:v>
                </c:pt>
                <c:pt idx="28">
                  <c:v>0.37635894697920752</c:v>
                </c:pt>
                <c:pt idx="29">
                  <c:v>0.41348805083443146</c:v>
                </c:pt>
                <c:pt idx="30">
                  <c:v>0.45427951874565259</c:v>
                </c:pt>
                <c:pt idx="31">
                  <c:v>0.49909448749398322</c:v>
                </c:pt>
                <c:pt idx="32">
                  <c:v>0.54832968111549962</c:v>
                </c:pt>
                <c:pt idx="33">
                  <c:v>0.60242091287333543</c:v>
                </c:pt>
                <c:pt idx="34">
                  <c:v>0.66184693083179902</c:v>
                </c:pt>
                <c:pt idx="35">
                  <c:v>0.72713364053621099</c:v>
                </c:pt>
                <c:pt idx="36">
                  <c:v>0.79885874152552117</c:v>
                </c:pt>
                <c:pt idx="37">
                  <c:v>0.87765681792917272</c:v>
                </c:pt>
                <c:pt idx="38">
                  <c:v>0.96422492725134135</c:v>
                </c:pt>
                <c:pt idx="39">
                  <c:v>1.0593287356526366</c:v>
                </c:pt>
                <c:pt idx="40">
                  <c:v>1.1638092526316124</c:v>
                </c:pt>
                <c:pt idx="41">
                  <c:v>1.2785902230178445</c:v>
                </c:pt>
                <c:pt idx="42">
                  <c:v>1.4046862396487036</c:v>
                </c:pt>
                <c:pt idx="43">
                  <c:v>1.5432116460488361</c:v>
                </c:pt>
                <c:pt idx="44">
                  <c:v>1.6953903049021084</c:v>
                </c:pt>
                <c:pt idx="45">
                  <c:v>1.862566315139079</c:v>
                </c:pt>
                <c:pt idx="46">
                  <c:v>2.0462157680989845</c:v>
                </c:pt>
                <c:pt idx="47">
                  <c:v>2.247959641504472</c:v>
                </c:pt>
                <c:pt idx="48">
                  <c:v>2.4695779389508634</c:v>
                </c:pt>
                <c:pt idx="49">
                  <c:v>2.7130251923000852</c:v>
                </c:pt>
                <c:pt idx="50">
                  <c:v>2.9804474548214981</c:v>
                </c:pt>
                <c:pt idx="51">
                  <c:v>3.2742009241739476</c:v>
                </c:pt>
                <c:pt idx="52">
                  <c:v>3.5968723464074532</c:v>
                </c:pt>
                <c:pt idx="53">
                  <c:v>3.9513013651046425</c:v>
                </c:pt>
                <c:pt idx="54">
                  <c:v>4.3406049935983431</c:v>
                </c:pt>
                <c:pt idx="55">
                  <c:v>4.7682044028976769</c:v>
                </c:pt>
                <c:pt idx="56">
                  <c:v>5.2378542335200491</c:v>
                </c:pt>
                <c:pt idx="57">
                  <c:v>5.7536746558297454</c:v>
                </c:pt>
                <c:pt idx="58">
                  <c:v>6.3201864206686595</c:v>
                </c:pt>
                <c:pt idx="59">
                  <c:v>6.9423491599410907</c:v>
                </c:pt>
                <c:pt idx="60">
                  <c:v>7.6256032152516449</c:v>
                </c:pt>
                <c:pt idx="61">
                  <c:v>8.3759152915103332</c:v>
                </c:pt>
                <c:pt idx="62">
                  <c:v>9.1998282513658687</c:v>
                </c:pt>
                <c:pt idx="63">
                  <c:v>10.104515385082328</c:v>
                </c:pt>
                <c:pt idx="64">
                  <c:v>11.097839508615809</c:v>
                </c:pt>
                <c:pt idx="65">
                  <c:v>12.18841725963995</c:v>
                </c:pt>
                <c:pt idx="66">
                  <c:v>13.385688976435331</c:v>
                </c:pt>
                <c:pt idx="67">
                  <c:v>14.699994557051527</c:v>
                </c:pt>
                <c:pt idx="68">
                  <c:v>16.142655704922976</c:v>
                </c:pt>
                <c:pt idx="69">
                  <c:v>17.726064970880483</c:v>
                </c:pt>
                <c:pt idx="70">
                  <c:v>19.463781998671823</c:v>
                </c:pt>
                <c:pt idx="71">
                  <c:v>21.370637369773558</c:v>
                </c:pt>
                <c:pt idx="72">
                  <c:v>23.462844421130576</c:v>
                </c:pt>
                <c:pt idx="73">
                  <c:v>25.75811937372935</c:v>
                </c:pt>
                <c:pt idx="74">
                  <c:v>28.275810057290379</c:v>
                </c:pt>
                <c:pt idx="75">
                  <c:v>31.0370334429388</c:v>
                </c:pt>
                <c:pt idx="76">
                  <c:v>34.064822096868596</c:v>
                </c:pt>
                <c:pt idx="77">
                  <c:v>37.384279538362556</c:v>
                </c:pt>
                <c:pt idx="78">
                  <c:v>41.022744318808009</c:v>
                </c:pt>
                <c:pt idx="79">
                  <c:v>45.009962427350736</c:v>
                </c:pt>
                <c:pt idx="80">
                  <c:v>49.378267365337933</c:v>
                </c:pt>
                <c:pt idx="81">
                  <c:v>54.162766906440581</c:v>
                </c:pt>
                <c:pt idx="82">
                  <c:v>59.401535161982515</c:v>
                </c:pt>
                <c:pt idx="83">
                  <c:v>65.13580809019588</c:v>
                </c:pt>
                <c:pt idx="84">
                  <c:v>71.410180011657118</c:v>
                </c:pt>
                <c:pt idx="85">
                  <c:v>78.272798008190449</c:v>
                </c:pt>
                <c:pt idx="86">
                  <c:v>85.775550275988678</c:v>
                </c:pt>
                <c:pt idx="87">
                  <c:v>93.974243562888432</c:v>
                </c:pt>
                <c:pt idx="88">
                  <c:v>102.92876373316577</c:v>
                </c:pt>
                <c:pt idx="89">
                  <c:v>112.70321226179651</c:v>
                </c:pt>
                <c:pt idx="90">
                  <c:v>123.36601005872122</c:v>
                </c:pt>
                <c:pt idx="91">
                  <c:v>134.98995846312624</c:v>
                </c:pt>
                <c:pt idx="92">
                  <c:v>147.65224553753603</c:v>
                </c:pt>
                <c:pt idx="93">
                  <c:v>161.43438395279415</c:v>
                </c:pt>
                <c:pt idx="94">
                  <c:v>176.42206482456351</c:v>
                </c:pt>
                <c:pt idx="95">
                  <c:v>192.70490989660146</c:v>
                </c:pt>
                <c:pt idx="96">
                  <c:v>210.37610254757746</c:v>
                </c:pt>
                <c:pt idx="97">
                  <c:v>229.5318763387663</c:v>
                </c:pt>
                <c:pt idx="98">
                  <c:v>250.27083836736807</c:v>
                </c:pt>
                <c:pt idx="99">
                  <c:v>272.6931037326367</c:v>
                </c:pt>
                <c:pt idx="100">
                  <c:v>296.89921719125942</c:v>
                </c:pt>
                <c:pt idx="101">
                  <c:v>322.98883885076845</c:v>
                </c:pt>
                <c:pt idx="102">
                  <c:v>351.05917284265075</c:v>
                </c:pt>
                <c:pt idx="103">
                  <c:v>381.20312168002545</c:v>
                </c:pt>
                <c:pt idx="104">
                  <c:v>413.50715480370366</c:v>
                </c:pt>
                <c:pt idx="105">
                  <c:v>448.04888800994456</c:v>
                </c:pt>
                <c:pt idx="106">
                  <c:v>484.8943813396931</c:v>
                </c:pt>
                <c:pt idx="107">
                  <c:v>524.09517680051465</c:v>
                </c:pt>
                <c:pt idx="108">
                  <c:v>565.68511403628975</c:v>
                </c:pt>
                <c:pt idx="109">
                  <c:v>609.67698157144196</c:v>
                </c:pt>
                <c:pt idx="110">
                  <c:v>656.05908304402976</c:v>
                </c:pt>
                <c:pt idx="111">
                  <c:v>704.79182103553774</c:v>
                </c:pt>
                <c:pt idx="112">
                  <c:v>755.80442440448076</c:v>
                </c:pt>
                <c:pt idx="113">
                  <c:v>808.99196668730337</c:v>
                </c:pt>
                <c:pt idx="114">
                  <c:v>864.21284098077172</c:v>
                </c:pt>
                <c:pt idx="115">
                  <c:v>921.28686829268031</c:v>
                </c:pt>
                <c:pt idx="116">
                  <c:v>979.99421904697851</c:v>
                </c:pt>
                <c:pt idx="117">
                  <c:v>1040.0753188092592</c:v>
                </c:pt>
                <c:pt idx="118">
                  <c:v>1101.2318874059235</c:v>
                </c:pt>
                <c:pt idx="119">
                  <c:v>1163.1292243691898</c:v>
                </c:pt>
                <c:pt idx="120">
                  <c:v>1225.399803222926</c:v>
                </c:pt>
                <c:pt idx="121">
                  <c:v>1287.6481742422013</c:v>
                </c:pt>
                <c:pt idx="122">
                  <c:v>1349.4571033566358</c:v>
                </c:pt>
                <c:pt idx="123">
                  <c:v>1410.3947987928125</c:v>
                </c:pt>
                <c:pt idx="124">
                  <c:v>1470.0230030677442</c:v>
                </c:pt>
                <c:pt idx="125">
                  <c:v>1527.9056628856233</c:v>
                </c:pt>
                <c:pt idx="126">
                  <c:v>1583.617840010618</c:v>
                </c:pt>
                <c:pt idx="127">
                  <c:v>1636.7544978815488</c:v>
                </c:pt>
                <c:pt idx="128">
                  <c:v>1686.9387953002038</c:v>
                </c:pt>
                <c:pt idx="129">
                  <c:v>1733.8295411615998</c:v>
                </c:pt>
                <c:pt idx="130">
                  <c:v>1777.1275113294296</c:v>
                </c:pt>
                <c:pt idx="131">
                  <c:v>1816.5803961930683</c:v>
                </c:pt>
                <c:pt idx="132">
                  <c:v>1851.9862288835507</c:v>
                </c:pt>
                <c:pt idx="133">
                  <c:v>1883.1952320353232</c:v>
                </c:pt>
                <c:pt idx="134">
                  <c:v>1910.1101075620757</c:v>
                </c:pt>
                <c:pt idx="135">
                  <c:v>1932.6848720845669</c:v>
                </c:pt>
                <c:pt idx="136">
                  <c:v>1950.9224048210656</c:v>
                </c:pt>
                <c:pt idx="137">
                  <c:v>1964.8709213353322</c:v>
                </c:pt>
                <c:pt idx="138">
                  <c:v>1974.6196140939267</c:v>
                </c:pt>
                <c:pt idx="139">
                  <c:v>1980.2937098748623</c:v>
                </c:pt>
                <c:pt idx="140">
                  <c:v>1982.049186864168</c:v>
                </c:pt>
                <c:pt idx="141">
                  <c:v>1980.0673740323921</c:v>
                </c:pt>
                <c:pt idx="142">
                  <c:v>1974.549625886568</c:v>
                </c:pt>
                <c:pt idx="143">
                  <c:v>1965.7122307617578</c:v>
                </c:pt>
                <c:pt idx="144">
                  <c:v>1953.7816739084424</c:v>
                </c:pt>
                <c:pt idx="145">
                  <c:v>1938.990340594549</c:v>
                </c:pt>
                <c:pt idx="146">
                  <c:v>1921.5727113893488</c:v>
                </c:pt>
                <c:pt idx="147">
                  <c:v>1901.7620731070956</c:v>
                </c:pt>
                <c:pt idx="148">
                  <c:v>1879.7877452706068</c:v>
                </c:pt>
                <c:pt idx="149">
                  <c:v>1855.8728035717315</c:v>
                </c:pt>
                <c:pt idx="150">
                  <c:v>1830.2322684122371</c:v>
                </c:pt>
                <c:pt idx="151">
                  <c:v>1803.0717176895234</c:v>
                </c:pt>
                <c:pt idx="152">
                  <c:v>1774.5862778801254</c:v>
                </c:pt>
                <c:pt idx="153">
                  <c:v>1744.9599454482461</c:v>
                </c:pt>
                <c:pt idx="154">
                  <c:v>1714.3651909593978</c:v>
                </c:pt>
                <c:pt idx="155">
                  <c:v>1682.9628003643447</c:v>
                </c:pt>
                <c:pt idx="156">
                  <c:v>1650.9019111765317</c:v>
                </c:pt>
                <c:pt idx="157">
                  <c:v>1618.3202052350405</c:v>
                </c:pt>
                <c:pt idx="158">
                  <c:v>1585.3442240597019</c:v>
                </c:pt>
                <c:pt idx="159">
                  <c:v>1552.089777189381</c:v>
                </c:pt>
                <c:pt idx="160">
                  <c:v>1518.6624181505972</c:v>
                </c:pt>
                <c:pt idx="161">
                  <c:v>1485.1579666981893</c:v>
                </c:pt>
                <c:pt idx="162">
                  <c:v>1451.6630596211739</c:v>
                </c:pt>
                <c:pt idx="163">
                  <c:v>1418.2557156734617</c:v>
                </c:pt>
                <c:pt idx="164">
                  <c:v>1385.0059030583288</c:v>
                </c:pt>
                <c:pt idx="165">
                  <c:v>1351.9761003757305</c:v>
                </c:pt>
                <c:pt idx="166">
                  <c:v>1319.2218440546326</c:v>
                </c:pt>
                <c:pt idx="167">
                  <c:v>1286.7922570687915</c:v>
                </c:pt>
                <c:pt idx="168">
                  <c:v>1254.7305552083001</c:v>
                </c:pt>
                <c:pt idx="169">
                  <c:v>1223.0745283865911</c:v>
                </c:pt>
                <c:pt idx="170">
                  <c:v>1191.8569954385982</c:v>
                </c:pt>
                <c:pt idx="171">
                  <c:v>1161.1062316436585</c:v>
                </c:pt>
                <c:pt idx="172">
                  <c:v>1130.8463688169388</c:v>
                </c:pt>
                <c:pt idx="173">
                  <c:v>1101.0977682830787</c:v>
                </c:pt>
                <c:pt idx="174">
                  <c:v>1071.8773673994606</c:v>
                </c:pt>
                <c:pt idx="175">
                  <c:v>1043.1990005550349</c:v>
                </c:pt>
                <c:pt idx="176">
                  <c:v>1015.0736957519366</c:v>
                </c:pt>
                <c:pt idx="177">
                  <c:v>987.50994799647628</c:v>
                </c:pt>
                <c:pt idx="178">
                  <c:v>960.51397079635535</c:v>
                </c:pt>
                <c:pt idx="179">
                  <c:v>934.08992709276879</c:v>
                </c:pt>
                <c:pt idx="180">
                  <c:v>908.24014095829557</c:v>
                </c:pt>
                <c:pt idx="181">
                  <c:v>882.96529137130676</c:v>
                </c:pt>
                <c:pt idx="182">
                  <c:v>858.26458934094944</c:v>
                </c:pt>
                <c:pt idx="183">
                  <c:v>834.13593960827063</c:v>
                </c:pt>
                <c:pt idx="184">
                  <c:v>810.57608809251758</c:v>
                </c:pt>
                <c:pt idx="185">
                  <c:v>787.58075619003296</c:v>
                </c:pt>
                <c:pt idx="186">
                  <c:v>765.14476296880071</c:v>
                </c:pt>
                <c:pt idx="187">
                  <c:v>743.26213623634578</c:v>
                </c:pt>
                <c:pt idx="188">
                  <c:v>721.92621339372408</c:v>
                </c:pt>
                <c:pt idx="189">
                  <c:v>701.12973292475135</c:v>
                </c:pt>
                <c:pt idx="190">
                  <c:v>680.86491730813214</c:v>
                </c:pt>
                <c:pt idx="191">
                  <c:v>661.12354808128612</c:v>
                </c:pt>
                <c:pt idx="192">
                  <c:v>641.89703372873055</c:v>
                </c:pt>
                <c:pt idx="193">
                  <c:v>623.17647101508544</c:v>
                </c:pt>
                <c:pt idx="194">
                  <c:v>604.95270033319457</c:v>
                </c:pt>
                <c:pt idx="195">
                  <c:v>587.21635559152742</c:v>
                </c:pt>
                <c:pt idx="196">
                  <c:v>569.95790912187306</c:v>
                </c:pt>
                <c:pt idx="197">
                  <c:v>553.16771204829411</c:v>
                </c:pt>
                <c:pt idx="198">
                  <c:v>536.83603052123726</c:v>
                </c:pt>
                <c:pt idx="199">
                  <c:v>520.95307818645665</c:v>
                </c:pt>
                <c:pt idx="200">
                  <c:v>505.50904522685283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2F-4D1D-9CFE-A6D97ACAFF17}"/>
            </c:ext>
          </c:extLst>
        </c:ser>
        <c:ser>
          <c:idx val="2"/>
          <c:order val="2"/>
          <c:tx>
            <c:strRef>
              <c:f>'San Vicente'!$K$3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Vicente'!$C$3:$C$204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Vicente'!$K$4:$K$204</c:f>
              <c:numCache>
                <c:formatCode>0</c:formatCode>
                <c:ptCount val="201"/>
                <c:pt idx="1">
                  <c:v>3.6666666666666701E-3</c:v>
                </c:pt>
                <c:pt idx="2">
                  <c:v>4.0284414502472507E-3</c:v>
                </c:pt>
                <c:pt idx="3">
                  <c:v>4.4259106282171909E-3</c:v>
                </c:pt>
                <c:pt idx="4">
                  <c:v>4.8625958892723024E-3</c:v>
                </c:pt>
                <c:pt idx="5">
                  <c:v>5.342366361681972E-3</c:v>
                </c:pt>
                <c:pt idx="6">
                  <c:v>5.8694728869197795E-3</c:v>
                </c:pt>
                <c:pt idx="7">
                  <c:v>6.4485856734850617E-3</c:v>
                </c:pt>
                <c:pt idx="8">
                  <c:v>7.0848356641214742E-3</c:v>
                </c:pt>
                <c:pt idx="9">
                  <c:v>7.7838599824515452E-3</c:v>
                </c:pt>
                <c:pt idx="10">
                  <c:v>8.5518518610833878E-3</c:v>
                </c:pt>
                <c:pt idx="11">
                  <c:v>9.3956154928228862E-3</c:v>
                </c:pt>
                <c:pt idx="12">
                  <c:v>1.0322626290087483E-2</c:v>
                </c:pt>
                <c:pt idx="13">
                  <c:v>1.1341097085345765E-2</c:v>
                </c:pt>
                <c:pt idx="14">
                  <c:v>1.2460050857816381E-2</c:v>
                </c:pt>
                <c:pt idx="15">
                  <c:v>1.3689400629206558E-2</c:v>
                </c:pt>
                <c:pt idx="16">
                  <c:v>1.5040037234454389E-2</c:v>
                </c:pt>
                <c:pt idx="17">
                  <c:v>1.6523925742808303E-2</c:v>
                </c:pt>
                <c:pt idx="18">
                  <c:v>1.8154211380731193E-2</c:v>
                </c:pt>
                <c:pt idx="19">
                  <c:v>1.9945335891713552E-2</c:v>
                </c:pt>
                <c:pt idx="20">
                  <c:v>2.1913165359838529E-2</c:v>
                </c:pt>
                <c:pt idx="21">
                  <c:v>2.4075130624649815E-2</c:v>
                </c:pt>
                <c:pt idx="22">
                  <c:v>2.6450381525392218E-2</c:v>
                </c:pt>
                <c:pt idx="23">
                  <c:v>2.9059956333966696E-2</c:v>
                </c:pt>
                <c:pt idx="24">
                  <c:v>3.1926967868995723E-2</c:v>
                </c:pt>
                <c:pt idx="25">
                  <c:v>3.5076807929356565E-2</c:v>
                </c:pt>
                <c:pt idx="26">
                  <c:v>3.8537371845636499E-2</c:v>
                </c:pt>
                <c:pt idx="27">
                  <c:v>4.2339305123535051E-2</c:v>
                </c:pt>
                <c:pt idx="28">
                  <c:v>4.6516274345744797E-2</c:v>
                </c:pt>
                <c:pt idx="29">
                  <c:v>5.1105264709873602E-2</c:v>
                </c:pt>
                <c:pt idx="30">
                  <c:v>5.6146906811260486E-2</c:v>
                </c:pt>
                <c:pt idx="31">
                  <c:v>6.1685835532964278E-2</c:v>
                </c:pt>
                <c:pt idx="32">
                  <c:v>6.7771084182814648E-2</c:v>
                </c:pt>
                <c:pt idx="33">
                  <c:v>7.4456517321423554E-2</c:v>
                </c:pt>
                <c:pt idx="34">
                  <c:v>8.1801306057862871E-2</c:v>
                </c:pt>
                <c:pt idx="35">
                  <c:v>8.9870449953913814E-2</c:v>
                </c:pt>
                <c:pt idx="36">
                  <c:v>9.8735350076188097E-2</c:v>
                </c:pt>
                <c:pt idx="37">
                  <c:v>0.10847443817102145</c:v>
                </c:pt>
                <c:pt idx="38">
                  <c:v>0.11917386741308725</c:v>
                </c:pt>
                <c:pt idx="39">
                  <c:v>0.1309282706986406</c:v>
                </c:pt>
                <c:pt idx="40">
                  <c:v>0.14384159302188479</c:v>
                </c:pt>
                <c:pt idx="41">
                  <c:v>0.1580280050920933</c:v>
                </c:pt>
                <c:pt idx="42">
                  <c:v>0.17361290602399723</c:v>
                </c:pt>
                <c:pt idx="43">
                  <c:v>0.19073402366895748</c:v>
                </c:pt>
                <c:pt idx="44">
                  <c:v>0.20954262195419338</c:v>
                </c:pt>
                <c:pt idx="45">
                  <c:v>0.23020482546662796</c:v>
                </c:pt>
                <c:pt idx="46">
                  <c:v>0.25290307246167248</c:v>
                </c:pt>
                <c:pt idx="47">
                  <c:v>0.277837708500553</c:v>
                </c:pt>
                <c:pt idx="48">
                  <c:v>0.30522873402763506</c:v>
                </c:pt>
                <c:pt idx="49">
                  <c:v>0.33531772039664004</c:v>
                </c:pt>
                <c:pt idx="50">
                  <c:v>0.36836991014647763</c:v>
                </c:pt>
                <c:pt idx="51">
                  <c:v>0.40467651871812882</c:v>
                </c:pt>
                <c:pt idx="52">
                  <c:v>0.44455725629755088</c:v>
                </c:pt>
                <c:pt idx="53">
                  <c:v>0.4883630900691136</c:v>
                </c:pt>
                <c:pt idx="54">
                  <c:v>0.53647926887170572</c:v>
                </c:pt>
                <c:pt idx="55">
                  <c:v>0.58932863406600555</c:v>
                </c:pt>
                <c:pt idx="56">
                  <c:v>0.64737524234517518</c:v>
                </c:pt>
                <c:pt idx="57">
                  <c:v>0.71112832824862093</c:v>
                </c:pt>
                <c:pt idx="58">
                  <c:v>0.78114663626241942</c:v>
                </c:pt>
                <c:pt idx="59">
                  <c:v>0.85804315459946146</c:v>
                </c:pt>
                <c:pt idx="60">
                  <c:v>0.94249028503110321</c:v>
                </c:pt>
                <c:pt idx="61">
                  <c:v>1.0352254854675704</c:v>
                </c:pt>
                <c:pt idx="62">
                  <c:v>1.1370574243261198</c:v>
                </c:pt>
                <c:pt idx="63">
                  <c:v>1.2488726880438847</c:v>
                </c:pt>
                <c:pt idx="64">
                  <c:v>1.3716430853345398</c:v>
                </c:pt>
                <c:pt idx="65">
                  <c:v>1.5064335938880853</c:v>
                </c:pt>
                <c:pt idx="66">
                  <c:v>1.6544109970875145</c:v>
                </c:pt>
                <c:pt idx="67">
                  <c:v>1.8168532598603029</c:v>
                </c:pt>
                <c:pt idx="68">
                  <c:v>1.995159693866887</c:v>
                </c:pt>
                <c:pt idx="69">
                  <c:v>2.1908619626930959</c:v>
                </c:pt>
                <c:pt idx="70">
                  <c:v>2.4056359773639358</c:v>
                </c:pt>
                <c:pt idx="71">
                  <c:v>2.6413147310956111</c:v>
                </c:pt>
                <c:pt idx="72">
                  <c:v>2.8999021194655796</c:v>
                </c:pt>
                <c:pt idx="73">
                  <c:v>3.1835877877643046</c:v>
                </c:pt>
                <c:pt idx="74">
                  <c:v>3.494763040788702</c:v>
                </c:pt>
                <c:pt idx="75">
                  <c:v>3.8360378412621028</c:v>
                </c:pt>
                <c:pt idx="76">
                  <c:v>4.2102589108489319</c:v>
                </c:pt>
                <c:pt idx="77">
                  <c:v>4.620528931707736</c:v>
                </c:pt>
                <c:pt idx="78">
                  <c:v>5.0702268259200967</c:v>
                </c:pt>
                <c:pt idx="79">
                  <c:v>5.5630290640545903</c:v>
                </c:pt>
                <c:pt idx="80">
                  <c:v>6.1029319215586266</c:v>
                </c:pt>
                <c:pt idx="81">
                  <c:v>6.6942745614701913</c:v>
                </c:pt>
                <c:pt idx="82">
                  <c:v>7.3417627728293073</c:v>
                </c:pt>
                <c:pt idx="83">
                  <c:v>8.05049313474332</c:v>
                </c:pt>
                <c:pt idx="84">
                  <c:v>8.8259773048115644</c:v>
                </c:pt>
                <c:pt idx="85">
                  <c:v>9.6741660459561327</c:v>
                </c:pt>
                <c:pt idx="86">
                  <c:v>10.601472506021082</c:v>
                </c:pt>
                <c:pt idx="87">
                  <c:v>11.614794148222177</c:v>
                </c:pt>
                <c:pt idx="88">
                  <c:v>12.721532596233981</c:v>
                </c:pt>
                <c:pt idx="89">
                  <c:v>13.929610504266998</c:v>
                </c:pt>
                <c:pt idx="90">
                  <c:v>15.247484389280165</c:v>
                </c:pt>
                <c:pt idx="91">
                  <c:v>16.684152169599887</c:v>
                </c:pt>
                <c:pt idx="92">
                  <c:v>18.249153942841549</c:v>
                </c:pt>
                <c:pt idx="93">
                  <c:v>19.952564308772327</c:v>
                </c:pt>
                <c:pt idx="94">
                  <c:v>21.804974304159554</c:v>
                </c:pt>
                <c:pt idx="95">
                  <c:v>23.817460773737285</c:v>
                </c:pt>
                <c:pt idx="96">
                  <c:v>26.001540764307354</c:v>
                </c:pt>
                <c:pt idx="97">
                  <c:v>28.369108311532941</c:v>
                </c:pt>
                <c:pt idx="98">
                  <c:v>30.932350809450021</c:v>
                </c:pt>
                <c:pt idx="99">
                  <c:v>33.703642034370866</c:v>
                </c:pt>
                <c:pt idx="100">
                  <c:v>36.69540886633547</c:v>
                </c:pt>
                <c:pt idx="101">
                  <c:v>39.919968846724224</c:v>
                </c:pt>
                <c:pt idx="102">
                  <c:v>43.389335969316434</c:v>
                </c:pt>
                <c:pt idx="103">
                  <c:v>47.114992567194207</c:v>
                </c:pt>
                <c:pt idx="104">
                  <c:v>51.10762587461511</c:v>
                </c:pt>
                <c:pt idx="105">
                  <c:v>55.376828855161747</c:v>
                </c:pt>
                <c:pt idx="106">
                  <c:v>59.930766232995843</c:v>
                </c:pt>
                <c:pt idx="107">
                  <c:v>64.775808368603009</c:v>
                </c:pt>
                <c:pt idx="108">
                  <c:v>69.916137689878568</c:v>
                </c:pt>
                <c:pt idx="109">
                  <c:v>75.353334800964817</c:v>
                </c:pt>
                <c:pt idx="110">
                  <c:v>81.085954084093643</c:v>
                </c:pt>
                <c:pt idx="111">
                  <c:v>87.109101476302513</c:v>
                </c:pt>
                <c:pt idx="112">
                  <c:v>93.414029982576366</c:v>
                </c:pt>
                <c:pt idx="113">
                  <c:v>99.98777116359939</c:v>
                </c:pt>
                <c:pt idx="114">
                  <c:v>106.81282304256739</c:v>
                </c:pt>
                <c:pt idx="115">
                  <c:v>113.86691630583701</c:v>
                </c:pt>
                <c:pt idx="116">
                  <c:v>121.12288100580645</c:v>
                </c:pt>
                <c:pt idx="117">
                  <c:v>128.54863490900968</c:v>
                </c:pt>
                <c:pt idx="118">
                  <c:v>136.10731192657497</c:v>
                </c:pt>
                <c:pt idx="119">
                  <c:v>143.75754458495621</c:v>
                </c:pt>
                <c:pt idx="120">
                  <c:v>151.45390826350786</c:v>
                </c:pt>
                <c:pt idx="121">
                  <c:v>159.14752715353066</c:v>
                </c:pt>
                <c:pt idx="122">
                  <c:v>166.7868329991349</c:v>
                </c:pt>
                <c:pt idx="123">
                  <c:v>174.31845827776351</c:v>
                </c:pt>
                <c:pt idx="124">
                  <c:v>181.68823633421576</c:v>
                </c:pt>
                <c:pt idx="125">
                  <c:v>188.84227294091994</c:v>
                </c:pt>
                <c:pt idx="126">
                  <c:v>195.72804764176198</c:v>
                </c:pt>
                <c:pt idx="127">
                  <c:v>202.29549973816918</c:v>
                </c:pt>
                <c:pt idx="128">
                  <c:v>208.49805335171078</c:v>
                </c:pt>
                <c:pt idx="129">
                  <c:v>214.29353879525414</c:v>
                </c:pt>
                <c:pt idx="130">
                  <c:v>219.64497331037919</c:v>
                </c:pt>
                <c:pt idx="131">
                  <c:v>224.52117256318843</c:v>
                </c:pt>
                <c:pt idx="132">
                  <c:v>228.89717435639415</c:v>
                </c:pt>
                <c:pt idx="133">
                  <c:v>232.75446688077051</c:v>
                </c:pt>
                <c:pt idx="134">
                  <c:v>236.08102453014442</c:v>
                </c:pt>
                <c:pt idx="135">
                  <c:v>238.87116396550852</c:v>
                </c:pt>
                <c:pt idx="136">
                  <c:v>241.12524104530047</c:v>
                </c:pt>
                <c:pt idx="137">
                  <c:v>242.84921499650198</c:v>
                </c:pt>
                <c:pt idx="138">
                  <c:v>244.05410960711475</c:v>
                </c:pt>
                <c:pt idx="139">
                  <c:v>244.75540234408436</c:v>
                </c:pt>
                <c:pt idx="140">
                  <c:v>244.97237141017828</c:v>
                </c:pt>
                <c:pt idx="141">
                  <c:v>244.72742825119477</c:v>
                </c:pt>
                <c:pt idx="142">
                  <c:v>244.04545937923902</c:v>
                </c:pt>
                <c:pt idx="143">
                  <c:v>242.95319706044222</c:v>
                </c:pt>
                <c:pt idx="144">
                  <c:v>241.47863385385264</c:v>
                </c:pt>
                <c:pt idx="145">
                  <c:v>239.65049153415799</c:v>
                </c:pt>
                <c:pt idx="146">
                  <c:v>237.4977508458748</c:v>
                </c:pt>
                <c:pt idx="147">
                  <c:v>235.04924499076483</c:v>
                </c:pt>
                <c:pt idx="148">
                  <c:v>232.33331683119883</c:v>
                </c:pt>
                <c:pt idx="149">
                  <c:v>229.37753752010184</c:v>
                </c:pt>
                <c:pt idx="150">
                  <c:v>226.20848261274861</c:v>
                </c:pt>
                <c:pt idx="151">
                  <c:v>222.8515606133121</c:v>
                </c:pt>
                <c:pt idx="152">
                  <c:v>219.3308882773191</c:v>
                </c:pt>
                <c:pt idx="153">
                  <c:v>215.66920674079469</c:v>
                </c:pt>
                <c:pt idx="154">
                  <c:v>211.88783259048756</c:v>
                </c:pt>
                <c:pt idx="155">
                  <c:v>208.00663824727877</c:v>
                </c:pt>
                <c:pt idx="156">
                  <c:v>204.04405643754907</c:v>
                </c:pt>
                <c:pt idx="157">
                  <c:v>200.01710401781423</c:v>
                </c:pt>
                <c:pt idx="158">
                  <c:v>195.94142095119929</c:v>
                </c:pt>
                <c:pt idx="159">
                  <c:v>191.83132077621582</c:v>
                </c:pt>
                <c:pt idx="160">
                  <c:v>187.69984943434366</c:v>
                </c:pt>
                <c:pt idx="161">
                  <c:v>183.55884981663033</c:v>
                </c:pt>
                <c:pt idx="162">
                  <c:v>179.41902984081943</c:v>
                </c:pt>
                <c:pt idx="163">
                  <c:v>175.29003227424826</c:v>
                </c:pt>
                <c:pt idx="164">
                  <c:v>171.18050487237787</c:v>
                </c:pt>
                <c:pt idx="165">
                  <c:v>167.09816970936012</c:v>
                </c:pt>
                <c:pt idx="166">
                  <c:v>163.0498908382132</c:v>
                </c:pt>
                <c:pt idx="167">
                  <c:v>159.04173963771595</c:v>
                </c:pt>
                <c:pt idx="168">
                  <c:v>155.07905738529564</c:v>
                </c:pt>
                <c:pt idx="169">
                  <c:v>151.16651474441025</c:v>
                </c:pt>
                <c:pt idx="170">
                  <c:v>147.30816797555724</c:v>
                </c:pt>
                <c:pt idx="171">
                  <c:v>143.50751177618267</c:v>
                </c:pt>
                <c:pt idx="172">
                  <c:v>139.76752873018359</c:v>
                </c:pt>
                <c:pt idx="173">
                  <c:v>136.09073540577393</c:v>
                </c:pt>
                <c:pt idx="174">
                  <c:v>132.4792251842031</c:v>
                </c:pt>
                <c:pt idx="175">
                  <c:v>128.93470793376849</c:v>
                </c:pt>
                <c:pt idx="176">
                  <c:v>125.45854666596982</c:v>
                </c:pt>
                <c:pt idx="177">
                  <c:v>122.05179132540731</c:v>
                </c:pt>
                <c:pt idx="178">
                  <c:v>118.71520987370695</c:v>
                </c:pt>
                <c:pt idx="179">
                  <c:v>115.44931683169064</c:v>
                </c:pt>
                <c:pt idx="180">
                  <c:v>112.25439944428383</c:v>
                </c:pt>
                <c:pt idx="181">
                  <c:v>109.13054163016162</c:v>
                </c:pt>
                <c:pt idx="182">
                  <c:v>106.0776458736006</c:v>
                </c:pt>
                <c:pt idx="183">
                  <c:v>103.09545321001109</c:v>
                </c:pt>
                <c:pt idx="184">
                  <c:v>100.18356144963711</c:v>
                </c:pt>
                <c:pt idx="185">
                  <c:v>97.341441776296307</c:v>
                </c:pt>
                <c:pt idx="186">
                  <c:v>94.56845385007658</c:v>
                </c:pt>
                <c:pt idx="187">
                  <c:v>91.863859534829345</c:v>
                </c:pt>
                <c:pt idx="188">
                  <c:v>89.226835363269359</c:v>
                </c:pt>
                <c:pt idx="189">
                  <c:v>86.656483844632277</c:v>
                </c:pt>
                <c:pt idx="190">
                  <c:v>84.151843712241131</c:v>
                </c:pt>
                <c:pt idx="191">
                  <c:v>81.711899201057903</c:v>
                </c:pt>
                <c:pt idx="192">
                  <c:v>79.335588438382516</c:v>
                </c:pt>
                <c:pt idx="193">
                  <c:v>77.021811024336472</c:v>
                </c:pt>
                <c:pt idx="194">
                  <c:v>74.76943487264208</c:v>
                </c:pt>
                <c:pt idx="195">
                  <c:v>72.577302376480986</c:v>
                </c:pt>
                <c:pt idx="196">
                  <c:v>70.444235958883255</c:v>
                </c:pt>
                <c:pt idx="197">
                  <c:v>68.369043062148776</c:v>
                </c:pt>
                <c:pt idx="198">
                  <c:v>66.350520626220401</c:v>
                </c:pt>
                <c:pt idx="199">
                  <c:v>64.387459101696962</c:v>
                </c:pt>
                <c:pt idx="200">
                  <c:v>62.478646039274004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2F-4D1D-9CFE-A6D97ACAFF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Usulutan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Usulutan!$I$3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Usulutan!$C$3:$C$204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Usulutan!$I$4:$I$204</c:f>
              <c:numCache>
                <c:formatCode>0</c:formatCode>
                <c:ptCount val="201"/>
                <c:pt idx="1">
                  <c:v>0.13199961654213971</c:v>
                </c:pt>
                <c:pt idx="2">
                  <c:v>0.14502347402566163</c:v>
                </c:pt>
                <c:pt idx="3">
                  <c:v>0.15933232878825371</c:v>
                </c:pt>
                <c:pt idx="4">
                  <c:v>0.17505296223531874</c:v>
                </c:pt>
                <c:pt idx="5">
                  <c:v>0.19232466382103214</c:v>
                </c:pt>
                <c:pt idx="6">
                  <c:v>0.21130046495684204</c:v>
                </c:pt>
                <c:pt idx="7">
                  <c:v>0.23214849462011075</c:v>
                </c:pt>
                <c:pt idx="8">
                  <c:v>0.25505346866120776</c:v>
                </c:pt>
                <c:pt idx="9">
                  <c:v>0.28021832598924479</c:v>
                </c:pt>
                <c:pt idx="10">
                  <c:v>0.30786602611472685</c:v>
                </c:pt>
                <c:pt idx="11">
                  <c:v>0.33824152395306861</c:v>
                </c:pt>
                <c:pt idx="12">
                  <c:v>0.3716139393586752</c:v>
                </c:pt>
                <c:pt idx="13">
                  <c:v>0.40827894057881431</c:v>
                </c:pt>
                <c:pt idx="14">
                  <c:v>0.44856136270482982</c:v>
                </c:pt>
                <c:pt idx="15">
                  <c:v>0.49281808427185497</c:v>
                </c:pt>
                <c:pt idx="16">
                  <c:v>0.54144118743512626</c:v>
                </c:pt>
                <c:pt idx="17">
                  <c:v>0.59486142965109601</c:v>
                </c:pt>
                <c:pt idx="18">
                  <c:v>0.65355205753648882</c:v>
                </c:pt>
                <c:pt idx="19">
                  <c:v>0.7180329965920218</c:v>
                </c:pt>
                <c:pt idx="20">
                  <c:v>0.78887545378577673</c:v>
                </c:pt>
                <c:pt idx="21">
                  <c:v>0.86670697362267335</c:v>
                </c:pt>
                <c:pt idx="22">
                  <c:v>0.95221699231240453</c:v>
                </c:pt>
                <c:pt idx="23">
                  <c:v>1.0461629390226934</c:v>
                </c:pt>
                <c:pt idx="24">
                  <c:v>1.1493769380052241</c:v>
                </c:pt>
                <c:pt idx="25">
                  <c:v>1.2627731706489247</c:v>
                </c:pt>
                <c:pt idx="26">
                  <c:v>1.3873559622941076</c:v>
                </c:pt>
                <c:pt idx="27">
                  <c:v>1.5242286649800654</c:v>
                </c:pt>
                <c:pt idx="28">
                  <c:v>1.6746034142513153</c:v>
                </c:pt>
                <c:pt idx="29">
                  <c:v>1.839811845771818</c:v>
                </c:pt>
                <c:pt idx="30">
                  <c:v>2.0213168658554879</c:v>
                </c:pt>
                <c:pt idx="31">
                  <c:v>2.2207255791840175</c:v>
                </c:pt>
                <c:pt idx="32">
                  <c:v>2.4398034870244385</c:v>
                </c:pt>
                <c:pt idx="33">
                  <c:v>2.6804900802604088</c:v>
                </c:pt>
                <c:pt idx="34">
                  <c:v>2.9449159636013333</c:v>
                </c:pt>
                <c:pt idx="35">
                  <c:v>3.2354216605279316</c:v>
                </c:pt>
                <c:pt idx="36">
                  <c:v>3.5545782629755385</c:v>
                </c:pt>
                <c:pt idx="37">
                  <c:v>3.9052101055591648</c:v>
                </c:pt>
                <c:pt idx="38">
                  <c:v>4.2904196614282197</c:v>
                </c:pt>
                <c:pt idx="39">
                  <c:v>4.7136148757335006</c:v>
                </c:pt>
                <c:pt idx="40">
                  <c:v>5.1785391733344044</c:v>
                </c:pt>
                <c:pt idx="41">
                  <c:v>5.6893043999192301</c:v>
                </c:pt>
                <c:pt idx="42">
                  <c:v>6.2504269803154324</c:v>
                </c:pt>
                <c:pt idx="43">
                  <c:v>6.8668676045985499</c:v>
                </c:pt>
                <c:pt idx="44">
                  <c:v>7.5440747818471268</c:v>
                </c:pt>
                <c:pt idx="45">
                  <c:v>8.2880326332242475</c:v>
                </c:pt>
                <c:pt idx="46">
                  <c:v>9.1053133306906826</c:v>
                </c:pt>
                <c:pt idx="47">
                  <c:v>10.003134625273574</c:v>
                </c:pt>
                <c:pt idx="48">
                  <c:v>10.989422949637136</c:v>
                </c:pt>
                <c:pt idx="49">
                  <c:v>12.072882623939789</c:v>
                </c:pt>
                <c:pt idx="50">
                  <c:v>13.263071741827261</c:v>
                </c:pt>
                <c:pt idx="51">
                  <c:v>14.570485365110123</c:v>
                </c:pt>
                <c:pt idx="52">
                  <c:v>16.006646711404166</c:v>
                </c:pt>
                <c:pt idx="53">
                  <c:v>17.584207078951643</c:v>
                </c:pt>
                <c:pt idx="54">
                  <c:v>19.317055317144469</c:v>
                </c:pt>
                <c:pt idx="55">
                  <c:v>21.220437720050835</c:v>
                </c:pt>
                <c:pt idx="56">
                  <c:v>23.311089293568358</c:v>
                </c:pt>
                <c:pt idx="57">
                  <c:v>25.607377424681932</c:v>
                </c:pt>
                <c:pt idx="58">
                  <c:v>28.129459063594741</c:v>
                </c:pt>
                <c:pt idx="59">
                  <c:v>30.899452616009032</c:v>
                </c:pt>
                <c:pt idx="60">
                  <c:v>33.941625833190642</c:v>
                </c:pt>
                <c:pt idx="61">
                  <c:v>37.282601081098242</c:v>
                </c:pt>
                <c:pt idx="62">
                  <c:v>40.951579465994399</c:v>
                </c:pt>
                <c:pt idx="63">
                  <c:v>44.980585391482492</c:v>
                </c:pt>
                <c:pt idx="64">
                  <c:v>49.404733219363571</c:v>
                </c:pt>
                <c:pt idx="65">
                  <c:v>54.262517802155848</c:v>
                </c:pt>
                <c:pt idx="66">
                  <c:v>59.596130746090239</c:v>
                </c:pt>
                <c:pt idx="67">
                  <c:v>65.451804346728551</c:v>
                </c:pt>
                <c:pt idx="68">
                  <c:v>71.880185211070469</c:v>
                </c:pt>
                <c:pt idx="69">
                  <c:v>78.936739635150502</c:v>
                </c:pt>
                <c:pt idx="70">
                  <c:v>86.682192838513743</c:v>
                </c:pt>
                <c:pt idx="71">
                  <c:v>95.183004159012171</c:v>
                </c:pt>
                <c:pt idx="72">
                  <c:v>104.51188027379246</c:v>
                </c:pt>
                <c:pt idx="73">
                  <c:v>114.74832842384636</c:v>
                </c:pt>
                <c:pt idx="74">
                  <c:v>125.97925146638612</c:v>
                </c:pt>
                <c:pt idx="75">
                  <c:v>138.29958634511141</c:v>
                </c:pt>
                <c:pt idx="76">
                  <c:v>151.81298723342337</c:v>
                </c:pt>
                <c:pt idx="77">
                  <c:v>166.63255414629992</c:v>
                </c:pt>
                <c:pt idx="78">
                  <c:v>182.8816072050225</c:v>
                </c:pt>
                <c:pt idx="79">
                  <c:v>200.69450594241641</c:v>
                </c:pt>
                <c:pt idx="80">
                  <c:v>220.2175120163169</c:v>
                </c:pt>
                <c:pt idx="81">
                  <c:v>241.60969241091638</c:v>
                </c:pt>
                <c:pt idx="82">
                  <c:v>265.04385859792461</c:v>
                </c:pt>
                <c:pt idx="83">
                  <c:v>290.70753514307825</c:v>
                </c:pt>
                <c:pt idx="84">
                  <c:v>318.8039488116172</c:v>
                </c:pt>
                <c:pt idx="85">
                  <c:v>349.55302627403483</c:v>
                </c:pt>
                <c:pt idx="86">
                  <c:v>383.1923849580275</c:v>
                </c:pt>
                <c:pt idx="87">
                  <c:v>419.97829734438318</c:v>
                </c:pt>
                <c:pt idx="88">
                  <c:v>460.18660396827033</c:v>
                </c:pt>
                <c:pt idx="89">
                  <c:v>504.11354446481675</c:v>
                </c:pt>
                <c:pt idx="90">
                  <c:v>552.07646909183075</c:v>
                </c:pt>
                <c:pt idx="91">
                  <c:v>604.41438518285395</c:v>
                </c:pt>
                <c:pt idx="92">
                  <c:v>661.4882838554887</c:v>
                </c:pt>
                <c:pt idx="93">
                  <c:v>723.68118197483614</c:v>
                </c:pt>
                <c:pt idx="94">
                  <c:v>791.39780284327958</c:v>
                </c:pt>
                <c:pt idx="95">
                  <c:v>865.06380641045132</c:v>
                </c:pt>
                <c:pt idx="96">
                  <c:v>945.12446611189478</c:v>
                </c:pt>
                <c:pt idx="97">
                  <c:v>1032.042675009533</c:v>
                </c:pt>
                <c:pt idx="98">
                  <c:v>1126.2961491336744</c:v>
                </c:pt>
                <c:pt idx="99">
                  <c:v>1228.3736814248634</c:v>
                </c:pt>
                <c:pt idx="100">
                  <c:v>1338.7702863017187</c:v>
                </c:pt>
                <c:pt idx="101">
                  <c:v>1457.9810637960411</c:v>
                </c:pt>
                <c:pt idx="102">
                  <c:v>1586.4936049119297</c:v>
                </c:pt>
                <c:pt idx="103">
                  <c:v>1724.7787582989272</c:v>
                </c:pt>
                <c:pt idx="104">
                  <c:v>1873.2795848389212</c:v>
                </c:pt>
                <c:pt idx="105">
                  <c:v>2032.39834414453</c:v>
                </c:pt>
                <c:pt idx="106">
                  <c:v>2202.4813884903192</c:v>
                </c:pt>
                <c:pt idx="107">
                  <c:v>2383.8018889226028</c:v>
                </c:pt>
                <c:pt idx="108">
                  <c:v>2576.5403889613403</c:v>
                </c:pt>
                <c:pt idx="109">
                  <c:v>2780.763277048984</c:v>
                </c:pt>
                <c:pt idx="110">
                  <c:v>2996.3993928203049</c:v>
                </c:pt>
                <c:pt idx="111">
                  <c:v>3223.2151363745488</c:v>
                </c:pt>
                <c:pt idx="112">
                  <c:v>3460.7886342127913</c:v>
                </c:pt>
                <c:pt idx="113">
                  <c:v>3708.4837278438476</c:v>
                </c:pt>
                <c:pt idx="114">
                  <c:v>3965.4247850678853</c:v>
                </c:pt>
                <c:pt idx="115">
                  <c:v>4230.473578765359</c:v>
                </c:pt>
                <c:pt idx="116">
                  <c:v>4502.2097173044267</c:v>
                </c:pt>
                <c:pt idx="117">
                  <c:v>4778.9163221219032</c:v>
                </c:pt>
                <c:pt idx="118">
                  <c:v>5058.5728035115435</c:v>
                </c:pt>
                <c:pt idx="119">
                  <c:v>5338.8566523259742</c:v>
                </c:pt>
                <c:pt idx="120">
                  <c:v>5617.1561078870336</c:v>
                </c:pt>
                <c:pt idx="121">
                  <c:v>5890.5953468737653</c:v>
                </c:pt>
                <c:pt idx="122">
                  <c:v>6156.0734365982426</c:v>
                </c:pt>
                <c:pt idx="123">
                  <c:v>6410.3176936259688</c:v>
                </c:pt>
                <c:pt idx="124">
                  <c:v>6649.9512888964573</c:v>
                </c:pt>
                <c:pt idx="125">
                  <c:v>6871.5739719774656</c:v>
                </c:pt>
                <c:pt idx="126">
                  <c:v>7071.8537071343517</c:v>
                </c:pt>
                <c:pt idx="127">
                  <c:v>7247.6259086403679</c:v>
                </c:pt>
                <c:pt idx="128">
                  <c:v>7395.9959424033759</c:v>
                </c:pt>
                <c:pt idx="129">
                  <c:v>7514.4397495016783</c:v>
                </c:pt>
                <c:pt idx="130">
                  <c:v>7600.8969668259051</c:v>
                </c:pt>
                <c:pt idx="131">
                  <c:v>7653.8508722753786</c:v>
                </c:pt>
                <c:pt idx="132">
                  <c:v>7672.3899284560775</c:v>
                </c:pt>
                <c:pt idx="133">
                  <c:v>7656.2466454113528</c:v>
                </c:pt>
                <c:pt idx="134">
                  <c:v>7605.8108712813591</c:v>
                </c:pt>
                <c:pt idx="135">
                  <c:v>7522.1163294265043</c:v>
                </c:pt>
                <c:pt idx="136">
                  <c:v>7406.8010819700339</c:v>
                </c:pt>
                <c:pt idx="137">
                  <c:v>7262.0444173428486</c:v>
                </c:pt>
                <c:pt idx="138">
                  <c:v>7090.4842402442564</c:v>
                </c:pt>
                <c:pt idx="139">
                  <c:v>6895.1202248784894</c:v>
                </c:pt>
                <c:pt idx="140">
                  <c:v>6679.2086695341923</c:v>
                </c:pt>
                <c:pt idx="141">
                  <c:v>6446.1551237015819</c:v>
                </c:pt>
                <c:pt idx="142">
                  <c:v>6199.4104782472932</c:v>
                </c:pt>
                <c:pt idx="143">
                  <c:v>5942.375403663199</c:v>
                </c:pt>
                <c:pt idx="144">
                  <c:v>5678.3169198557653</c:v>
                </c:pt>
                <c:pt idx="145">
                  <c:v>5410.2996290965457</c:v>
                </c:pt>
                <c:pt idx="146">
                  <c:v>5141.1328822286023</c:v>
                </c:pt>
                <c:pt idx="147">
                  <c:v>4873.3339949310293</c:v>
                </c:pt>
                <c:pt idx="148">
                  <c:v>4609.1066701416448</c:v>
                </c:pt>
                <c:pt idx="149">
                  <c:v>4350.333061728782</c:v>
                </c:pt>
                <c:pt idx="150">
                  <c:v>4098.5774454802995</c:v>
                </c:pt>
                <c:pt idx="151">
                  <c:v>3855.099230621166</c:v>
                </c:pt>
                <c:pt idx="152">
                  <c:v>3620.8730132421756</c:v>
                </c:pt>
                <c:pt idx="153">
                  <c:v>3396.6134967453622</c:v>
                </c:pt>
                <c:pt idx="154">
                  <c:v>3182.8033356544702</c:v>
                </c:pt>
                <c:pt idx="155">
                  <c:v>2979.722253141917</c:v>
                </c:pt>
                <c:pt idx="156">
                  <c:v>2787.4761015715394</c:v>
                </c:pt>
                <c:pt idx="157">
                  <c:v>2606.0248500920857</c:v>
                </c:pt>
                <c:pt idx="158">
                  <c:v>2435.2087735234609</c:v>
                </c:pt>
                <c:pt idx="159">
                  <c:v>2274.7723701293612</c:v>
                </c:pt>
                <c:pt idx="160">
                  <c:v>2124.3857466083728</c:v>
                </c:pt>
                <c:pt idx="161">
                  <c:v>1983.6633759548413</c:v>
                </c:pt>
                <c:pt idx="162">
                  <c:v>1852.1802603304</c:v>
                </c:pt>
                <c:pt idx="163">
                  <c:v>1729.4856213890641</c:v>
                </c:pt>
                <c:pt idx="164">
                  <c:v>1615.1143002464989</c:v>
                </c:pt>
                <c:pt idx="165">
                  <c:v>1508.5960843271494</c:v>
                </c:pt>
                <c:pt idx="166">
                  <c:v>1409.4631942123781</c:v>
                </c:pt>
                <c:pt idx="167">
                  <c:v>1317.2561652966103</c:v>
                </c:pt>
                <c:pt idx="168">
                  <c:v>1231.5283507378954</c:v>
                </c:pt>
                <c:pt idx="169">
                  <c:v>1151.8492572869895</c:v>
                </c:pt>
                <c:pt idx="170">
                  <c:v>1077.806906779635</c:v>
                </c:pt>
                <c:pt idx="171">
                  <c:v>1009.0093954079889</c:v>
                </c:pt>
                <c:pt idx="172">
                  <c:v>945.08580181974799</c:v>
                </c:pt>
                <c:pt idx="173">
                  <c:v>885.68657464351338</c:v>
                </c:pt>
                <c:pt idx="174">
                  <c:v>830.48351086445894</c:v>
                </c:pt>
                <c:pt idx="175">
                  <c:v>779.16941896069261</c:v>
                </c:pt>
                <c:pt idx="176">
                  <c:v>731.45754504234048</c:v>
                </c:pt>
                <c:pt idx="177">
                  <c:v>687.08082645443403</c:v>
                </c:pt>
                <c:pt idx="178">
                  <c:v>645.79102535705397</c:v>
                </c:pt>
                <c:pt idx="179">
                  <c:v>607.35778456672654</c:v>
                </c:pt>
                <c:pt idx="180">
                  <c:v>571.56763928174155</c:v>
                </c:pt>
                <c:pt idx="181">
                  <c:v>538.22301105478994</c:v>
                </c:pt>
                <c:pt idx="182">
                  <c:v>507.14120434986415</c:v>
                </c:pt>
                <c:pt idx="183">
                  <c:v>478.15342106313443</c:v>
                </c:pt>
                <c:pt idx="184">
                  <c:v>451.10380434667161</c:v>
                </c:pt>
                <c:pt idx="185">
                  <c:v>425.84851981044039</c:v>
                </c:pt>
                <c:pt idx="186">
                  <c:v>402.25487956795752</c:v>
                </c:pt>
                <c:pt idx="187">
                  <c:v>380.20051252559421</c:v>
                </c:pt>
                <c:pt idx="188">
                  <c:v>359.57258270044991</c:v>
                </c:pt>
                <c:pt idx="189">
                  <c:v>340.26705610629375</c:v>
                </c:pt>
                <c:pt idx="190">
                  <c:v>322.18801580274175</c:v>
                </c:pt>
                <c:pt idx="191">
                  <c:v>305.24702400197248</c:v>
                </c:pt>
                <c:pt idx="192">
                  <c:v>289.3625296217258</c:v>
                </c:pt>
                <c:pt idx="193">
                  <c:v>274.45931932316449</c:v>
                </c:pt>
                <c:pt idx="194">
                  <c:v>260.46800984450391</c:v>
                </c:pt>
                <c:pt idx="195">
                  <c:v>247.32457930919955</c:v>
                </c:pt>
                <c:pt idx="196">
                  <c:v>234.96993512899695</c:v>
                </c:pt>
                <c:pt idx="197">
                  <c:v>223.34951611958394</c:v>
                </c:pt>
                <c:pt idx="198">
                  <c:v>212.412926485664</c:v>
                </c:pt>
                <c:pt idx="199">
                  <c:v>202.11359940164516</c:v>
                </c:pt>
                <c:pt idx="200">
                  <c:v>192.40848800478014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8B-4359-9AD5-1F1455F54BD7}"/>
            </c:ext>
          </c:extLst>
        </c:ser>
        <c:ser>
          <c:idx val="1"/>
          <c:order val="1"/>
          <c:tx>
            <c:strRef>
              <c:f>Usulutan!$J$3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Usulutan!$C$3:$C$204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Usulutan!$J$4:$J$204</c:f>
              <c:numCache>
                <c:formatCode>0</c:formatCode>
                <c:ptCount val="201"/>
                <c:pt idx="1">
                  <c:v>2.9666666666666664E-2</c:v>
                </c:pt>
                <c:pt idx="2">
                  <c:v>3.2593766401861249E-2</c:v>
                </c:pt>
                <c:pt idx="3">
                  <c:v>3.5809670584560506E-2</c:v>
                </c:pt>
                <c:pt idx="4">
                  <c:v>3.9342873985793343E-2</c:v>
                </c:pt>
                <c:pt idx="5">
                  <c:v>4.3224682732581357E-2</c:v>
                </c:pt>
                <c:pt idx="6">
                  <c:v>4.7489491668185932E-2</c:v>
                </c:pt>
                <c:pt idx="7">
                  <c:v>5.2175089072966051E-2</c:v>
                </c:pt>
                <c:pt idx="8">
                  <c:v>5.7322991444263796E-2</c:v>
                </c:pt>
                <c:pt idx="9">
                  <c:v>6.2978811299737494E-2</c:v>
                </c:pt>
                <c:pt idx="10">
                  <c:v>6.9192661260760513E-2</c:v>
                </c:pt>
                <c:pt idx="11">
                  <c:v>7.6019597993472063E-2</c:v>
                </c:pt>
                <c:pt idx="12">
                  <c:v>8.3520109937630677E-2</c:v>
                </c:pt>
                <c:pt idx="13">
                  <c:v>9.1760653140683698E-2</c:v>
                </c:pt>
                <c:pt idx="14">
                  <c:v>0.10081423993983239</c:v>
                </c:pt>
                <c:pt idx="15">
                  <c:v>0.11076108570208128</c:v>
                </c:pt>
                <c:pt idx="16">
                  <c:v>0.12168931934541026</c:v>
                </c:pt>
                <c:pt idx="17">
                  <c:v>0.13369576392780533</c:v>
                </c:pt>
                <c:pt idx="18">
                  <c:v>0.14688679420986098</c:v>
                </c:pt>
                <c:pt idx="19">
                  <c:v>0.16137927877644814</c:v>
                </c:pt>
                <c:pt idx="20">
                  <c:v>0.17730161504946315</c:v>
                </c:pt>
                <c:pt idx="21">
                  <c:v>0.19479486634345911</c:v>
                </c:pt>
                <c:pt idx="22">
                  <c:v>0.21401401101614975</c:v>
                </c:pt>
                <c:pt idx="23">
                  <c:v>0.23512931475421273</c:v>
                </c:pt>
                <c:pt idx="24">
                  <c:v>0.25832783812007887</c:v>
                </c:pt>
                <c:pt idx="25">
                  <c:v>0.28381509267689786</c:v>
                </c:pt>
                <c:pt idx="26">
                  <c:v>0.31181686031691941</c:v>
                </c:pt>
                <c:pt idx="27">
                  <c:v>0.34258119185441388</c:v>
                </c:pt>
                <c:pt idx="28">
                  <c:v>0.376380602520342</c:v>
                </c:pt>
                <c:pt idx="29">
                  <c:v>0.41351448372578631</c:v>
                </c:pt>
                <c:pt idx="30">
                  <c:v>0.45431175235949067</c:v>
                </c:pt>
                <c:pt idx="31">
                  <c:v>0.49913376096788714</c:v>
                </c:pt>
                <c:pt idx="32">
                  <c:v>0.5483774944514167</c:v>
                </c:pt>
                <c:pt idx="33">
                  <c:v>0.60247908141809448</c:v>
                </c:pt>
                <c:pt idx="34">
                  <c:v>0.66191765108521672</c:v>
                </c:pt>
                <c:pt idx="35">
                  <c:v>0.72721956963588241</c:v>
                </c:pt>
                <c:pt idx="36">
                  <c:v>0.79896309324368153</c:v>
                </c:pt>
                <c:pt idx="37">
                  <c:v>0.87778347860383321</c:v>
                </c:pt>
                <c:pt idx="38">
                  <c:v>0.96437859578196083</c:v>
                </c:pt>
                <c:pt idx="39">
                  <c:v>1.0595150925449326</c:v>
                </c:pt>
                <c:pt idx="40">
                  <c:v>1.1640351641068618</c:v>
                </c:pt>
                <c:pt idx="41">
                  <c:v>1.2788639874455539</c:v>
                </c:pt>
                <c:pt idx="42">
                  <c:v>1.405017885061639</c:v>
                </c:pt>
                <c:pt idx="43">
                  <c:v>1.5436132893089423</c:v>
                </c:pt>
                <c:pt idx="44">
                  <c:v>1.695876585268401</c:v>
                </c:pt>
                <c:pt idx="45">
                  <c:v>1.8631549176209188</c:v>
                </c:pt>
                <c:pt idx="46">
                  <c:v>2.0469280551525406</c:v>
                </c:pt>
                <c:pt idx="47">
                  <c:v>2.2488214154579462</c:v>
                </c:pt>
                <c:pt idx="48">
                  <c:v>2.4706203621591309</c:v>
                </c:pt>
                <c:pt idx="49">
                  <c:v>2.7142858975930624</c:v>
                </c:pt>
                <c:pt idx="50">
                  <c:v>2.9819718855168404</c:v>
                </c:pt>
                <c:pt idx="51">
                  <c:v>3.2760439510071544</c:v>
                </c:pt>
                <c:pt idx="52">
                  <c:v>3.5991002184718495</c:v>
                </c:pt>
                <c:pt idx="53">
                  <c:v>3.9539940636277788</c:v>
                </c:pt>
                <c:pt idx="54">
                  <c:v>4.3438590715157508</c:v>
                </c:pt>
                <c:pt idx="55">
                  <c:v>4.772136410207179</c:v>
                </c:pt>
                <c:pt idx="56">
                  <c:v>5.2426048488951142</c:v>
                </c:pt>
                <c:pt idx="57">
                  <c:v>5.7594136696411375</c:v>
                </c:pt>
                <c:pt idx="58">
                  <c:v>6.3271187442519983</c:v>
                </c:pt>
                <c:pt idx="59">
                  <c:v>6.9507220716635754</c:v>
                </c:pt>
                <c:pt idx="60">
                  <c:v>7.6357150968830583</c:v>
                </c:pt>
                <c:pt idx="61">
                  <c:v>8.3881261600382775</c:v>
                </c:pt>
                <c:pt idx="62">
                  <c:v>9.2145724534429156</c:v>
                </c:pt>
                <c:pt idx="63">
                  <c:v>10.122316895819319</c:v>
                </c:pt>
                <c:pt idx="64">
                  <c:v>11.11933036590599</c:v>
                </c:pt>
                <c:pt idx="65">
                  <c:v>12.214359772550242</c:v>
                </c:pt>
                <c:pt idx="66">
                  <c:v>13.417002474929189</c:v>
                </c:pt>
                <c:pt idx="67">
                  <c:v>14.737787604565561</c:v>
                </c:pt>
                <c:pt idx="68">
                  <c:v>16.188264880032989</c:v>
                </c:pt>
                <c:pt idx="69">
                  <c:v>17.781101545293648</c:v>
                </c:pt>
                <c:pt idx="70">
                  <c:v>19.53018810295999</c:v>
                </c:pt>
                <c:pt idx="71">
                  <c:v>21.450753553737233</c:v>
                </c:pt>
                <c:pt idx="72">
                  <c:v>23.559490891996685</c:v>
                </c:pt>
                <c:pt idx="73">
                  <c:v>25.874693643719304</c:v>
                </c:pt>
                <c:pt idx="74">
                  <c:v>28.416404265502766</c:v>
                </c:pt>
                <c:pt idx="75">
                  <c:v>31.206575250155467</c:v>
                </c:pt>
                <c:pt idx="76">
                  <c:v>34.269243803388584</c:v>
                </c:pt>
                <c:pt idx="77">
                  <c:v>37.630720964533857</c:v>
                </c:pt>
                <c:pt idx="78">
                  <c:v>41.319796038722963</c:v>
                </c:pt>
                <c:pt idx="79">
                  <c:v>45.36795718451453</c:v>
                </c:pt>
                <c:pt idx="80">
                  <c:v>49.809628954655729</c:v>
                </c:pt>
                <c:pt idx="81">
                  <c:v>54.68242751265128</c:v>
                </c:pt>
                <c:pt idx="82">
                  <c:v>60.027434137086757</c:v>
                </c:pt>
                <c:pt idx="83">
                  <c:v>65.889487470922276</c:v>
                </c:pt>
                <c:pt idx="84">
                  <c:v>72.317494764469529</c:v>
                </c:pt>
                <c:pt idx="85">
                  <c:v>79.364762087065188</c:v>
                </c:pt>
                <c:pt idx="86">
                  <c:v>87.089343130292718</c:v>
                </c:pt>
                <c:pt idx="87">
                  <c:v>95.554405779704453</c:v>
                </c:pt>
                <c:pt idx="88">
                  <c:v>104.82861507493099</c:v>
                </c:pt>
                <c:pt idx="89">
                  <c:v>114.98653049015866</c:v>
                </c:pt>
                <c:pt idx="90">
                  <c:v>126.10901462627628</c:v>
                </c:pt>
                <c:pt idx="91">
                  <c:v>138.28364938845803</c:v>
                </c:pt>
                <c:pt idx="92">
                  <c:v>151.60515450260075</c:v>
                </c:pt>
                <c:pt idx="93">
                  <c:v>166.17580177356021</c:v>
                </c:pt>
                <c:pt idx="94">
                  <c:v>182.10581677969503</c:v>
                </c:pt>
                <c:pt idx="95">
                  <c:v>199.51375770472248</c:v>
                </c:pt>
                <c:pt idx="96">
                  <c:v>218.52685870474178</c:v>
                </c:pt>
                <c:pt idx="97">
                  <c:v>239.28132257590326</c:v>
                </c:pt>
                <c:pt idx="98">
                  <c:v>261.92254451532261</c:v>
                </c:pt>
                <c:pt idx="99">
                  <c:v>286.60524545577749</c:v>
                </c:pt>
                <c:pt idx="100">
                  <c:v>313.49348982285585</c:v>
                </c:pt>
                <c:pt idx="101">
                  <c:v>342.76055865571163</c:v>
                </c:pt>
                <c:pt idx="102">
                  <c:v>374.58864492647052</c:v>
                </c:pt>
                <c:pt idx="103">
                  <c:v>409.16833370797536</c:v>
                </c:pt>
                <c:pt idx="104">
                  <c:v>446.69782574724434</c:v>
                </c:pt>
                <c:pt idx="105">
                  <c:v>487.38185923922418</c:v>
                </c:pt>
                <c:pt idx="106">
                  <c:v>531.43028147420443</c:v>
                </c:pt>
                <c:pt idx="107">
                  <c:v>579.05621995027707</c:v>
                </c:pt>
                <c:pt idx="108">
                  <c:v>630.47380198997178</c:v>
                </c:pt>
                <c:pt idx="109">
                  <c:v>685.89537346282589</c:v>
                </c:pt>
                <c:pt idx="110">
                  <c:v>745.52817156651815</c:v>
                </c:pt>
                <c:pt idx="111">
                  <c:v>809.57041450130316</c:v>
                </c:pt>
                <c:pt idx="112">
                  <c:v>878.20678306370473</c:v>
                </c:pt>
                <c:pt idx="113">
                  <c:v>951.60328644322749</c:v>
                </c:pt>
                <c:pt idx="114">
                  <c:v>1029.9015274878209</c:v>
                </c:pt>
                <c:pt idx="115">
                  <c:v>1113.2124118619074</c:v>
                </c:pt>
                <c:pt idx="116">
                  <c:v>1201.6093809698827</c:v>
                </c:pt>
                <c:pt idx="117">
                  <c:v>1295.1212898842512</c:v>
                </c:pt>
                <c:pt idx="118">
                  <c:v>1393.7250977777262</c:v>
                </c:pt>
                <c:pt idx="119">
                  <c:v>1497.338587689311</c:v>
                </c:pt>
                <c:pt idx="120">
                  <c:v>1605.8133821186711</c:v>
                </c:pt>
                <c:pt idx="121">
                  <c:v>1718.9285672486974</c:v>
                </c:pt>
                <c:pt idx="122">
                  <c:v>1836.3852769643295</c:v>
                </c:pt>
                <c:pt idx="123">
                  <c:v>1957.802613017933</c:v>
                </c:pt>
                <c:pt idx="124">
                  <c:v>2082.7152841615725</c:v>
                </c:pt>
                <c:pt idx="125">
                  <c:v>2210.5733295934479</c:v>
                </c:pt>
                <c:pt idx="126">
                  <c:v>2340.7442464423316</c:v>
                </c:pt>
                <c:pt idx="127">
                  <c:v>2472.5177648725726</c:v>
                </c:pt>
                <c:pt idx="128">
                  <c:v>2605.1134079998178</c:v>
                </c:pt>
                <c:pt idx="129">
                  <c:v>2737.6908406911243</c:v>
                </c:pt>
                <c:pt idx="130">
                  <c:v>2869.3628585699698</c:v>
                </c:pt>
                <c:pt idx="131">
                  <c:v>2999.2107066334729</c:v>
                </c:pt>
                <c:pt idx="132">
                  <c:v>3126.3012589565269</c:v>
                </c:pt>
                <c:pt idx="133">
                  <c:v>3249.7054515355062</c:v>
                </c:pt>
                <c:pt idx="134">
                  <c:v>3368.5172536315267</c:v>
                </c:pt>
                <c:pt idx="135">
                  <c:v>3481.8724010251558</c:v>
                </c:pt>
                <c:pt idx="136">
                  <c:v>3588.9661054306366</c:v>
                </c:pt>
                <c:pt idx="137">
                  <c:v>3689.0690006813934</c:v>
                </c:pt>
                <c:pt idx="138">
                  <c:v>3781.5406850398504</c:v>
                </c:pt>
                <c:pt idx="139">
                  <c:v>3865.8403613324349</c:v>
                </c:pt>
                <c:pt idx="140">
                  <c:v>3941.5342492927493</c:v>
                </c:pt>
                <c:pt idx="141">
                  <c:v>4008.2996315125056</c:v>
                </c:pt>
                <c:pt idx="142">
                  <c:v>4065.9255791319029</c:v>
                </c:pt>
                <c:pt idx="143">
                  <c:v>4114.3105706821761</c:v>
                </c:pt>
                <c:pt idx="144">
                  <c:v>4153.4573553014461</c:v>
                </c:pt>
                <c:pt idx="145">
                  <c:v>4183.4655120804518</c:v>
                </c:pt>
                <c:pt idx="146">
                  <c:v>4204.5222173409684</c:v>
                </c:pt>
                <c:pt idx="147">
                  <c:v>4216.8917522690517</c:v>
                </c:pt>
                <c:pt idx="148">
                  <c:v>4220.9042690430369</c:v>
                </c:pt>
                <c:pt idx="149">
                  <c:v>4216.9442912891373</c:v>
                </c:pt>
                <c:pt idx="150">
                  <c:v>4205.4393624107861</c:v>
                </c:pt>
                <c:pt idx="151">
                  <c:v>4186.8491812130096</c:v>
                </c:pt>
                <c:pt idx="152">
                  <c:v>4161.6554856810035</c:v>
                </c:pt>
                <c:pt idx="153">
                  <c:v>4130.3528688844881</c:v>
                </c:pt>
                <c:pt idx="154">
                  <c:v>4093.4406403251178</c:v>
                </c:pt>
                <c:pt idx="155">
                  <c:v>4051.4157846053631</c:v>
                </c:pt>
                <c:pt idx="156">
                  <c:v>4004.7670186283945</c:v>
                </c:pt>
                <c:pt idx="157">
                  <c:v>3953.9699090207373</c:v>
                </c:pt>
                <c:pt idx="158">
                  <c:v>3899.4829826061114</c:v>
                </c:pt>
                <c:pt idx="159">
                  <c:v>3841.7447434671035</c:v>
                </c:pt>
                <c:pt idx="160">
                  <c:v>3781.1714989987045</c:v>
                </c:pt>
                <c:pt idx="161">
                  <c:v>3718.1558928481295</c:v>
                </c:pt>
                <c:pt idx="162">
                  <c:v>3653.0660432398522</c:v>
                </c:pt>
                <c:pt idx="163">
                  <c:v>3586.2451895216591</c:v>
                </c:pt>
                <c:pt idx="164">
                  <c:v>3518.0117566388126</c:v>
                </c:pt>
                <c:pt idx="165">
                  <c:v>3448.6597556581646</c:v>
                </c:pt>
                <c:pt idx="166">
                  <c:v>3378.4594476379311</c:v>
                </c:pt>
                <c:pt idx="167">
                  <c:v>3307.6582074783009</c:v>
                </c:pt>
                <c:pt idx="168">
                  <c:v>3236.4815334661566</c:v>
                </c:pt>
                <c:pt idx="169">
                  <c:v>3165.1341567558429</c:v>
                </c:pt>
                <c:pt idx="170">
                  <c:v>3093.8012128301621</c:v>
                </c:pt>
                <c:pt idx="171">
                  <c:v>3022.6494439702856</c:v>
                </c:pt>
                <c:pt idx="172">
                  <c:v>2951.828407901713</c:v>
                </c:pt>
                <c:pt idx="173">
                  <c:v>2881.4716730923092</c:v>
                </c:pt>
                <c:pt idx="174">
                  <c:v>2811.6979857036558</c:v>
                </c:pt>
                <c:pt idx="175">
                  <c:v>2742.6123970025133</c:v>
                </c:pt>
                <c:pt idx="176">
                  <c:v>2674.3073431982634</c:v>
                </c:pt>
                <c:pt idx="177">
                  <c:v>2606.8636722612441</c:v>
                </c:pt>
                <c:pt idx="178">
                  <c:v>2540.3516143706843</c:v>
                </c:pt>
                <c:pt idx="179">
                  <c:v>2474.8316943105879</c:v>
                </c:pt>
                <c:pt idx="180">
                  <c:v>2410.3555854423807</c:v>
                </c:pt>
                <c:pt idx="181">
                  <c:v>2346.9669058929931</c:v>
                </c:pt>
                <c:pt idx="182">
                  <c:v>2284.7019583578526</c:v>
                </c:pt>
                <c:pt idx="183">
                  <c:v>2223.5904154749705</c:v>
                </c:pt>
                <c:pt idx="184">
                  <c:v>2163.6559531173443</c:v>
                </c:pt>
                <c:pt idx="185">
                  <c:v>2104.9168342090506</c:v>
                </c:pt>
                <c:pt idx="186">
                  <c:v>2047.3864458231255</c:v>
                </c:pt>
                <c:pt idx="187">
                  <c:v>1991.0737923895374</c:v>
                </c:pt>
                <c:pt idx="188">
                  <c:v>1935.9839478481458</c:v>
                </c:pt>
                <c:pt idx="189">
                  <c:v>1882.1184695399877</c:v>
                </c:pt>
                <c:pt idx="190">
                  <c:v>1829.4757765531415</c:v>
                </c:pt>
                <c:pt idx="191">
                  <c:v>1778.0514951368516</c:v>
                </c:pt>
                <c:pt idx="192">
                  <c:v>1727.8387736776817</c:v>
                </c:pt>
                <c:pt idx="193">
                  <c:v>1678.8285696005369</c:v>
                </c:pt>
                <c:pt idx="194">
                  <c:v>1631.0099104204394</c:v>
                </c:pt>
                <c:pt idx="195">
                  <c:v>1584.3701310318115</c:v>
                </c:pt>
                <c:pt idx="196">
                  <c:v>1538.8950891835909</c:v>
                </c:pt>
                <c:pt idx="197">
                  <c:v>1494.5693609529649</c:v>
                </c:pt>
                <c:pt idx="198">
                  <c:v>1451.3764178994136</c:v>
                </c:pt>
                <c:pt idx="199">
                  <c:v>1409.2987874551748</c:v>
                </c:pt>
                <c:pt idx="200">
                  <c:v>1368.3181979889173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8B-4359-9AD5-1F1455F54BD7}"/>
            </c:ext>
          </c:extLst>
        </c:ser>
        <c:ser>
          <c:idx val="2"/>
          <c:order val="2"/>
          <c:tx>
            <c:strRef>
              <c:f>Usulutan!$K$3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Usulutan!$C$3:$C$204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Usulutan!$K$4:$K$204</c:f>
              <c:numCache>
                <c:formatCode>0</c:formatCode>
                <c:ptCount val="201"/>
                <c:pt idx="1">
                  <c:v>3.6666666666666701E-3</c:v>
                </c:pt>
                <c:pt idx="2">
                  <c:v>4.0284430384322934E-3</c:v>
                </c:pt>
                <c:pt idx="3">
                  <c:v>4.4259143419119766E-3</c:v>
                </c:pt>
                <c:pt idx="4">
                  <c:v>4.8626024027385072E-3</c:v>
                </c:pt>
                <c:pt idx="5">
                  <c:v>5.3423765175100602E-3</c:v>
                </c:pt>
                <c:pt idx="6">
                  <c:v>5.8694877342701773E-3</c:v>
                </c:pt>
                <c:pt idx="7">
                  <c:v>6.4486065146362598E-3</c:v>
                </c:pt>
                <c:pt idx="8">
                  <c:v>7.0848641110887907E-3</c:v>
                </c:pt>
                <c:pt idx="9">
                  <c:v>7.7838980258102602E-3</c:v>
                </c:pt>
                <c:pt idx="10">
                  <c:v>8.5519019535771519E-3</c:v>
                </c:pt>
                <c:pt idx="11">
                  <c:v>9.3956806508785785E-3</c:v>
                </c:pt>
                <c:pt idx="12">
                  <c:v>1.0322710217010544E-2</c:v>
                </c:pt>
                <c:pt idx="13">
                  <c:v>1.134120432075867E-2</c:v>
                </c:pt>
                <c:pt idx="14">
                  <c:v>1.2460186958855701E-2</c:v>
                </c:pt>
                <c:pt idx="15">
                  <c:v>1.3689572390144891E-2</c:v>
                </c:pt>
                <c:pt idx="16">
                  <c:v>1.5040252952803531E-2</c:v>
                </c:pt>
                <c:pt idx="17">
                  <c:v>1.6524195541638875E-2</c:v>
                </c:pt>
                <c:pt idx="18">
                  <c:v>1.8154547598971602E-2</c:v>
                </c:pt>
                <c:pt idx="19">
                  <c:v>1.9945753556639675E-2</c:v>
                </c:pt>
                <c:pt idx="20">
                  <c:v>2.1913682758922432E-2</c:v>
                </c:pt>
                <c:pt idx="21">
                  <c:v>2.4075769997506206E-2</c:v>
                </c:pt>
                <c:pt idx="22">
                  <c:v>2.6451169900872467E-2</c:v>
                </c:pt>
                <c:pt idx="23">
                  <c:v>2.9060926542655532E-2</c:v>
                </c:pt>
                <c:pt idx="24">
                  <c:v>3.1928159767650226E-2</c:v>
                </c:pt>
                <c:pt idx="25">
                  <c:v>3.5078269881414374E-2</c:v>
                </c:pt>
                <c:pt idx="26">
                  <c:v>3.8539162511079965E-2</c:v>
                </c:pt>
                <c:pt idx="27">
                  <c:v>4.2341495622455691E-2</c:v>
                </c:pt>
                <c:pt idx="28">
                  <c:v>4.6518950873300741E-2</c:v>
                </c:pt>
                <c:pt idx="29">
                  <c:v>5.1108531696445546E-2</c:v>
                </c:pt>
                <c:pt idx="30">
                  <c:v>5.6150890741060701E-2</c:v>
                </c:pt>
                <c:pt idx="31">
                  <c:v>6.1690689557828811E-2</c:v>
                </c:pt>
                <c:pt idx="32">
                  <c:v>6.7776993696242585E-2</c:v>
                </c:pt>
                <c:pt idx="33">
                  <c:v>7.4463706692124113E-2</c:v>
                </c:pt>
                <c:pt idx="34">
                  <c:v>8.1810046763341485E-2</c:v>
                </c:pt>
                <c:pt idx="35">
                  <c:v>8.9881070404434993E-2</c:v>
                </c:pt>
                <c:pt idx="36">
                  <c:v>9.8748247479556239E-2</c:v>
                </c:pt>
                <c:pt idx="37">
                  <c:v>0.10849009286114804</c:v>
                </c:pt>
                <c:pt idx="38">
                  <c:v>0.11919286015282674</c:v>
                </c:pt>
                <c:pt idx="39">
                  <c:v>0.13095130357296933</c:v>
                </c:pt>
                <c:pt idx="40">
                  <c:v>0.14386951466489314</c:v>
                </c:pt>
                <c:pt idx="41">
                  <c:v>0.15806184114495625</c:v>
                </c:pt>
                <c:pt idx="42">
                  <c:v>0.17365389590649491</c:v>
                </c:pt>
                <c:pt idx="43">
                  <c:v>0.19078366497076832</c:v>
                </c:pt>
                <c:pt idx="44">
                  <c:v>0.20960272402193741</c:v>
                </c:pt>
                <c:pt idx="45">
                  <c:v>0.23027757408797897</c:v>
                </c:pt>
                <c:pt idx="46">
                  <c:v>0.25299110794020191</c:v>
                </c:pt>
                <c:pt idx="47">
                  <c:v>0.27794421988806106</c:v>
                </c:pt>
                <c:pt idx="48">
                  <c:v>0.30535757285112891</c:v>
                </c:pt>
                <c:pt idx="49">
                  <c:v>0.33547353790476081</c:v>
                </c:pt>
                <c:pt idx="50">
                  <c:v>0.36855832292904805</c:v>
                </c:pt>
                <c:pt idx="51">
                  <c:v>0.40490430855144649</c:v>
                </c:pt>
                <c:pt idx="52">
                  <c:v>0.44483261127180207</c:v>
                </c:pt>
                <c:pt idx="53">
                  <c:v>0.48869589550455739</c:v>
                </c:pt>
                <c:pt idx="54">
                  <c:v>0.53688145827722822</c:v>
                </c:pt>
                <c:pt idx="55">
                  <c:v>0.58981461249751699</c:v>
                </c:pt>
                <c:pt idx="56">
                  <c:v>0.64796239705445291</c:v>
                </c:pt>
                <c:pt idx="57">
                  <c:v>0.71183764456238852</c:v>
                </c:pt>
                <c:pt idx="58">
                  <c:v>0.78200344030080948</c:v>
                </c:pt>
                <c:pt idx="59">
                  <c:v>0.85907800885729668</c:v>
                </c:pt>
                <c:pt idx="60">
                  <c:v>0.94374006815408684</c:v>
                </c:pt>
                <c:pt idx="61">
                  <c:v>1.0367346939373163</c:v>
                </c:pt>
                <c:pt idx="62">
                  <c:v>1.138879741436766</c:v>
                </c:pt>
                <c:pt idx="63">
                  <c:v>1.2510728747641866</c:v>
                </c:pt>
                <c:pt idx="64">
                  <c:v>1.3742992587074832</c:v>
                </c:pt>
                <c:pt idx="65">
                  <c:v>1.5096399718882336</c:v>
                </c:pt>
                <c:pt idx="66">
                  <c:v>1.6582812047665307</c:v>
                </c:pt>
                <c:pt idx="67">
                  <c:v>1.8215243106766441</c:v>
                </c:pt>
                <c:pt idx="68">
                  <c:v>2.0007967829254278</c:v>
                </c:pt>
                <c:pt idx="69">
                  <c:v>2.1976642359351719</c:v>
                </c:pt>
                <c:pt idx="70">
                  <c:v>2.413843473399552</c:v>
                </c:pt>
                <c:pt idx="71">
                  <c:v>2.6512167313607842</c:v>
                </c:pt>
                <c:pt idx="72">
                  <c:v>2.9118471888984696</c:v>
                </c:pt>
                <c:pt idx="73">
                  <c:v>3.1979958436057596</c:v>
                </c:pt>
                <c:pt idx="74">
                  <c:v>3.5121398530396712</c:v>
                </c:pt>
                <c:pt idx="75">
                  <c:v>3.8569924466484324</c:v>
                </c:pt>
                <c:pt idx="76">
                  <c:v>4.2355245150255598</c:v>
                </c:pt>
                <c:pt idx="77">
                  <c:v>4.6509879843805937</c:v>
                </c:pt>
                <c:pt idx="78">
                  <c:v>5.1069410834376745</c:v>
                </c:pt>
                <c:pt idx="79">
                  <c:v>5.6072756070748353</c:v>
                </c:pt>
                <c:pt idx="80">
                  <c:v>6.1562462752945342</c:v>
                </c:pt>
                <c:pt idx="81">
                  <c:v>6.7585022768445473</c:v>
                </c:pt>
                <c:pt idx="82">
                  <c:v>7.4191210731230903</c:v>
                </c:pt>
                <c:pt idx="83">
                  <c:v>8.1436445188780429</c:v>
                </c:pt>
                <c:pt idx="84">
                  <c:v>8.938117330440063</c:v>
                </c:pt>
                <c:pt idx="85">
                  <c:v>9.809127898401325</c:v>
                </c:pt>
                <c:pt idx="86">
                  <c:v>10.763851398126077</c:v>
                </c:pt>
                <c:pt idx="87">
                  <c:v>11.810095096367979</c:v>
                </c:pt>
                <c:pt idx="88">
                  <c:v>12.95634568341845</c:v>
                </c:pt>
                <c:pt idx="89">
                  <c:v>14.211818375188162</c:v>
                </c:pt>
                <c:pt idx="90">
                  <c:v>15.586507425719555</c:v>
                </c:pt>
                <c:pt idx="91">
                  <c:v>17.091237564865615</c:v>
                </c:pt>
                <c:pt idx="92">
                  <c:v>18.737715725040562</c:v>
                </c:pt>
                <c:pt idx="93">
                  <c:v>20.538582241676004</c:v>
                </c:pt>
                <c:pt idx="94">
                  <c:v>22.507460500861207</c:v>
                </c:pt>
                <c:pt idx="95">
                  <c:v>24.659003761257857</c:v>
                </c:pt>
                <c:pt idx="96">
                  <c:v>27.008937592720923</c:v>
                </c:pt>
                <c:pt idx="97">
                  <c:v>29.574096048707176</c:v>
                </c:pt>
                <c:pt idx="98">
                  <c:v>32.372449322118555</c:v>
                </c:pt>
                <c:pt idx="99">
                  <c:v>35.423120224871418</c:v>
                </c:pt>
                <c:pt idx="100">
                  <c:v>38.746386382600207</c:v>
                </c:pt>
                <c:pt idx="101">
                  <c:v>42.363664552953168</c:v>
                </c:pt>
                <c:pt idx="102">
                  <c:v>46.297472968440225</c:v>
                </c:pt>
                <c:pt idx="103">
                  <c:v>50.571367087502622</c:v>
                </c:pt>
                <c:pt idx="104">
                  <c:v>55.209843631681935</c:v>
                </c:pt>
                <c:pt idx="105">
                  <c:v>60.238207321701921</c:v>
                </c:pt>
                <c:pt idx="106">
                  <c:v>65.682394339508477</c:v>
                </c:pt>
                <c:pt idx="107">
                  <c:v>71.568746285989377</c:v>
                </c:pt>
                <c:pt idx="108">
                  <c:v>77.923728335839286</c:v>
                </c:pt>
                <c:pt idx="109">
                  <c:v>84.773585484169573</c:v>
                </c:pt>
                <c:pt idx="110">
                  <c:v>92.143931317210203</c:v>
                </c:pt>
                <c:pt idx="111">
                  <c:v>100.05926471364432</c:v>
                </c:pt>
                <c:pt idx="112">
                  <c:v>108.5424113898962</c:v>
                </c:pt>
                <c:pt idx="113">
                  <c:v>117.61388933567991</c:v>
                </c:pt>
                <c:pt idx="114">
                  <c:v>127.29120002658472</c:v>
                </c:pt>
                <c:pt idx="115">
                  <c:v>137.58805090428083</c:v>
                </c:pt>
                <c:pt idx="116">
                  <c:v>148.51351899627778</c:v>
                </c:pt>
                <c:pt idx="117">
                  <c:v>160.07117065985145</c:v>
                </c:pt>
                <c:pt idx="118">
                  <c:v>172.25815815230342</c:v>
                </c:pt>
                <c:pt idx="119">
                  <c:v>185.06431982676895</c:v>
                </c:pt>
                <c:pt idx="120">
                  <c:v>198.47131689107192</c:v>
                </c:pt>
                <c:pt idx="121">
                  <c:v>212.45184539028867</c:v>
                </c:pt>
                <c:pt idx="122">
                  <c:v>226.9689668158162</c:v>
                </c:pt>
                <c:pt idx="123">
                  <c:v>241.97560385614926</c:v>
                </c:pt>
                <c:pt idx="124">
                  <c:v>257.41424860423956</c:v>
                </c:pt>
                <c:pt idx="125">
                  <c:v>273.21692837671861</c:v>
                </c:pt>
                <c:pt idx="126">
                  <c:v>289.30546866141208</c:v>
                </c:pt>
                <c:pt idx="127">
                  <c:v>305.59208329885763</c:v>
                </c:pt>
                <c:pt idx="128">
                  <c:v>321.9803088539104</c:v>
                </c:pt>
                <c:pt idx="129">
                  <c:v>338.36628368092585</c:v>
                </c:pt>
                <c:pt idx="130">
                  <c:v>354.64035330640115</c:v>
                </c:pt>
                <c:pt idx="131">
                  <c:v>370.68896374121613</c:v>
                </c:pt>
                <c:pt idx="132">
                  <c:v>386.39678481485208</c:v>
                </c:pt>
                <c:pt idx="133">
                  <c:v>401.64898839202931</c:v>
                </c:pt>
                <c:pt idx="134">
                  <c:v>416.33359314546999</c:v>
                </c:pt>
                <c:pt idx="135">
                  <c:v>430.34377990198601</c:v>
                </c:pt>
                <c:pt idx="136">
                  <c:v>443.58008044648363</c:v>
                </c:pt>
                <c:pt idx="137">
                  <c:v>455.95234839882431</c:v>
                </c:pt>
                <c:pt idx="138">
                  <c:v>467.38143298245387</c:v>
                </c:pt>
                <c:pt idx="139">
                  <c:v>477.80049409726774</c:v>
                </c:pt>
                <c:pt idx="140">
                  <c:v>487.15591845191335</c:v>
                </c:pt>
                <c:pt idx="141">
                  <c:v>495.4078196251416</c:v>
                </c:pt>
                <c:pt idx="142">
                  <c:v>502.53012775787613</c:v>
                </c:pt>
                <c:pt idx="143">
                  <c:v>508.51029525285378</c:v>
                </c:pt>
                <c:pt idx="144">
                  <c:v>513.34866189119043</c:v>
                </c:pt>
                <c:pt idx="145">
                  <c:v>517.05753520095527</c:v>
                </c:pt>
                <c:pt idx="146">
                  <c:v>519.66004933427757</c:v>
                </c:pt>
                <c:pt idx="147">
                  <c:v>521.18886825797324</c:v>
                </c:pt>
                <c:pt idx="148">
                  <c:v>521.68479729745445</c:v>
                </c:pt>
                <c:pt idx="149">
                  <c:v>521.19536184472543</c:v>
                </c:pt>
                <c:pt idx="150">
                  <c:v>519.7734043429067</c:v>
                </c:pt>
                <c:pt idx="151">
                  <c:v>517.47574149823765</c:v>
                </c:pt>
                <c:pt idx="152">
                  <c:v>514.36191396057393</c:v>
                </c:pt>
                <c:pt idx="153">
                  <c:v>510.4930512104429</c:v>
                </c:pt>
                <c:pt idx="154">
                  <c:v>505.93086565816105</c:v>
                </c:pt>
                <c:pt idx="155">
                  <c:v>500.73678236695548</c:v>
                </c:pt>
                <c:pt idx="156">
                  <c:v>494.97120454957729</c:v>
                </c:pt>
                <c:pt idx="157">
                  <c:v>488.6929101036871</c:v>
                </c:pt>
                <c:pt idx="158">
                  <c:v>481.95857088390193</c:v>
                </c:pt>
                <c:pt idx="159">
                  <c:v>474.82238402402447</c:v>
                </c:pt>
                <c:pt idx="160">
                  <c:v>467.33580324703138</c:v>
                </c:pt>
                <c:pt idx="161">
                  <c:v>459.54735754302772</c:v>
                </c:pt>
                <c:pt idx="162">
                  <c:v>451.50254467009455</c:v>
                </c:pt>
                <c:pt idx="163">
                  <c:v>443.24378746896951</c:v>
                </c:pt>
                <c:pt idx="164">
                  <c:v>434.81044183176374</c:v>
                </c:pt>
                <c:pt idx="165">
                  <c:v>426.23884620494215</c:v>
                </c:pt>
                <c:pt idx="166">
                  <c:v>417.56240364064359</c:v>
                </c:pt>
                <c:pt idx="167">
                  <c:v>408.81168856473425</c:v>
                </c:pt>
                <c:pt idx="168">
                  <c:v>400.01457155199734</c:v>
                </c:pt>
                <c:pt idx="169">
                  <c:v>391.19635645296972</c:v>
                </c:pt>
                <c:pt idx="170">
                  <c:v>382.37992518125634</c:v>
                </c:pt>
                <c:pt idx="171">
                  <c:v>373.58588633340639</c:v>
                </c:pt>
                <c:pt idx="172">
                  <c:v>364.83272457212223</c:v>
                </c:pt>
                <c:pt idx="173">
                  <c:v>356.13694835972393</c:v>
                </c:pt>
                <c:pt idx="174">
                  <c:v>347.51323418809267</c:v>
                </c:pt>
                <c:pt idx="175">
                  <c:v>338.97456592165929</c:v>
                </c:pt>
                <c:pt idx="176">
                  <c:v>330.53236826045992</c:v>
                </c:pt>
                <c:pt idx="177">
                  <c:v>322.19663365026645</c:v>
                </c:pt>
                <c:pt idx="178">
                  <c:v>313.9760422255905</c:v>
                </c:pt>
                <c:pt idx="179">
                  <c:v>305.87807457771333</c:v>
                </c:pt>
                <c:pt idx="180">
                  <c:v>297.90911730186758</c:v>
                </c:pt>
                <c:pt idx="181">
                  <c:v>290.07456140250508</c:v>
                </c:pt>
                <c:pt idx="182">
                  <c:v>282.37889372962246</c:v>
                </c:pt>
                <c:pt idx="183">
                  <c:v>274.82578168791798</c:v>
                </c:pt>
                <c:pt idx="184">
                  <c:v>267.4181515088855</c:v>
                </c:pt>
                <c:pt idx="185">
                  <c:v>260.1582604078605</c:v>
                </c:pt>
                <c:pt idx="186">
                  <c:v>253.04776296690343</c:v>
                </c:pt>
                <c:pt idx="187">
                  <c:v>246.08777209308917</c:v>
                </c:pt>
                <c:pt idx="188">
                  <c:v>239.27891490258006</c:v>
                </c:pt>
                <c:pt idx="189">
                  <c:v>232.62138387572904</c:v>
                </c:pt>
                <c:pt idx="190">
                  <c:v>226.11498361892782</c:v>
                </c:pt>
                <c:pt idx="191">
                  <c:v>219.75917355624026</c:v>
                </c:pt>
                <c:pt idx="192">
                  <c:v>213.5531068590395</c:v>
                </c:pt>
                <c:pt idx="193">
                  <c:v>207.49566590568455</c:v>
                </c:pt>
                <c:pt idx="194">
                  <c:v>201.58549454634664</c:v>
                </c:pt>
                <c:pt idx="195">
                  <c:v>195.82102743089825</c:v>
                </c:pt>
                <c:pt idx="196">
                  <c:v>190.20051664066872</c:v>
                </c:pt>
                <c:pt idx="197">
                  <c:v>184.72205584811942</c:v>
                </c:pt>
                <c:pt idx="198">
                  <c:v>179.38360221228726</c:v>
                </c:pt>
                <c:pt idx="199">
                  <c:v>174.18299620232514</c:v>
                </c:pt>
                <c:pt idx="200">
                  <c:v>169.11797952672029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8B-4359-9AD5-1F1455F54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San</a:t>
            </a:r>
            <a:r>
              <a:rPr lang="es-ES" baseline="0"/>
              <a:t> Miguel</a:t>
            </a:r>
            <a:endParaRPr lang="es-E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'San Miguel'!$I$3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Miguel'!$C$3:$C$204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Miguel'!$I$4:$I$204</c:f>
              <c:numCache>
                <c:formatCode>0</c:formatCode>
                <c:ptCount val="201"/>
                <c:pt idx="1">
                  <c:v>0.13199969585533775</c:v>
                </c:pt>
                <c:pt idx="2">
                  <c:v>0.1450235828164595</c:v>
                </c:pt>
                <c:pt idx="3">
                  <c:v>0.15933247478974277</c:v>
                </c:pt>
                <c:pt idx="4">
                  <c:v>0.17505315497626764</c:v>
                </c:pt>
                <c:pt idx="5">
                  <c:v>0.1923249150202106</c:v>
                </c:pt>
                <c:pt idx="6">
                  <c:v>0.21130078900154231</c:v>
                </c:pt>
                <c:pt idx="7">
                  <c:v>0.23214890914658295</c:v>
                </c:pt>
                <c:pt idx="8">
                  <c:v>0.25505399525842704</c:v>
                </c:pt>
                <c:pt idx="9">
                  <c:v>0.28021899105189535</c:v>
                </c:pt>
                <c:pt idx="10">
                  <c:v>0.30786686187668616</c:v>
                </c:pt>
                <c:pt idx="11">
                  <c:v>0.33824256973919542</c:v>
                </c:pt>
                <c:pt idx="12">
                  <c:v>0.37161524310057825</c:v>
                </c:pt>
                <c:pt idx="13">
                  <c:v>0.40828056064978679</c:v>
                </c:pt>
                <c:pt idx="14">
                  <c:v>0.4485633701406197</c:v>
                </c:pt>
                <c:pt idx="15">
                  <c:v>0.49282056545780645</c:v>
                </c:pt>
                <c:pt idx="16">
                  <c:v>0.54144424735697216</c:v>
                </c:pt>
                <c:pt idx="17">
                  <c:v>0.59486519582689901</c:v>
                </c:pt>
                <c:pt idx="18">
                  <c:v>0.65355668477164075</c:v>
                </c:pt>
                <c:pt idx="19">
                  <c:v>0.71803867272868394</c:v>
                </c:pt>
                <c:pt idx="20">
                  <c:v>0.788882406653727</c:v>
                </c:pt>
                <c:pt idx="21">
                  <c:v>0.86671547944149196</c:v>
                </c:pt>
                <c:pt idx="22">
                  <c:v>0.95222738584678734</c:v>
                </c:pt>
                <c:pt idx="23">
                  <c:v>1.0461756258553045</c:v>
                </c:pt>
                <c:pt idx="24">
                  <c:v>1.149392409367076</c:v>
                </c:pt>
                <c:pt idx="25">
                  <c:v>1.262792021338524</c:v>
                </c:pt>
                <c:pt idx="26">
                  <c:v>1.3873789123267461</c:v>
                </c:pt>
                <c:pt idx="27">
                  <c:v>1.5242565857415886</c:v>
                </c:pt>
                <c:pt idx="28">
                  <c:v>1.674637360091173</c:v>
                </c:pt>
                <c:pt idx="29">
                  <c:v>1.8398530921639267</c:v>
                </c:pt>
                <c:pt idx="30">
                  <c:v>2.0213669554892104</c:v>
                </c:pt>
                <c:pt idx="31">
                  <c:v>2.2207863776297705</c:v>
                </c:pt>
                <c:pt idx="32">
                  <c:v>2.4398772499590038</c:v>
                </c:pt>
                <c:pt idx="33">
                  <c:v>2.6805795346480701</c:v>
                </c:pt>
                <c:pt idx="34">
                  <c:v>2.9450244057230006</c:v>
                </c:pt>
                <c:pt idx="35">
                  <c:v>3.2355530743490872</c:v>
                </c:pt>
                <c:pt idx="36">
                  <c:v>3.5547374630662194</c:v>
                </c:pt>
                <c:pt idx="37">
                  <c:v>3.9054029096509879</c:v>
                </c:pt>
                <c:pt idx="38">
                  <c:v>4.2906530987453291</c:v>
                </c:pt>
                <c:pt idx="39">
                  <c:v>4.7138974385035981</c:v>
                </c:pt>
                <c:pt idx="40">
                  <c:v>5.1788811204173948</c:v>
                </c:pt>
                <c:pt idx="41">
                  <c:v>5.6897181233386798</c:v>
                </c:pt>
                <c:pt idx="42">
                  <c:v>6.2509274477070438</c:v>
                </c:pt>
                <c:pt idx="43">
                  <c:v>6.8674728932788218</c:v>
                </c:pt>
                <c:pt idx="44">
                  <c:v>7.5448067234490201</c:v>
                </c:pt>
                <c:pt idx="45">
                  <c:v>8.288917591759045</c:v>
                </c:pt>
                <c:pt idx="46">
                  <c:v>9.10638314161395</c:v>
                </c:pt>
                <c:pt idx="47">
                  <c:v>10.004427728823778</c:v>
                </c:pt>
                <c:pt idx="48">
                  <c:v>10.990985758577615</c:v>
                </c:pt>
                <c:pt idx="49">
                  <c:v>12.074771174108863</c:v>
                </c:pt>
                <c:pt idx="50">
                  <c:v>13.265353683876404</c:v>
                </c:pt>
                <c:pt idx="51">
                  <c:v>14.573242367834908</c:v>
                </c:pt>
                <c:pt idx="52">
                  <c:v>16.009977361565838</c:v>
                </c:pt>
                <c:pt idx="53">
                  <c:v>17.588230379953373</c:v>
                </c:pt>
                <c:pt idx="54">
                  <c:v>19.321914909971159</c:v>
                </c:pt>
                <c:pt idx="55">
                  <c:v>21.226306975234483</c:v>
                </c:pt>
                <c:pt idx="56">
                  <c:v>23.31817745347729</c:v>
                </c:pt>
                <c:pt idx="57">
                  <c:v>25.615937012204146</c:v>
                </c:pt>
                <c:pt idx="58">
                  <c:v>28.139794817555352</c:v>
                </c:pt>
                <c:pt idx="59">
                  <c:v>30.91193226694444</c:v>
                </c:pt>
                <c:pt idx="60">
                  <c:v>33.956693097213495</c:v>
                </c:pt>
                <c:pt idx="61">
                  <c:v>37.300791326703887</c:v>
                </c:pt>
                <c:pt idx="62">
                  <c:v>40.973538601386466</c:v>
                </c:pt>
                <c:pt idx="63">
                  <c:v>45.007092631449645</c:v>
                </c:pt>
                <c:pt idx="64">
                  <c:v>49.436728524644757</c:v>
                </c:pt>
                <c:pt idx="65">
                  <c:v>54.301134945035976</c:v>
                </c:pt>
                <c:pt idx="66">
                  <c:v>59.642737148972742</c:v>
                </c:pt>
                <c:pt idx="67">
                  <c:v>65.508049071952144</c:v>
                </c:pt>
                <c:pt idx="68">
                  <c:v>71.948056757782169</c:v>
                </c:pt>
                <c:pt idx="69">
                  <c:v>79.018635531532908</c:v>
                </c:pt>
                <c:pt idx="70">
                  <c:v>86.781003415655547</c:v>
                </c:pt>
                <c:pt idx="71">
                  <c:v>95.302213368703988</c:v>
                </c:pt>
                <c:pt idx="72">
                  <c:v>104.65568698126852</c:v>
                </c:pt>
                <c:pt idx="73">
                  <c:v>114.9217922853299</c:v>
                </c:pt>
                <c:pt idx="74">
                  <c:v>126.18846831059388</c:v>
                </c:pt>
                <c:pt idx="75">
                  <c:v>138.55189894144564</c:v>
                </c:pt>
                <c:pt idx="76">
                  <c:v>152.1172384751691</c:v>
                </c:pt>
                <c:pt idx="77">
                  <c:v>166.99939103693617</c:v>
                </c:pt>
                <c:pt idx="78">
                  <c:v>183.32384564688107</c:v>
                </c:pt>
                <c:pt idx="79">
                  <c:v>201.2275682319881</c:v>
                </c:pt>
                <c:pt idx="80">
                  <c:v>220.85995119804053</c:v>
                </c:pt>
                <c:pt idx="81">
                  <c:v>242.38382028612415</c:v>
                </c:pt>
                <c:pt idx="82">
                  <c:v>265.9764972890784</c:v>
                </c:pt>
                <c:pt idx="83">
                  <c:v>291.83091574326522</c:v>
                </c:pt>
                <c:pt idx="84">
                  <c:v>320.15678487917523</c:v>
                </c:pt>
                <c:pt idx="85">
                  <c:v>351.18179484074335</c:v>
                </c:pt>
                <c:pt idx="86">
                  <c:v>385.15285338814471</c:v>
                </c:pt>
                <c:pt idx="87">
                  <c:v>422.33734089256006</c:v>
                </c:pt>
                <c:pt idx="88">
                  <c:v>463.02436631420477</c:v>
                </c:pt>
                <c:pt idx="89">
                  <c:v>507.52600191759444</c:v>
                </c:pt>
                <c:pt idx="90">
                  <c:v>556.1784686033717</c:v>
                </c:pt>
                <c:pt idx="91">
                  <c:v>609.34323680143314</c:v>
                </c:pt>
                <c:pt idx="92">
                  <c:v>667.40799975167215</c:v>
                </c:pt>
                <c:pt idx="93">
                  <c:v>730.78746657756039</c:v>
                </c:pt>
                <c:pt idx="94">
                  <c:v>799.9239117290964</c:v>
                </c:pt>
                <c:pt idx="95">
                  <c:v>875.28740505691019</c:v>
                </c:pt>
                <c:pt idx="96">
                  <c:v>957.37563294312304</c:v>
                </c:pt>
                <c:pt idx="97">
                  <c:v>1046.713205586673</c:v>
                </c:pt>
                <c:pt idx="98">
                  <c:v>1143.850328844195</c:v>
                </c:pt>
                <c:pt idx="99">
                  <c:v>1249.3607012137045</c:v>
                </c:pt>
                <c:pt idx="100">
                  <c:v>1363.8384780405256</c:v>
                </c:pt>
                <c:pt idx="101">
                  <c:v>1487.8941264693642</c:v>
                </c:pt>
                <c:pt idx="102">
                  <c:v>1622.1489769915768</c:v>
                </c:pt>
                <c:pt idx="103">
                  <c:v>1767.2282619186274</c:v>
                </c:pt>
                <c:pt idx="104">
                  <c:v>1923.7524194435591</c:v>
                </c:pt>
                <c:pt idx="105">
                  <c:v>2092.3264363067306</c:v>
                </c:pt>
                <c:pt idx="106">
                  <c:v>2273.5270051721923</c:v>
                </c:pt>
                <c:pt idx="107">
                  <c:v>2467.887287928454</c:v>
                </c:pt>
                <c:pt idx="108">
                  <c:v>2675.8791070939183</c:v>
                </c:pt>
                <c:pt idx="109">
                  <c:v>2897.8924386629392</c:v>
                </c:pt>
                <c:pt idx="110">
                  <c:v>3134.2121557289483</c:v>
                </c:pt>
                <c:pt idx="111">
                  <c:v>3384.9920777626126</c:v>
                </c:pt>
                <c:pt idx="112">
                  <c:v>3650.2265198029727</c:v>
                </c:pt>
                <c:pt idx="113">
                  <c:v>3929.7197123125188</c:v>
                </c:pt>
                <c:pt idx="114">
                  <c:v>4223.0536774791417</c:v>
                </c:pt>
                <c:pt idx="115">
                  <c:v>4529.5553998706655</c:v>
                </c:pt>
                <c:pt idx="116">
                  <c:v>4848.2644130552762</c:v>
                </c:pt>
                <c:pt idx="117">
                  <c:v>5177.9022282756196</c:v>
                </c:pt>
                <c:pt idx="118">
                  <c:v>5516.8453392105348</c:v>
                </c:pt>
                <c:pt idx="119">
                  <c:v>5863.1038236590812</c:v>
                </c:pt>
                <c:pt idx="120">
                  <c:v>6214.3077964825352</c:v>
                </c:pt>
                <c:pt idx="121">
                  <c:v>6567.7041094295419</c:v>
                </c:pt>
                <c:pt idx="122">
                  <c:v>6920.1656990231249</c:v>
                </c:pt>
                <c:pt idx="123">
                  <c:v>7268.215809182162</c:v>
                </c:pt>
                <c:pt idx="124">
                  <c:v>7608.0689211603458</c:v>
                </c:pt>
                <c:pt idx="125">
                  <c:v>7935.6895821836652</c:v>
                </c:pt>
                <c:pt idx="126">
                  <c:v>8246.8694284797366</c:v>
                </c:pt>
                <c:pt idx="127">
                  <c:v>8537.3215690007983</c:v>
                </c:pt>
                <c:pt idx="128">
                  <c:v>8802.7901882108672</c:v>
                </c:pt>
                <c:pt idx="129">
                  <c:v>9039.171831939293</c:v>
                </c:pt>
                <c:pt idx="130">
                  <c:v>9242.6434855857569</c:v>
                </c:pt>
                <c:pt idx="131">
                  <c:v>9409.7913892259185</c:v>
                </c:pt>
                <c:pt idx="132">
                  <c:v>9537.733717294861</c:v>
                </c:pt>
                <c:pt idx="133">
                  <c:v>9624.2299247134961</c:v>
                </c:pt>
                <c:pt idx="134">
                  <c:v>9667.7698304075238</c:v>
                </c:pt>
                <c:pt idx="135">
                  <c:v>9667.6364150235768</c:v>
                </c:pt>
                <c:pt idx="136">
                  <c:v>9623.9378167240429</c:v>
                </c:pt>
                <c:pt idx="137">
                  <c:v>9537.606000375059</c:v>
                </c:pt>
                <c:pt idx="138">
                  <c:v>9410.3618631787958</c:v>
                </c:pt>
                <c:pt idx="139">
                  <c:v>9244.648888282909</c:v>
                </c:pt>
                <c:pt idx="140">
                  <c:v>9043.5396176138638</c:v>
                </c:pt>
                <c:pt idx="141">
                  <c:v>8810.6209598403038</c:v>
                </c:pt>
                <c:pt idx="142">
                  <c:v>8549.8655093827929</c:v>
                </c:pt>
                <c:pt idx="143">
                  <c:v>8265.4965379802015</c:v>
                </c:pt>
                <c:pt idx="144">
                  <c:v>7961.8541301683454</c:v>
                </c:pt>
                <c:pt idx="145">
                  <c:v>7643.2691484925608</c:v>
                </c:pt>
                <c:pt idx="146">
                  <c:v>7313.9504759275196</c:v>
                </c:pt>
                <c:pt idx="147">
                  <c:v>6977.8894693255788</c:v>
                </c:pt>
                <c:pt idx="148">
                  <c:v>6638.7839522279828</c:v>
                </c:pt>
                <c:pt idx="149">
                  <c:v>6299.9825422075546</c:v>
                </c:pt>
                <c:pt idx="150">
                  <c:v>5964.4487741099965</c:v>
                </c:pt>
                <c:pt idx="151">
                  <c:v>5634.74342727983</c:v>
                </c:pt>
                <c:pt idx="152">
                  <c:v>5313.0227271122203</c:v>
                </c:pt>
                <c:pt idx="153">
                  <c:v>5001.0496642365233</c:v>
                </c:pt>
                <c:pt idx="154">
                  <c:v>4700.2155238361311</c:v>
                </c:pt>
                <c:pt idx="155">
                  <c:v>4411.5687903946982</c:v>
                </c:pt>
                <c:pt idx="156">
                  <c:v>4135.8488293890705</c:v>
                </c:pt>
                <c:pt idx="157">
                  <c:v>3873.5220880444613</c:v>
                </c:pt>
                <c:pt idx="158">
                  <c:v>3624.8189500927328</c:v>
                </c:pt>
                <c:pt idx="159">
                  <c:v>3389.7697825877049</c:v>
                </c:pt>
                <c:pt idx="160">
                  <c:v>3168.2390955302521</c:v>
                </c:pt>
                <c:pt idx="161">
                  <c:v>2959.9570773304554</c:v>
                </c:pt>
                <c:pt idx="162">
                  <c:v>2764.548060140748</c:v>
                </c:pt>
                <c:pt idx="163">
                  <c:v>2581.5557051828428</c:v>
                </c:pt>
                <c:pt idx="164">
                  <c:v>2410.464880876079</c:v>
                </c:pt>
                <c:pt idx="165">
                  <c:v>2250.7203406999074</c:v>
                </c:pt>
                <c:pt idx="166">
                  <c:v>2101.7423999553557</c:v>
                </c:pt>
                <c:pt idx="167">
                  <c:v>1962.9398682778008</c:v>
                </c:pt>
                <c:pt idx="168">
                  <c:v>1833.7205251312084</c:v>
                </c:pt>
                <c:pt idx="169">
                  <c:v>1713.4994352055676</c:v>
                </c:pt>
                <c:pt idx="170">
                  <c:v>1601.7053953891218</c:v>
                </c:pt>
                <c:pt idx="171">
                  <c:v>1497.7857895626703</c:v>
                </c:pt>
                <c:pt idx="172">
                  <c:v>1401.2101056694646</c:v>
                </c:pt>
                <c:pt idx="173">
                  <c:v>1311.4723442761026</c:v>
                </c:pt>
                <c:pt idx="174">
                  <c:v>1228.092521320174</c:v>
                </c:pt>
                <c:pt idx="175">
                  <c:v>1150.6174414696989</c:v>
                </c:pt>
                <c:pt idx="176">
                  <c:v>1078.6208935218067</c:v>
                </c:pt>
                <c:pt idx="177">
                  <c:v>1011.7033961762355</c:v>
                </c:pt>
                <c:pt idx="178">
                  <c:v>949.4916016726545</c:v>
                </c:pt>
                <c:pt idx="179">
                  <c:v>891.63744630752433</c:v>
                </c:pt>
                <c:pt idx="180">
                  <c:v>837.81712072784944</c:v>
                </c:pt>
                <c:pt idx="181">
                  <c:v>787.72991902141121</c:v>
                </c:pt>
                <c:pt idx="182">
                  <c:v>741.09701381366403</c:v>
                </c:pt>
                <c:pt idx="183">
                  <c:v>697.66019463792975</c:v>
                </c:pt>
                <c:pt idx="184">
                  <c:v>657.1805985546863</c:v>
                </c:pt>
                <c:pt idx="185">
                  <c:v>619.43745514700061</c:v>
                </c:pt>
                <c:pt idx="186">
                  <c:v>584.22686241292479</c:v>
                </c:pt>
                <c:pt idx="187">
                  <c:v>551.36060552833987</c:v>
                </c:pt>
                <c:pt idx="188">
                  <c:v>520.66502680012456</c:v>
                </c:pt>
                <c:pt idx="189">
                  <c:v>491.97995222368496</c:v>
                </c:pt>
                <c:pt idx="190">
                  <c:v>465.15767777361054</c:v>
                </c:pt>
                <c:pt idx="191">
                  <c:v>440.06201678204559</c:v>
                </c:pt>
                <c:pt idx="192">
                  <c:v>416.56740840296226</c:v>
                </c:pt>
                <c:pt idx="193">
                  <c:v>394.55808614310729</c:v>
                </c:pt>
                <c:pt idx="194">
                  <c:v>373.92730469592544</c:v>
                </c:pt>
                <c:pt idx="195">
                  <c:v>354.57662278829082</c:v>
                </c:pt>
                <c:pt idx="196">
                  <c:v>336.41523939603877</c:v>
                </c:pt>
                <c:pt idx="197">
                  <c:v>319.35938046576172</c:v>
                </c:pt>
                <c:pt idx="198">
                  <c:v>303.33173316673299</c:v>
                </c:pt>
                <c:pt idx="199">
                  <c:v>288.26092466344159</c:v>
                </c:pt>
                <c:pt idx="200">
                  <c:v>274.08104242618589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CE-4A66-822C-B9CAB6A38E8A}"/>
            </c:ext>
          </c:extLst>
        </c:ser>
        <c:ser>
          <c:idx val="1"/>
          <c:order val="1"/>
          <c:tx>
            <c:strRef>
              <c:f>'San Miguel'!$J$3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Miguel'!$C$3:$C$204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Miguel'!$J$4:$J$204</c:f>
              <c:numCache>
                <c:formatCode>0</c:formatCode>
                <c:ptCount val="201"/>
                <c:pt idx="1">
                  <c:v>2.9666666666666664E-2</c:v>
                </c:pt>
                <c:pt idx="2">
                  <c:v>3.2593768754819459E-2</c:v>
                </c:pt>
                <c:pt idx="3">
                  <c:v>3.5809676086547101E-2</c:v>
                </c:pt>
                <c:pt idx="4">
                  <c:v>3.93428836357579E-2</c:v>
                </c:pt>
                <c:pt idx="5">
                  <c:v>4.3224697778861919E-2</c:v>
                </c:pt>
                <c:pt idx="6">
                  <c:v>4.74895136651661E-2</c:v>
                </c:pt>
                <c:pt idx="7">
                  <c:v>5.2175119950039657E-2</c:v>
                </c:pt>
                <c:pt idx="8">
                  <c:v>5.7323033589720282E-2</c:v>
                </c:pt>
                <c:pt idx="9">
                  <c:v>6.2978867662729601E-2</c:v>
                </c:pt>
                <c:pt idx="10">
                  <c:v>6.919273547517818E-2</c:v>
                </c:pt>
                <c:pt idx="11">
                  <c:v>7.6019694528347267E-2</c:v>
                </c:pt>
                <c:pt idx="12">
                  <c:v>8.3520234279665137E-2</c:v>
                </c:pt>
                <c:pt idx="13">
                  <c:v>9.1760812015660137E-2</c:v>
                </c:pt>
                <c:pt idx="14">
                  <c:v>0.1008144415810818</c:v>
                </c:pt>
                <c:pt idx="15">
                  <c:v>0.11076134017588411</c:v>
                </c:pt>
                <c:pt idx="16">
                  <c:v>0.12168963894526957</c:v>
                </c:pt>
                <c:pt idx="17">
                  <c:v>0.13369616365201742</c:v>
                </c:pt>
                <c:pt idx="18">
                  <c:v>0.14688729233981485</c:v>
                </c:pt>
                <c:pt idx="19">
                  <c:v>0.16137989757671301</c:v>
                </c:pt>
                <c:pt idx="20">
                  <c:v>0.17730238161510686</c:v>
                </c:pt>
                <c:pt idx="21">
                  <c:v>0.19479581362533058</c:v>
                </c:pt>
                <c:pt idx="22">
                  <c:v>0.21401517906125048</c:v>
                </c:pt>
                <c:pt idx="23">
                  <c:v>0.23513075220599683</c:v>
                </c:pt>
                <c:pt idx="24">
                  <c:v>0.25832960403283767</c:v>
                </c:pt>
                <c:pt idx="25">
                  <c:v>0.28381725870963304</c:v>
                </c:pt>
                <c:pt idx="26">
                  <c:v>0.31181951338568814</c:v>
                </c:pt>
                <c:pt idx="27">
                  <c:v>0.34258443733852528</c:v>
                </c:pt>
                <c:pt idx="28">
                  <c:v>0.37638456813757493</c:v>
                </c:pt>
                <c:pt idx="29">
                  <c:v>0.41351932421569393</c:v>
                </c:pt>
                <c:pt idx="30">
                  <c:v>0.45431765514270056</c:v>
                </c:pt>
                <c:pt idx="31">
                  <c:v>0.49914095298412386</c:v>
                </c:pt>
                <c:pt idx="32">
                  <c:v>0.54838625042100297</c:v>
                </c:pt>
                <c:pt idx="33">
                  <c:v>0.60248973382241988</c:v>
                </c:pt>
                <c:pt idx="34">
                  <c:v>0.66193060222289868</c:v>
                </c:pt>
                <c:pt idx="35">
                  <c:v>0.72723530618525101</c:v>
                </c:pt>
                <c:pt idx="36">
                  <c:v>0.79898220385143226</c:v>
                </c:pt>
                <c:pt idx="37">
                  <c:v>0.87780667512734922</c:v>
                </c:pt>
                <c:pt idx="38">
                  <c:v>0.96440673894275031</c:v>
                </c:pt>
                <c:pt idx="39">
                  <c:v>1.0595492229074368</c:v>
                </c:pt>
                <c:pt idx="40">
                  <c:v>1.164076539486129</c:v>
                </c:pt>
                <c:pt idx="41">
                  <c:v>1.2789141280756406</c:v>
                </c:pt>
                <c:pt idx="42">
                  <c:v>1.4050786281321668</c:v>
                </c:pt>
                <c:pt idx="43">
                  <c:v>1.5436868548097364</c:v>
                </c:pt>
                <c:pt idx="44">
                  <c:v>1.6959656554833507</c:v>
                </c:pt>
                <c:pt idx="45">
                  <c:v>1.8632627330962266</c:v>
                </c:pt>
                <c:pt idx="46">
                  <c:v>2.0470585305485374</c:v>
                </c:pt>
                <c:pt idx="47">
                  <c:v>2.2489792793981329</c:v>
                </c:pt>
                <c:pt idx="48">
                  <c:v>2.4708113260399673</c:v>
                </c:pt>
                <c:pt idx="49">
                  <c:v>2.7145168593431053</c:v>
                </c:pt>
                <c:pt idx="50">
                  <c:v>2.982251175530231</c:v>
                </c:pt>
                <c:pt idx="51">
                  <c:v>3.2763816289675565</c:v>
                </c:pt>
                <c:pt idx="52">
                  <c:v>3.5995084315810733</c:v>
                </c:pt>
                <c:pt idx="53">
                  <c:v>3.9544874789214908</c:v>
                </c:pt>
                <c:pt idx="54">
                  <c:v>4.3444553975627249</c:v>
                </c:pt>
                <c:pt idx="55">
                  <c:v>4.7728570266397794</c:v>
                </c:pt>
                <c:pt idx="56">
                  <c:v>5.2434755660170769</c:v>
                </c:pt>
                <c:pt idx="57">
                  <c:v>5.7604656449363327</c:v>
                </c:pt>
                <c:pt idx="58">
                  <c:v>6.3283895881338452</c:v>
                </c:pt>
                <c:pt idx="59">
                  <c:v>6.952257181450193</c:v>
                </c:pt>
                <c:pt idx="60">
                  <c:v>7.6375692659878718</c:v>
                </c:pt>
                <c:pt idx="61">
                  <c:v>8.3903655190056092</c:v>
                </c:pt>
                <c:pt idx="62">
                  <c:v>9.217276811064302</c:v>
                </c:pt>
                <c:pt idx="63">
                  <c:v>10.125582562536625</c:v>
                </c:pt>
                <c:pt idx="64">
                  <c:v>11.123273558518408</c:v>
                </c:pt>
                <c:pt idx="65">
                  <c:v>12.21912071946559</c:v>
                </c:pt>
                <c:pt idx="66">
                  <c:v>13.42275036551947</c:v>
                </c:pt>
                <c:pt idx="67">
                  <c:v>14.74472655542168</c:v>
                </c:pt>
                <c:pt idx="68">
                  <c:v>16.196641126042202</c:v>
                </c:pt>
                <c:pt idx="69">
                  <c:v>17.791212105654999</c:v>
                </c:pt>
                <c:pt idx="70">
                  <c:v>19.54239122290198</c:v>
                </c:pt>
                <c:pt idx="71">
                  <c:v>21.465481283469693</c:v>
                </c:pt>
                <c:pt idx="72">
                  <c:v>23.577264237292255</c:v>
                </c:pt>
                <c:pt idx="73">
                  <c:v>25.896140809826811</c:v>
                </c:pt>
                <c:pt idx="74">
                  <c:v>28.442282620630703</c:v>
                </c:pt>
                <c:pt idx="75">
                  <c:v>31.237797759823966</c:v>
                </c:pt>
                <c:pt idx="76">
                  <c:v>34.306910836426049</c:v>
                </c:pt>
                <c:pt idx="77">
                  <c:v>37.676158549975199</c:v>
                </c:pt>
                <c:pt idx="78">
                  <c:v>41.374601865738462</c:v>
                </c:pt>
                <c:pt idx="79">
                  <c:v>45.434055891071317</c:v>
                </c:pt>
                <c:pt idx="80">
                  <c:v>49.889338552251253</c:v>
                </c:pt>
                <c:pt idx="81">
                  <c:v>54.778539152718082</c:v>
                </c:pt>
                <c:pt idx="82">
                  <c:v>60.143307849449158</c:v>
                </c:pt>
                <c:pt idx="83">
                  <c:v>66.029167007376856</c:v>
                </c:pt>
                <c:pt idx="84">
                  <c:v>72.485845274181159</c:v>
                </c:pt>
                <c:pt idx="85">
                  <c:v>79.567635049790653</c:v>
                </c:pt>
                <c:pt idx="86">
                  <c:v>87.333773795073029</c:v>
                </c:pt>
                <c:pt idx="87">
                  <c:v>95.848849319085545</c:v>
                </c:pt>
                <c:pt idx="88">
                  <c:v>105.18322878826196</c:v>
                </c:pt>
                <c:pt idx="89">
                  <c:v>115.41351069597462</c:v>
                </c:pt>
                <c:pt idx="90">
                  <c:v>126.62299839633077</c:v>
                </c:pt>
                <c:pt idx="91">
                  <c:v>138.9021930183531</c:v>
                </c:pt>
                <c:pt idx="92">
                  <c:v>152.34930260951717</c:v>
                </c:pt>
                <c:pt idx="93">
                  <c:v>167.07076318183283</c:v>
                </c:pt>
                <c:pt idx="94">
                  <c:v>183.1817659175727</c:v>
                </c:pt>
                <c:pt idx="95">
                  <c:v>200.80678310161682</c:v>
                </c:pt>
                <c:pt idx="96">
                  <c:v>220.08008334825121</c:v>
                </c:pt>
                <c:pt idx="97">
                  <c:v>241.14622434728881</c:v>
                </c:pt>
                <c:pt idx="98">
                  <c:v>264.16050863478381</c:v>
                </c:pt>
                <c:pt idx="99">
                  <c:v>289.28938476933553</c:v>
                </c:pt>
                <c:pt idx="100">
                  <c:v>316.71077274636423</c:v>
                </c:pt>
                <c:pt idx="101">
                  <c:v>346.61428850335426</c:v>
                </c:pt>
                <c:pt idx="102">
                  <c:v>379.2013379718336</c:v>
                </c:pt>
                <c:pt idx="103">
                  <c:v>414.68504635685593</c:v>
                </c:pt>
                <c:pt idx="104">
                  <c:v>453.28998324854666</c:v>
                </c:pt>
                <c:pt idx="105">
                  <c:v>495.25163891708746</c:v>
                </c:pt>
                <c:pt idx="106">
                  <c:v>540.81560189695085</c:v>
                </c:pt>
                <c:pt idx="107">
                  <c:v>590.23638298716094</c:v>
                </c:pt>
                <c:pt idx="108">
                  <c:v>643.77582642946641</c:v>
                </c:pt>
                <c:pt idx="109">
                  <c:v>701.70104572560365</c:v>
                </c:pt>
                <c:pt idx="110">
                  <c:v>764.28181988175072</c:v>
                </c:pt>
                <c:pt idx="111">
                  <c:v>831.78738650565117</c:v>
                </c:pt>
                <c:pt idx="112">
                  <c:v>904.48257192908704</c:v>
                </c:pt>
                <c:pt idx="113">
                  <c:v>982.62320628560553</c:v>
                </c:pt>
                <c:pt idx="114">
                  <c:v>1066.4507842080232</c:v>
                </c:pt>
                <c:pt idx="115">
                  <c:v>1156.186350499637</c:v>
                </c:pt>
                <c:pt idx="116">
                  <c:v>1252.0236156791457</c:v>
                </c:pt>
                <c:pt idx="117">
                  <c:v>1354.1213394104807</c:v>
                </c:pt>
                <c:pt idx="118">
                  <c:v>1462.5950608689748</c:v>
                </c:pt>
                <c:pt idx="119">
                  <c:v>1577.508303903255</c:v>
                </c:pt>
                <c:pt idx="120">
                  <c:v>1698.8634405416992</c:v>
                </c:pt>
                <c:pt idx="121">
                  <c:v>1826.5924571526245</c:v>
                </c:pt>
                <c:pt idx="122">
                  <c:v>1960.5479304939465</c:v>
                </c:pt>
                <c:pt idx="123">
                  <c:v>2100.4945818818346</c:v>
                </c:pt>
                <c:pt idx="124">
                  <c:v>2246.1018314915109</c:v>
                </c:pt>
                <c:pt idx="125">
                  <c:v>2396.9378151028841</c:v>
                </c:pt>
                <c:pt idx="126">
                  <c:v>2552.4653455375696</c:v>
                </c:pt>
                <c:pt idx="127">
                  <c:v>2712.0402937312169</c:v>
                </c:pt>
                <c:pt idx="128">
                  <c:v>2874.9128238205326</c:v>
                </c:pt>
                <c:pt idx="129">
                  <c:v>3040.2318386101042</c:v>
                </c:pt>
                <c:pt idx="130">
                  <c:v>3207.0528750039662</c:v>
                </c:pt>
                <c:pt idx="131">
                  <c:v>3374.3495359095446</c:v>
                </c:pt>
                <c:pt idx="132">
                  <c:v>3541.0283625929292</c:v>
                </c:pt>
                <c:pt idx="133">
                  <c:v>3705.9468507862457</c:v>
                </c:pt>
                <c:pt idx="134">
                  <c:v>3867.9341101932046</c:v>
                </c:pt>
                <c:pt idx="135">
                  <c:v>4025.8134781555209</c:v>
                </c:pt>
                <c:pt idx="136">
                  <c:v>4178.42624252937</c:v>
                </c:pt>
                <c:pt idx="137">
                  <c:v>4324.6555230078711</c:v>
                </c:pt>
                <c:pt idx="138">
                  <c:v>4463.4493169187344</c:v>
                </c:pt>
                <c:pt idx="139">
                  <c:v>4593.8417416290813</c:v>
                </c:pt>
                <c:pt idx="140">
                  <c:v>4714.971600593838</c:v>
                </c:pt>
                <c:pt idx="141">
                  <c:v>4826.0975558965874</c:v>
                </c:pt>
                <c:pt idx="142">
                  <c:v>4926.6093925086307</c:v>
                </c:pt>
                <c:pt idx="143">
                  <c:v>5016.0350895367001</c:v>
                </c:pt>
                <c:pt idx="144">
                  <c:v>5094.0436505122225</c:v>
                </c:pt>
                <c:pt idx="145">
                  <c:v>5160.4438680234762</c:v>
                </c:pt>
                <c:pt idx="146">
                  <c:v>5215.1793904946398</c:v>
                </c:pt>
                <c:pt idx="147">
                  <c:v>5258.3206082640008</c:v>
                </c:pt>
                <c:pt idx="148">
                  <c:v>5290.0539755785258</c:v>
                </c:pt>
                <c:pt idx="149">
                  <c:v>5310.669433642006</c:v>
                </c:pt>
                <c:pt idx="150">
                  <c:v>5320.546601272762</c:v>
                </c:pt>
                <c:pt idx="151">
                  <c:v>5320.1403615289337</c:v>
                </c:pt>
                <c:pt idx="152">
                  <c:v>5309.9664044872716</c:v>
                </c:pt>
                <c:pt idx="153">
                  <c:v>5290.5871985753583</c:v>
                </c:pt>
                <c:pt idx="154">
                  <c:v>5262.5987653285292</c:v>
                </c:pt>
                <c:pt idx="155">
                  <c:v>5226.618533691385</c:v>
                </c:pt>
                <c:pt idx="156">
                  <c:v>5183.2744566833808</c:v>
                </c:pt>
                <c:pt idx="157">
                  <c:v>5133.1954900658111</c:v>
                </c:pt>
                <c:pt idx="158">
                  <c:v>5077.0034623422689</c:v>
                </c:pt>
                <c:pt idx="159">
                  <c:v>5015.3063091169442</c:v>
                </c:pt>
                <c:pt idx="160">
                  <c:v>4948.6926023631486</c:v>
                </c:pt>
                <c:pt idx="161">
                  <c:v>4877.7272754517744</c:v>
                </c:pt>
                <c:pt idx="162">
                  <c:v>4802.9484262308515</c:v>
                </c:pt>
                <c:pt idx="163">
                  <c:v>4724.8650711406653</c:v>
                </c:pt>
                <c:pt idx="164">
                  <c:v>4643.9557213564003</c:v>
                </c:pt>
                <c:pt idx="165">
                  <c:v>4560.6676554438436</c:v>
                </c:pt>
                <c:pt idx="166">
                  <c:v>4475.4167703698131</c:v>
                </c:pt>
                <c:pt idx="167">
                  <c:v>4388.5879025561617</c:v>
                </c:pt>
                <c:pt idx="168">
                  <c:v>4300.5355218965306</c:v>
                </c:pt>
                <c:pt idx="169">
                  <c:v>4211.5847134122059</c:v>
                </c:pt>
                <c:pt idx="170">
                  <c:v>4122.0323728762305</c:v>
                </c:pt>
                <c:pt idx="171">
                  <c:v>4032.1485538435668</c:v>
                </c:pt>
                <c:pt idx="172">
                  <c:v>3942.1779138058068</c:v>
                </c:pt>
                <c:pt idx="173">
                  <c:v>3852.3412164804736</c:v>
                </c:pt>
                <c:pt idx="174">
                  <c:v>3762.8368554779827</c:v>
                </c:pt>
                <c:pt idx="175">
                  <c:v>3673.8423717612145</c:v>
                </c:pt>
                <c:pt idx="176">
                  <c:v>3585.5159434661086</c:v>
                </c:pt>
                <c:pt idx="177">
                  <c:v>3497.9978318583849</c:v>
                </c:pt>
                <c:pt idx="178">
                  <c:v>3411.4117715496668</c:v>
                </c:pt>
                <c:pt idx="179">
                  <c:v>3325.8662966809666</c:v>
                </c:pt>
                <c:pt idx="180">
                  <c:v>3241.4559976987239</c:v>
                </c:pt>
                <c:pt idx="181">
                  <c:v>3158.2627056903593</c:v>
                </c:pt>
                <c:pt idx="182">
                  <c:v>3076.3566030983156</c:v>
                </c:pt>
                <c:pt idx="183">
                  <c:v>2995.7972610715105</c:v>
                </c:pt>
                <c:pt idx="184">
                  <c:v>2916.6346048100522</c:v>
                </c:pt>
                <c:pt idx="185">
                  <c:v>2838.909809073506</c:v>
                </c:pt>
                <c:pt idx="186">
                  <c:v>2762.6561266070835</c:v>
                </c:pt>
                <c:pt idx="187">
                  <c:v>2687.8996526384303</c:v>
                </c:pt>
                <c:pt idx="188">
                  <c:v>2614.6600288478239</c:v>
                </c:pt>
                <c:pt idx="189">
                  <c:v>2542.9510903479672</c:v>
                </c:pt>
                <c:pt idx="190">
                  <c:v>2472.7814592523378</c:v>
                </c:pt>
                <c:pt idx="191">
                  <c:v>2404.1550883845434</c:v>
                </c:pt>
                <c:pt idx="192">
                  <c:v>2337.0717586029264</c:v>
                </c:pt>
                <c:pt idx="193">
                  <c:v>2271.5275330987834</c:v>
                </c:pt>
                <c:pt idx="194">
                  <c:v>2207.5151718844031</c:v>
                </c:pt>
                <c:pt idx="195">
                  <c:v>2145.0245095275686</c:v>
                </c:pt>
                <c:pt idx="196">
                  <c:v>2084.0427990193689</c:v>
                </c:pt>
                <c:pt idx="197">
                  <c:v>2024.5550244874723</c:v>
                </c:pt>
                <c:pt idx="198">
                  <c:v>1966.5441852917072</c:v>
                </c:pt>
                <c:pt idx="199">
                  <c:v>1909.9915538659304</c:v>
                </c:pt>
                <c:pt idx="200">
                  <c:v>1854.8769095020812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CE-4A66-822C-B9CAB6A38E8A}"/>
            </c:ext>
          </c:extLst>
        </c:ser>
        <c:ser>
          <c:idx val="2"/>
          <c:order val="2"/>
          <c:tx>
            <c:strRef>
              <c:f>'San Miguel'!$K$3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'San Miguel'!$C$3:$C$204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'San Miguel'!$K$4:$K$204</c:f>
              <c:numCache>
                <c:formatCode>0</c:formatCode>
                <c:ptCount val="201"/>
                <c:pt idx="1">
                  <c:v>3.6666666666666701E-3</c:v>
                </c:pt>
                <c:pt idx="2">
                  <c:v>4.0284433292473529E-3</c:v>
                </c:pt>
                <c:pt idx="3">
                  <c:v>4.4259150219327923E-3</c:v>
                </c:pt>
                <c:pt idx="4">
                  <c:v>4.8626035954307568E-3</c:v>
                </c:pt>
                <c:pt idx="5">
                  <c:v>5.3423783771627143E-3</c:v>
                </c:pt>
                <c:pt idx="6">
                  <c:v>5.8694904529980633E-3</c:v>
                </c:pt>
                <c:pt idx="7">
                  <c:v>6.448610330903784E-3</c:v>
                </c:pt>
                <c:pt idx="8">
                  <c:v>7.0848693200777956E-3</c:v>
                </c:pt>
                <c:pt idx="9">
                  <c:v>7.7839049920227681E-3</c:v>
                </c:pt>
                <c:pt idx="10">
                  <c:v>8.5519111261456258E-3</c:v>
                </c:pt>
                <c:pt idx="11">
                  <c:v>9.3956925821552881E-3</c:v>
                </c:pt>
                <c:pt idx="12">
                  <c:v>1.0322725585127163E-2</c:v>
                </c:pt>
                <c:pt idx="13">
                  <c:v>1.1341223956991714E-2</c:v>
                </c:pt>
                <c:pt idx="14">
                  <c:v>1.2460211880807875E-2</c:v>
                </c:pt>
                <c:pt idx="15">
                  <c:v>1.3689603841963219E-2</c:v>
                </c:pt>
                <c:pt idx="16">
                  <c:v>1.5040292453909738E-2</c:v>
                </c:pt>
                <c:pt idx="17">
                  <c:v>1.6524244945754978E-2</c:v>
                </c:pt>
                <c:pt idx="18">
                  <c:v>1.8154609165595113E-2</c:v>
                </c:pt>
                <c:pt idx="19">
                  <c:v>1.9945830037571288E-2</c:v>
                </c:pt>
                <c:pt idx="20">
                  <c:v>2.1913777502990762E-2</c:v>
                </c:pt>
                <c:pt idx="21">
                  <c:v>2.4075887077288072E-2</c:v>
                </c:pt>
                <c:pt idx="22">
                  <c:v>2.6451314265997276E-2</c:v>
                </c:pt>
                <c:pt idx="23">
                  <c:v>2.9061104205235593E-2</c:v>
                </c:pt>
                <c:pt idx="24">
                  <c:v>3.1928378026530528E-2</c:v>
                </c:pt>
                <c:pt idx="25">
                  <c:v>3.5078537593325465E-2</c:v>
                </c:pt>
                <c:pt idx="26">
                  <c:v>3.853949041845587E-2</c:v>
                </c:pt>
                <c:pt idx="27">
                  <c:v>4.234189674970542E-2</c:v>
                </c:pt>
                <c:pt idx="28">
                  <c:v>4.6519441005767735E-2</c:v>
                </c:pt>
                <c:pt idx="29">
                  <c:v>5.1109129959243119E-2</c:v>
                </c:pt>
                <c:pt idx="30">
                  <c:v>5.6151620298536077E-2</c:v>
                </c:pt>
                <c:pt idx="31">
                  <c:v>6.1691578458711996E-2</c:v>
                </c:pt>
                <c:pt idx="32">
                  <c:v>6.7778075894730769E-2</c:v>
                </c:pt>
                <c:pt idx="33">
                  <c:v>7.4465023281422765E-2</c:v>
                </c:pt>
                <c:pt idx="34">
                  <c:v>8.1811647465751591E-2</c:v>
                </c:pt>
                <c:pt idx="35">
                  <c:v>8.9883015371210892E-2</c:v>
                </c:pt>
                <c:pt idx="36">
                  <c:v>9.8750609464783867E-2</c:v>
                </c:pt>
                <c:pt idx="37">
                  <c:v>0.10849295984720057</c:v>
                </c:pt>
                <c:pt idx="38">
                  <c:v>0.11919633852101419</c:v>
                </c:pt>
                <c:pt idx="39">
                  <c:v>0.13095552193237997</c:v>
                </c:pt>
                <c:pt idx="40">
                  <c:v>0.14387462847581386</c:v>
                </c:pt>
                <c:pt idx="41">
                  <c:v>0.15806803830148383</c:v>
                </c:pt>
                <c:pt idx="42">
                  <c:v>0.17366140347700953</c:v>
                </c:pt>
                <c:pt idx="43">
                  <c:v>0.19079275733603504</c:v>
                </c:pt>
                <c:pt idx="44">
                  <c:v>0.2096137327001896</c:v>
                </c:pt>
                <c:pt idx="45">
                  <c:v>0.23029089959616306</c:v>
                </c:pt>
                <c:pt idx="46">
                  <c:v>0.25300723411274079</c:v>
                </c:pt>
                <c:pt idx="47">
                  <c:v>0.27796373116156725</c:v>
                </c:pt>
                <c:pt idx="48">
                  <c:v>0.30538117512853563</c:v>
                </c:pt>
                <c:pt idx="49">
                  <c:v>0.33550208373903578</c:v>
                </c:pt>
                <c:pt idx="50">
                  <c:v>0.36859284191946712</c:v>
                </c:pt>
                <c:pt idx="51">
                  <c:v>0.40494604402969842</c:v>
                </c:pt>
                <c:pt idx="52">
                  <c:v>0.44488306457743648</c:v>
                </c:pt>
                <c:pt idx="53">
                  <c:v>0.48875687941726331</c:v>
                </c:pt>
                <c:pt idx="54">
                  <c:v>0.53695516149651701</c:v>
                </c:pt>
                <c:pt idx="55">
                  <c:v>0.58990367744986094</c:v>
                </c:pt>
                <c:pt idx="56">
                  <c:v>0.64807001377739215</c:v>
                </c:pt>
                <c:pt idx="57">
                  <c:v>0.71196766398089584</c:v>
                </c:pt>
                <c:pt idx="58">
                  <c:v>0.78216051089294791</c:v>
                </c:pt>
                <c:pt idx="59">
                  <c:v>0.85926774152755281</c:v>
                </c:pt>
                <c:pt idx="60">
                  <c:v>0.94396923512209741</c:v>
                </c:pt>
                <c:pt idx="61">
                  <c:v>1.0370114686411438</c:v>
                </c:pt>
                <c:pt idx="62">
                  <c:v>1.1392139878843532</c:v>
                </c:pt>
                <c:pt idx="63">
                  <c:v>1.2514764964932918</c:v>
                </c:pt>
                <c:pt idx="64">
                  <c:v>1.3747866195921643</c:v>
                </c:pt>
                <c:pt idx="65">
                  <c:v>1.5102284035294564</c:v>
                </c:pt>
                <c:pt idx="66">
                  <c:v>1.6589916182102731</c:v>
                </c:pt>
                <c:pt idx="67">
                  <c:v>1.8223819338161644</c:v>
                </c:pt>
                <c:pt idx="68">
                  <c:v>2.0018320492861168</c:v>
                </c:pt>
                <c:pt idx="69">
                  <c:v>2.1989138557551149</c:v>
                </c:pt>
                <c:pt idx="70">
                  <c:v>2.4153517241788984</c:v>
                </c:pt>
                <c:pt idx="71">
                  <c:v>2.6530370125636726</c:v>
                </c:pt>
                <c:pt idx="72">
                  <c:v>2.9140438944967983</c:v>
                </c:pt>
                <c:pt idx="73">
                  <c:v>3.2006466169448897</c:v>
                </c:pt>
                <c:pt idx="74">
                  <c:v>3.51533830142627</c:v>
                </c:pt>
                <c:pt idx="75">
                  <c:v>3.8608514085175725</c:v>
                </c:pt>
                <c:pt idx="76">
                  <c:v>4.2401799910189544</c:v>
                </c:pt>
                <c:pt idx="77">
                  <c:v>4.6566038657272761</c:v>
                </c:pt>
                <c:pt idx="78">
                  <c:v>5.1137148373384669</c:v>
                </c:pt>
                <c:pt idx="79">
                  <c:v>5.6154451101324154</c:v>
                </c:pt>
                <c:pt idx="80">
                  <c:v>6.1660980233119584</c:v>
                </c:pt>
                <c:pt idx="81">
                  <c:v>6.7703812435943762</c:v>
                </c:pt>
                <c:pt idx="82">
                  <c:v>7.4334425431903526</c:v>
                </c:pt>
                <c:pt idx="83">
                  <c:v>8.1609082818106291</c:v>
                </c:pt>
                <c:pt idx="84">
                  <c:v>8.958924696808916</c:v>
                </c:pt>
                <c:pt idx="85">
                  <c:v>9.8342020848055949</c:v>
                </c:pt>
                <c:pt idx="86">
                  <c:v>10.794061929728137</c:v>
                </c:pt>
                <c:pt idx="87">
                  <c:v>11.846486994493732</c:v>
                </c:pt>
                <c:pt idx="88">
                  <c:v>13.00017434461666</c:v>
                </c:pt>
                <c:pt idx="89">
                  <c:v>14.264591209614855</c:v>
                </c:pt>
                <c:pt idx="90">
                  <c:v>15.650033509658876</c:v>
                </c:pt>
                <c:pt idx="91">
                  <c:v>17.167686777549282</c:v>
                </c:pt>
                <c:pt idx="92">
                  <c:v>18.829689086569555</c:v>
                </c:pt>
                <c:pt idx="93">
                  <c:v>20.649195449440036</c:v>
                </c:pt>
                <c:pt idx="94">
                  <c:v>22.640442978576424</c:v>
                </c:pt>
                <c:pt idx="95">
                  <c:v>24.818815888963901</c:v>
                </c:pt>
                <c:pt idx="96">
                  <c:v>27.200909177873772</c:v>
                </c:pt>
                <c:pt idx="97">
                  <c:v>29.804589526069435</c:v>
                </c:pt>
                <c:pt idx="98">
                  <c:v>32.64905162901826</c:v>
                </c:pt>
                <c:pt idx="99">
                  <c:v>35.754867780479699</c:v>
                </c:pt>
                <c:pt idx="100">
                  <c:v>39.144028092247297</c:v>
                </c:pt>
                <c:pt idx="101">
                  <c:v>42.839968241987648</c:v>
                </c:pt>
                <c:pt idx="102">
                  <c:v>46.8675810976424</c:v>
                </c:pt>
                <c:pt idx="103">
                  <c:v>51.253207976690106</c:v>
                </c:pt>
                <c:pt idx="104">
                  <c:v>56.024604671168746</c:v>
                </c:pt>
                <c:pt idx="105">
                  <c:v>61.210876720089523</c:v>
                </c:pt>
                <c:pt idx="106">
                  <c:v>66.842377762544558</c:v>
                </c:pt>
                <c:pt idx="107">
                  <c:v>72.950564189424469</c:v>
                </c:pt>
                <c:pt idx="108">
                  <c:v>79.56779877218132</c:v>
                </c:pt>
                <c:pt idx="109">
                  <c:v>86.727095539119631</c:v>
                </c:pt>
                <c:pt idx="110">
                  <c:v>94.46179796291311</c:v>
                </c:pt>
                <c:pt idx="111">
                  <c:v>102.80518260182215</c:v>
                </c:pt>
                <c:pt idx="112">
                  <c:v>111.78998080022434</c:v>
                </c:pt>
                <c:pt idx="113">
                  <c:v>121.44781201282777</c:v>
                </c:pt>
                <c:pt idx="114">
                  <c:v>131.80852389087943</c:v>
                </c:pt>
                <c:pt idx="115">
                  <c:v>142.89943657860695</c:v>
                </c:pt>
                <c:pt idx="116">
                  <c:v>154.74449182551251</c:v>
                </c:pt>
                <c:pt idx="117">
                  <c:v>167.3633116125315</c:v>
                </c:pt>
                <c:pt idx="118">
                  <c:v>180.77017606245772</c:v>
                </c:pt>
                <c:pt idx="119">
                  <c:v>194.97293643748114</c:v>
                </c:pt>
                <c:pt idx="120">
                  <c:v>209.97188590964842</c:v>
                </c:pt>
                <c:pt idx="121">
                  <c:v>225.75861829976282</c:v>
                </c:pt>
                <c:pt idx="122">
                  <c:v>242.31491275767902</c:v>
                </c:pt>
                <c:pt idx="123">
                  <c:v>259.61168989550788</c:v>
                </c:pt>
                <c:pt idx="124">
                  <c:v>277.60809153265893</c:v>
                </c:pt>
                <c:pt idx="125">
                  <c:v>296.25074119249155</c:v>
                </c:pt>
                <c:pt idx="126">
                  <c:v>315.47324495408196</c:v>
                </c:pt>
                <c:pt idx="127">
                  <c:v>335.19599136003836</c:v>
                </c:pt>
                <c:pt idx="128">
                  <c:v>355.32630406770664</c:v>
                </c:pt>
                <c:pt idx="129">
                  <c:v>375.75899128888966</c:v>
                </c:pt>
                <c:pt idx="130">
                  <c:v>396.37732162970406</c:v>
                </c:pt>
                <c:pt idx="131">
                  <c:v>417.05443702252836</c:v>
                </c:pt>
                <c:pt idx="132">
                  <c:v>437.65519088227262</c:v>
                </c:pt>
                <c:pt idx="133">
                  <c:v>458.03837481627801</c:v>
                </c:pt>
                <c:pt idx="134">
                  <c:v>478.05927204635162</c:v>
                </c:pt>
                <c:pt idx="135">
                  <c:v>497.57245235630091</c:v>
                </c:pt>
                <c:pt idx="136">
                  <c:v>516.43470413284399</c:v>
                </c:pt>
                <c:pt idx="137">
                  <c:v>534.50798598973734</c:v>
                </c:pt>
                <c:pt idx="138">
                  <c:v>551.66227512478804</c:v>
                </c:pt>
                <c:pt idx="139">
                  <c:v>567.77819278561742</c:v>
                </c:pt>
                <c:pt idx="140">
                  <c:v>582.74929894980073</c:v>
                </c:pt>
                <c:pt idx="141">
                  <c:v>596.48396758272486</c:v>
                </c:pt>
                <c:pt idx="142">
                  <c:v>608.90677884938191</c:v>
                </c:pt>
                <c:pt idx="143">
                  <c:v>619.95939308880622</c:v>
                </c:pt>
                <c:pt idx="144">
                  <c:v>629.60090062510676</c:v>
                </c:pt>
                <c:pt idx="145">
                  <c:v>637.80766908155385</c:v>
                </c:pt>
                <c:pt idx="146">
                  <c:v>644.5727336566415</c:v>
                </c:pt>
                <c:pt idx="147">
                  <c:v>649.90479427982098</c:v>
                </c:pt>
                <c:pt idx="148">
                  <c:v>653.82689585802063</c:v>
                </c:pt>
                <c:pt idx="149">
                  <c:v>656.37487382092274</c:v>
                </c:pt>
                <c:pt idx="150">
                  <c:v>657.59564734831963</c:v>
                </c:pt>
                <c:pt idx="151">
                  <c:v>657.54543794177891</c:v>
                </c:pt>
                <c:pt idx="152">
                  <c:v>656.28798257707911</c:v>
                </c:pt>
                <c:pt idx="153">
                  <c:v>653.89279982392134</c:v>
                </c:pt>
                <c:pt idx="154">
                  <c:v>650.43355526532457</c:v>
                </c:pt>
                <c:pt idx="155">
                  <c:v>645.98656034387955</c:v>
                </c:pt>
                <c:pt idx="156">
                  <c:v>640.62942723053084</c:v>
                </c:pt>
                <c:pt idx="157">
                  <c:v>634.43989203060642</c:v>
                </c:pt>
                <c:pt idx="158">
                  <c:v>627.49480995241584</c:v>
                </c:pt>
                <c:pt idx="159">
                  <c:v>619.86931910434203</c:v>
                </c:pt>
                <c:pt idx="160">
                  <c:v>611.63616433701895</c:v>
                </c:pt>
                <c:pt idx="161">
                  <c:v>602.86516887606251</c:v>
                </c:pt>
                <c:pt idx="162">
                  <c:v>593.62283919707215</c:v>
                </c:pt>
                <c:pt idx="163">
                  <c:v>583.97208744435238</c:v>
                </c:pt>
                <c:pt idx="164">
                  <c:v>573.97205544854444</c:v>
                </c:pt>
                <c:pt idx="165">
                  <c:v>563.6780248301385</c:v>
                </c:pt>
                <c:pt idx="166">
                  <c:v>553.14139858503358</c:v>
                </c:pt>
                <c:pt idx="167">
                  <c:v>542.40974076536884</c:v>
                </c:pt>
                <c:pt idx="168">
                  <c:v>531.52686225687512</c:v>
                </c:pt>
                <c:pt idx="169">
                  <c:v>520.53294210712704</c:v>
                </c:pt>
                <c:pt idx="170">
                  <c:v>509.46467529930993</c:v>
                </c:pt>
                <c:pt idx="171">
                  <c:v>498.35543923909302</c:v>
                </c:pt>
                <c:pt idx="172">
                  <c:v>487.23547249285298</c:v>
                </c:pt>
                <c:pt idx="173">
                  <c:v>476.13206046387921</c:v>
                </c:pt>
                <c:pt idx="174">
                  <c:v>465.06972371076239</c:v>
                </c:pt>
                <c:pt idx="175">
                  <c:v>454.07040549857749</c:v>
                </c:pt>
                <c:pt idx="176">
                  <c:v>443.15365593401384</c:v>
                </c:pt>
                <c:pt idx="177">
                  <c:v>432.33681067912664</c:v>
                </c:pt>
                <c:pt idx="178">
                  <c:v>421.63516277580197</c:v>
                </c:pt>
                <c:pt idx="179">
                  <c:v>411.06212655607493</c:v>
                </c:pt>
                <c:pt idx="180">
                  <c:v>400.62939297400004</c:v>
                </c:pt>
                <c:pt idx="181">
                  <c:v>390.34707598420209</c:v>
                </c:pt>
                <c:pt idx="182">
                  <c:v>380.22384982114056</c:v>
                </c:pt>
                <c:pt idx="183">
                  <c:v>370.26707721108596</c:v>
                </c:pt>
                <c:pt idx="184">
                  <c:v>360.48292868438881</c:v>
                </c:pt>
                <c:pt idx="185">
                  <c:v>350.87649325627638</c:v>
                </c:pt>
                <c:pt idx="186">
                  <c:v>341.45188081660609</c:v>
                </c:pt>
                <c:pt idx="187">
                  <c:v>332.21231661823333</c:v>
                </c:pt>
                <c:pt idx="188">
                  <c:v>323.16022828456283</c:v>
                </c:pt>
                <c:pt idx="189">
                  <c:v>314.2973257733446</c:v>
                </c:pt>
                <c:pt idx="190">
                  <c:v>305.62467473905332</c:v>
                </c:pt>
                <c:pt idx="191">
                  <c:v>297.14276373292142</c:v>
                </c:pt>
                <c:pt idx="192">
                  <c:v>288.85156567002485</c:v>
                </c:pt>
                <c:pt idx="193">
                  <c:v>280.75059397850157</c:v>
                </c:pt>
                <c:pt idx="194">
                  <c:v>272.83895382840961</c:v>
                </c:pt>
                <c:pt idx="195">
                  <c:v>265.11538881801437</c:v>
                </c:pt>
                <c:pt idx="196">
                  <c:v>257.57832347430423</c:v>
                </c:pt>
                <c:pt idx="197">
                  <c:v>250.22590190294625</c:v>
                </c:pt>
                <c:pt idx="198">
                  <c:v>243.05602290122252</c:v>
                </c:pt>
                <c:pt idx="199">
                  <c:v>236.06637182612647</c:v>
                </c:pt>
                <c:pt idx="200">
                  <c:v>229.25444948902151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CE-4A66-822C-B9CAB6A38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Morazan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Morazan!$I$3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Morazan!$C$3:$C$204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Morazan!$I$4:$I$204</c:f>
              <c:numCache>
                <c:formatCode>0</c:formatCode>
                <c:ptCount val="201"/>
                <c:pt idx="1">
                  <c:v>0.13199924323642556</c:v>
                </c:pt>
                <c:pt idx="2">
                  <c:v>0.14502296197724945</c:v>
                </c:pt>
                <c:pt idx="3">
                  <c:v>0.15933164159985699</c:v>
                </c:pt>
                <c:pt idx="4">
                  <c:v>0.1750520550580224</c:v>
                </c:pt>
                <c:pt idx="5">
                  <c:v>0.19232348149837317</c:v>
                </c:pt>
                <c:pt idx="6">
                  <c:v>0.21129893977261857</c:v>
                </c:pt>
                <c:pt idx="7">
                  <c:v>0.23214654356653658</c:v>
                </c:pt>
                <c:pt idx="8">
                  <c:v>0.25505099012661958</c:v>
                </c:pt>
                <c:pt idx="9">
                  <c:v>0.28021519574353904</c:v>
                </c:pt>
                <c:pt idx="10">
                  <c:v>0.30786209244530216</c:v>
                </c:pt>
                <c:pt idx="11">
                  <c:v>0.33823660177337034</c:v>
                </c:pt>
                <c:pt idx="12">
                  <c:v>0.37160780307438757</c:v>
                </c:pt>
                <c:pt idx="13">
                  <c:v>0.40827131545199907</c:v>
                </c:pt>
                <c:pt idx="14">
                  <c:v>0.44855191440228132</c:v>
                </c:pt>
                <c:pt idx="15">
                  <c:v>0.49280640621868932</c:v>
                </c:pt>
                <c:pt idx="16">
                  <c:v>0.54142678551584622</c:v>
                </c:pt>
                <c:pt idx="17">
                  <c:v>0.59484370370524431</c:v>
                </c:pt>
                <c:pt idx="18">
                  <c:v>0.65353027898115612</c:v>
                </c:pt>
                <c:pt idx="19">
                  <c:v>0.71800628136481515</c:v>
                </c:pt>
                <c:pt idx="20">
                  <c:v>0.7888427296344519</c:v>
                </c:pt>
                <c:pt idx="21">
                  <c:v>0.86666694056554561</c:v>
                </c:pt>
                <c:pt idx="22">
                  <c:v>0.95216807484968358</c:v>
                </c:pt>
                <c:pt idx="23">
                  <c:v>1.0461032283843958</c:v>
                </c:pt>
                <c:pt idx="24">
                  <c:v>1.1493041223658169</c:v>
                </c:pt>
                <c:pt idx="25">
                  <c:v>1.2626844508097543</c:v>
                </c:pt>
                <c:pt idx="26">
                  <c:v>1.3872479498167325</c:v>
                </c:pt>
                <c:pt idx="27">
                  <c:v>1.5240972591284749</c:v>
                </c:pt>
                <c:pt idx="28">
                  <c:v>1.6744436533465035</c:v>
                </c:pt>
                <c:pt idx="29">
                  <c:v>1.8396177276516013</c:v>
                </c:pt>
                <c:pt idx="30">
                  <c:v>2.0210811310334846</c:v>
                </c:pt>
                <c:pt idx="31">
                  <c:v>2.2204394489755068</c:v>
                </c:pt>
                <c:pt idx="32">
                  <c:v>2.4394563473064346</c:v>
                </c:pt>
                <c:pt idx="33">
                  <c:v>2.6800690996020951</c:v>
                </c:pt>
                <c:pt idx="34">
                  <c:v>2.9444056321708216</c:v>
                </c:pt>
                <c:pt idx="35">
                  <c:v>3.2348032333697638</c:v>
                </c:pt>
                <c:pt idx="36">
                  <c:v>3.5538290878612036</c:v>
                </c:pt>
                <c:pt idx="37">
                  <c:v>3.9043028115206164</c:v>
                </c:pt>
                <c:pt idx="38">
                  <c:v>4.289321179147545</c:v>
                </c:pt>
                <c:pt idx="39">
                  <c:v>4.7122852550068837</c:v>
                </c:pt>
                <c:pt idx="40">
                  <c:v>5.1769301556456755</c:v>
                </c:pt>
                <c:pt idx="41">
                  <c:v>5.6873576954953844</c:v>
                </c:pt>
                <c:pt idx="42">
                  <c:v>6.2480721885892789</c:v>
                </c:pt>
                <c:pt idx="43">
                  <c:v>6.8640197044060134</c:v>
                </c:pt>
                <c:pt idx="44">
                  <c:v>7.5406311024976098</c:v>
                </c:pt>
                <c:pt idx="45">
                  <c:v>8.2838691992709776</c:v>
                </c:pt>
                <c:pt idx="46">
                  <c:v>9.1002804511550224</c:v>
                </c:pt>
                <c:pt idx="47">
                  <c:v>9.9970515714742181</c:v>
                </c:pt>
                <c:pt idx="48">
                  <c:v>10.982071533716779</c:v>
                </c:pt>
                <c:pt idx="49">
                  <c:v>12.063999451556869</c:v>
                </c:pt>
                <c:pt idx="50">
                  <c:v>13.252338865951486</c:v>
                </c:pt>
                <c:pt idx="51">
                  <c:v>14.557519011822825</c:v>
                </c:pt>
                <c:pt idx="52">
                  <c:v>15.990983681129249</c:v>
                </c:pt>
                <c:pt idx="53">
                  <c:v>17.565288345316759</c:v>
                </c:pt>
                <c:pt idx="54">
                  <c:v>19.294206247918265</c:v>
                </c:pt>
                <c:pt idx="55">
                  <c:v>21.192844226994751</c:v>
                </c:pt>
                <c:pt idx="56">
                  <c:v>23.277769076593902</c:v>
                </c:pt>
                <c:pt idx="57">
                  <c:v>25.567145305646967</c:v>
                </c:pt>
                <c:pt idx="58">
                  <c:v>28.080885200700756</c:v>
                </c:pt>
                <c:pt idx="59">
                  <c:v>30.840812144260415</c:v>
                </c:pt>
                <c:pt idx="60">
                  <c:v>33.87083818161441</c:v>
                </c:pt>
                <c:pt idx="61">
                  <c:v>37.19715686370494</c:v>
                </c:pt>
                <c:pt idx="62">
                  <c:v>40.848452419249476</c:v>
                </c:pt>
                <c:pt idx="63">
                  <c:v>44.856126322639462</c:v>
                </c:pt>
                <c:pt idx="64">
                  <c:v>49.254542321113647</c:v>
                </c:pt>
                <c:pt idx="65">
                  <c:v>54.081290960404232</c:v>
                </c:pt>
                <c:pt idx="66">
                  <c:v>59.377474596503717</c:v>
                </c:pt>
                <c:pt idx="67">
                  <c:v>65.188013795164707</c:v>
                </c:pt>
                <c:pt idx="68">
                  <c:v>71.561975891529357</c:v>
                </c:pt>
                <c:pt idx="69">
                  <c:v>78.552926299481143</c:v>
                </c:pt>
                <c:pt idx="70">
                  <c:v>86.21930291154186</c:v>
                </c:pt>
                <c:pt idx="71">
                  <c:v>94.624813600742741</c:v>
                </c:pt>
                <c:pt idx="72">
                  <c:v>103.83885640864742</c:v>
                </c:pt>
                <c:pt idx="73">
                  <c:v>113.93696145843846</c:v>
                </c:pt>
                <c:pt idx="74">
                  <c:v>125.00125294530612</c:v>
                </c:pt>
                <c:pt idx="75">
                  <c:v>137.1209287013377</c:v>
                </c:pt>
                <c:pt idx="76">
                  <c:v>150.39275377793018</c:v>
                </c:pt>
                <c:pt idx="77">
                  <c:v>164.92156320064339</c:v>
                </c:pt>
                <c:pt idx="78">
                  <c:v>180.82076749054076</c:v>
                </c:pt>
                <c:pt idx="79">
                  <c:v>198.21285266967385</c:v>
                </c:pt>
                <c:pt idx="80">
                  <c:v>217.2298642302876</c:v>
                </c:pt>
                <c:pt idx="81">
                  <c:v>238.01386189878272</c:v>
                </c:pt>
                <c:pt idx="82">
                  <c:v>260.71732891663811</c:v>
                </c:pt>
                <c:pt idx="83">
                  <c:v>285.50351594261912</c:v>
                </c:pt>
                <c:pt idx="84">
                  <c:v>312.54669550930822</c:v>
                </c:pt>
                <c:pt idx="85">
                  <c:v>342.03229820679917</c:v>
                </c:pt>
                <c:pt idx="86">
                  <c:v>374.15689639680909</c:v>
                </c:pt>
                <c:pt idx="87">
                  <c:v>409.12799528418554</c:v>
                </c:pt>
                <c:pt idx="88">
                  <c:v>447.1635846261151</c:v>
                </c:pt>
                <c:pt idx="89">
                  <c:v>488.4913973255376</c:v>
                </c:pt>
                <c:pt idx="90">
                  <c:v>533.34781378077753</c:v>
                </c:pt>
                <c:pt idx="91">
                  <c:v>581.97634337753686</c:v>
                </c:pt>
                <c:pt idx="92">
                  <c:v>634.62560724712137</c:v>
                </c:pt>
                <c:pt idx="93">
                  <c:v>691.54673984234989</c:v>
                </c:pt>
                <c:pt idx="94">
                  <c:v>752.99012162486872</c:v>
                </c:pt>
                <c:pt idx="95">
                  <c:v>819.20135202531299</c:v>
                </c:pt>
                <c:pt idx="96">
                  <c:v>890.41637185146419</c:v>
                </c:pt>
                <c:pt idx="97">
                  <c:v>966.85564872608859</c:v>
                </c:pt>
                <c:pt idx="98">
                  <c:v>1048.7173494108911</c:v>
                </c:pt>
                <c:pt idx="99">
                  <c:v>1136.1694407000457</c:v>
                </c:pt>
                <c:pt idx="100">
                  <c:v>1229.3406877859961</c:v>
                </c:pt>
                <c:pt idx="101">
                  <c:v>1328.3105575098296</c:v>
                </c:pt>
                <c:pt idx="102">
                  <c:v>1433.0980855090427</c:v>
                </c:pt>
                <c:pt idx="103">
                  <c:v>1543.6498324432848</c:v>
                </c:pt>
                <c:pt idx="104">
                  <c:v>1659.8271360596279</c:v>
                </c:pt>
                <c:pt idx="105">
                  <c:v>1781.3929626807635</c:v>
                </c:pt>
                <c:pt idx="106">
                  <c:v>1907.9987721128859</c:v>
                </c:pt>
                <c:pt idx="107">
                  <c:v>2039.1719303478476</c:v>
                </c:pt>
                <c:pt idx="108">
                  <c:v>2174.3043286839174</c:v>
                </c:pt>
                <c:pt idx="109">
                  <c:v>2312.6429870607872</c:v>
                </c:pt>
                <c:pt idx="110">
                  <c:v>2453.2835215094551</c:v>
                </c:pt>
                <c:pt idx="111">
                  <c:v>2595.1674258020207</c:v>
                </c:pt>
                <c:pt idx="112">
                  <c:v>2737.0841386055363</c:v>
                </c:pt>
                <c:pt idx="113">
                  <c:v>2877.6788217760877</c:v>
                </c:pt>
                <c:pt idx="114">
                  <c:v>3015.4666461025786</c:v>
                </c:pt>
                <c:pt idx="115">
                  <c:v>3148.8541549121546</c:v>
                </c:pt>
                <c:pt idx="116">
                  <c:v>3276.1679476260292</c:v>
                </c:pt>
                <c:pt idx="117">
                  <c:v>3395.6904991046054</c:v>
                </c:pt>
                <c:pt idx="118">
                  <c:v>3505.7024241007821</c:v>
                </c:pt>
                <c:pt idx="119">
                  <c:v>3604.5299417376568</c:v>
                </c:pt>
                <c:pt idx="120">
                  <c:v>3690.5957393343133</c:v>
                </c:pt>
                <c:pt idx="121">
                  <c:v>3762.4709360893471</c:v>
                </c:pt>
                <c:pt idx="122">
                  <c:v>3818.925468475763</c:v>
                </c:pt>
                <c:pt idx="123">
                  <c:v>3858.9740211504513</c:v>
                </c:pt>
                <c:pt idx="124">
                  <c:v>3881.9146574685069</c:v>
                </c:pt>
                <c:pt idx="125">
                  <c:v>3887.3575877719068</c:v>
                </c:pt>
                <c:pt idx="126">
                  <c:v>3875.2420473467032</c:v>
                </c:pt>
                <c:pt idx="127">
                  <c:v>3845.8400023932832</c:v>
                </c:pt>
                <c:pt idx="128">
                  <c:v>3799.7462941076174</c:v>
                </c:pt>
                <c:pt idx="129">
                  <c:v>3737.8557780177466</c:v>
                </c:pt>
                <c:pt idx="130">
                  <c:v>3661.3289179361354</c:v>
                </c:pt>
                <c:pt idx="131">
                  <c:v>3571.5480558375134</c:v>
                </c:pt>
                <c:pt idx="132">
                  <c:v>3470.0671241325299</c:v>
                </c:pt>
                <c:pt idx="133">
                  <c:v>3358.5578484092039</c:v>
                </c:pt>
                <c:pt idx="134">
                  <c:v>3238.7554951234483</c:v>
                </c:pt>
                <c:pt idx="135">
                  <c:v>3112.4069726101411</c:v>
                </c:pt>
                <c:pt idx="136">
                  <c:v>2981.223645720559</c:v>
                </c:pt>
                <c:pt idx="137">
                  <c:v>2846.8406425908042</c:v>
                </c:pt>
                <c:pt idx="138">
                  <c:v>2710.7837906973255</c:v>
                </c:pt>
                <c:pt idx="139">
                  <c:v>2574.444687791568</c:v>
                </c:pt>
                <c:pt idx="140">
                  <c:v>2439.0638477993666</c:v>
                </c:pt>
                <c:pt idx="141">
                  <c:v>2305.7214008630372</c:v>
                </c:pt>
                <c:pt idx="142">
                  <c:v>2175.3344900955049</c:v>
                </c:pt>
                <c:pt idx="143">
                  <c:v>2048.6602979818927</c:v>
                </c:pt>
                <c:pt idx="144">
                  <c:v>1926.3035420822314</c:v>
                </c:pt>
                <c:pt idx="145">
                  <c:v>1808.7272833928291</c:v>
                </c:pt>
                <c:pt idx="146">
                  <c:v>1696.2659677663514</c:v>
                </c:pt>
                <c:pt idx="147">
                  <c:v>1589.1397469878452</c:v>
                </c:pt>
                <c:pt idx="148">
                  <c:v>1487.4692794424145</c:v>
                </c:pt>
                <c:pt idx="149">
                  <c:v>1391.2903725705896</c:v>
                </c:pt>
                <c:pt idx="150">
                  <c:v>1300.5679867372423</c:v>
                </c:pt>
                <c:pt idx="151">
                  <c:v>1215.2092634060316</c:v>
                </c:pt>
                <c:pt idx="152">
                  <c:v>1135.0753641849647</c:v>
                </c:pt>
                <c:pt idx="153">
                  <c:v>1059.9920091083179</c:v>
                </c:pt>
                <c:pt idx="154">
                  <c:v>989.75868249007101</c:v>
                </c:pt>
                <c:pt idx="155">
                  <c:v>924.15653442469545</c:v>
                </c:pt>
                <c:pt idx="156">
                  <c:v>862.95504802933681</c:v>
                </c:pt>
                <c:pt idx="157">
                  <c:v>805.91756972545909</c:v>
                </c:pt>
                <c:pt idx="158">
                  <c:v>752.80581519650525</c:v>
                </c:pt>
                <c:pt idx="159">
                  <c:v>703.38346988528133</c:v>
                </c:pt>
                <c:pt idx="160">
                  <c:v>657.41900243671</c:v>
                </c:pt>
                <c:pt idx="161">
                  <c:v>614.68780438820363</c:v>
                </c:pt>
                <c:pt idx="162">
                  <c:v>574.97376130871714</c:v>
                </c:pt>
                <c:pt idx="163">
                  <c:v>538.07035076995578</c:v>
                </c:pt>
                <c:pt idx="164">
                  <c:v>503.7813519587221</c:v>
                </c:pt>
                <c:pt idx="165">
                  <c:v>471.92124109691957</c:v>
                </c:pt>
                <c:pt idx="166">
                  <c:v>442.31533659525348</c:v>
                </c:pt>
                <c:pt idx="167">
                  <c:v>414.79974832707501</c:v>
                </c:pt>
                <c:pt idx="168">
                  <c:v>389.22117673948992</c:v>
                </c:pt>
                <c:pt idx="169">
                  <c:v>365.4365997947454</c:v>
                </c:pt>
                <c:pt idx="170">
                  <c:v>343.31287896453921</c:v>
                </c:pt>
                <c:pt idx="171">
                  <c:v>322.72630964754717</c:v>
                </c:pt>
                <c:pt idx="172">
                  <c:v>303.5621363827708</c:v>
                </c:pt>
                <c:pt idx="173">
                  <c:v>285.7140490097417</c:v>
                </c:pt>
                <c:pt idx="174">
                  <c:v>269.08367239613688</c:v>
                </c:pt>
                <c:pt idx="175">
                  <c:v>253.58005942857991</c:v>
                </c:pt>
                <c:pt idx="176">
                  <c:v>239.11919456143738</c:v>
                </c:pt>
                <c:pt idx="177">
                  <c:v>225.62351326532615</c:v>
                </c:pt>
                <c:pt idx="178">
                  <c:v>213.02144114307004</c:v>
                </c:pt>
                <c:pt idx="179">
                  <c:v>201.24695522490074</c:v>
                </c:pt>
                <c:pt idx="180">
                  <c:v>190.23916896335021</c:v>
                </c:pt>
                <c:pt idx="181">
                  <c:v>179.94194167536884</c:v>
                </c:pt>
                <c:pt idx="182">
                  <c:v>170.30351258525343</c:v>
                </c:pt>
                <c:pt idx="183">
                  <c:v>161.27615917357426</c:v>
                </c:pt>
                <c:pt idx="184">
                  <c:v>152.81587920637483</c:v>
                </c:pt>
                <c:pt idx="185">
                  <c:v>144.88209558208027</c:v>
                </c:pt>
                <c:pt idx="186">
                  <c:v>137.43738297141229</c:v>
                </c:pt>
                <c:pt idx="187">
                  <c:v>130.44721512222412</c:v>
                </c:pt>
                <c:pt idx="188">
                  <c:v>123.87973164350082</c:v>
                </c:pt>
                <c:pt idx="189">
                  <c:v>117.70552306022374</c:v>
                </c:pt>
                <c:pt idx="190">
                  <c:v>111.89743293481497</c:v>
                </c:pt>
                <c:pt idx="191">
                  <c:v>106.43037587458915</c:v>
                </c:pt>
                <c:pt idx="192">
                  <c:v>101.28117028257712</c:v>
                </c:pt>
                <c:pt idx="193">
                  <c:v>96.428384756914127</c:v>
                </c:pt>
                <c:pt idx="194">
                  <c:v>91.85219709830848</c:v>
                </c:pt>
                <c:pt idx="195">
                  <c:v>87.534264943291717</c:v>
                </c:pt>
                <c:pt idx="196">
                  <c:v>83.457607100962903</c:v>
                </c:pt>
                <c:pt idx="197">
                  <c:v>79.606494731251644</c:v>
                </c:pt>
                <c:pt idx="198">
                  <c:v>75.966351562190511</c:v>
                </c:pt>
                <c:pt idx="199">
                  <c:v>72.523662401479086</c:v>
                </c:pt>
                <c:pt idx="200">
                  <c:v>69.265889253159983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9-4D5A-957F-12584FD286E2}"/>
            </c:ext>
          </c:extLst>
        </c:ser>
        <c:ser>
          <c:idx val="1"/>
          <c:order val="1"/>
          <c:tx>
            <c:strRef>
              <c:f>Morazan!$J$3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Morazan!$C$3:$C$204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Morazan!$J$4:$J$204</c:f>
              <c:numCache>
                <c:formatCode>0</c:formatCode>
                <c:ptCount val="201"/>
                <c:pt idx="1">
                  <c:v>2.9666666666666664E-2</c:v>
                </c:pt>
                <c:pt idx="2">
                  <c:v>3.2593755327125065E-2</c:v>
                </c:pt>
                <c:pt idx="3">
                  <c:v>3.580964468821262E-2</c:v>
                </c:pt>
                <c:pt idx="4">
                  <c:v>3.934282856606796E-2</c:v>
                </c:pt>
                <c:pt idx="5">
                  <c:v>4.3224611913920359E-2</c:v>
                </c:pt>
                <c:pt idx="6">
                  <c:v>4.7489388134574748E-2</c:v>
                </c:pt>
                <c:pt idx="7">
                  <c:v>5.2174943743343277E-2</c:v>
                </c:pt>
                <c:pt idx="8">
                  <c:v>5.7322793077705755E-2</c:v>
                </c:pt>
                <c:pt idx="9">
                  <c:v>6.2978546015538608E-2</c:v>
                </c:pt>
                <c:pt idx="10">
                  <c:v>6.9192311955412311E-2</c:v>
                </c:pt>
                <c:pt idx="11">
                  <c:v>7.6019143632775857E-2</c:v>
                </c:pt>
                <c:pt idx="12">
                  <c:v>8.3519524697626649E-2</c:v>
                </c:pt>
                <c:pt idx="13">
                  <c:v>9.1759905365579264E-2</c:v>
                </c:pt>
                <c:pt idx="14">
                  <c:v>0.10081329087846927</c:v>
                </c:pt>
                <c:pt idx="15">
                  <c:v>0.11075988797645464</c:v>
                </c:pt>
                <c:pt idx="16">
                  <c:v>0.12168781509506059</c:v>
                </c:pt>
                <c:pt idx="17">
                  <c:v>0.13369388256219536</c:v>
                </c:pt>
                <c:pt idx="18">
                  <c:v>0.1468844496867111</c:v>
                </c:pt>
                <c:pt idx="19">
                  <c:v>0.16137636630692839</c:v>
                </c:pt>
                <c:pt idx="20">
                  <c:v>0.17729800711052027</c:v>
                </c:pt>
                <c:pt idx="21">
                  <c:v>0.19479040785265836</c:v>
                </c:pt>
                <c:pt idx="22">
                  <c:v>0.21400851349434757</c:v>
                </c:pt>
                <c:pt idx="23">
                  <c:v>0.23512254926507659</c:v>
                </c:pt>
                <c:pt idx="24">
                  <c:v>0.25831952673164443</c:v>
                </c:pt>
                <c:pt idx="25">
                  <c:v>0.28380489813744225</c:v>
                </c:pt>
                <c:pt idx="26">
                  <c:v>0.31180437357355018</c:v>
                </c:pt>
                <c:pt idx="27">
                  <c:v>0.34256591696566152</c:v>
                </c:pt>
                <c:pt idx="28">
                  <c:v>0.37636193842095095</c:v>
                </c:pt>
                <c:pt idx="29">
                  <c:v>0.41349170218953218</c:v>
                </c:pt>
                <c:pt idx="30">
                  <c:v>0.45428397137021198</c:v>
                </c:pt>
                <c:pt idx="31">
                  <c:v>0.49909991254519831</c:v>
                </c:pt>
                <c:pt idx="32">
                  <c:v>0.54833628577996518</c:v>
                </c:pt>
                <c:pt idx="33">
                  <c:v>0.60242894789072388</c:v>
                </c:pt>
                <c:pt idx="34">
                  <c:v>0.66185669958256199</c:v>
                </c:pt>
                <c:pt idx="35">
                  <c:v>0.72714551001754424</c:v>
                </c:pt>
                <c:pt idx="36">
                  <c:v>0.79887315560692906</c:v>
                </c:pt>
                <c:pt idx="37">
                  <c:v>0.87767431335991375</c:v>
                </c:pt>
                <c:pt idx="38">
                  <c:v>0.96424615298969507</c:v>
                </c:pt>
                <c:pt idx="39">
                  <c:v>1.0593544762047489</c:v>
                </c:pt>
                <c:pt idx="40">
                  <c:v>1.163840456229795</c:v>
                </c:pt>
                <c:pt idx="41">
                  <c:v>1.2786280356396238</c:v>
                </c:pt>
                <c:pt idx="42">
                  <c:v>1.4047320460846662</c:v>
                </c:pt>
                <c:pt idx="43">
                  <c:v>1.5432671194766592</c:v>
                </c:pt>
                <c:pt idx="44">
                  <c:v>1.6954574667248152</c:v>
                </c:pt>
                <c:pt idx="45">
                  <c:v>1.862647607208084</c:v>
                </c:pt>
                <c:pt idx="46">
                  <c:v>2.0463141398795197</c:v>
                </c:pt>
                <c:pt idx="47">
                  <c:v>2.2480786552678023</c:v>
                </c:pt>
                <c:pt idx="48">
                  <c:v>2.4697218967126102</c:v>
                </c:pt>
                <c:pt idx="49">
                  <c:v>2.713199288989121</c:v>
                </c:pt>
                <c:pt idx="50">
                  <c:v>2.9806579630856707</c:v>
                </c:pt>
                <c:pt idx="51">
                  <c:v>3.2744554173393756</c:v>
                </c:pt>
                <c:pt idx="52">
                  <c:v>3.5971799674454727</c:v>
                </c:pt>
                <c:pt idx="53">
                  <c:v>3.9516731510707919</c:v>
                </c:pt>
                <c:pt idx="54">
                  <c:v>4.3410542669461627</c:v>
                </c:pt>
                <c:pt idx="55">
                  <c:v>4.7687472434028662</c:v>
                </c:pt>
                <c:pt idx="56">
                  <c:v>5.2385100473569475</c:v>
                </c:pt>
                <c:pt idx="57">
                  <c:v>5.7544668617173347</c:v>
                </c:pt>
                <c:pt idx="58">
                  <c:v>6.3211432770609504</c:v>
                </c:pt>
                <c:pt idx="59">
                  <c:v>6.9435047621130401</c:v>
                </c:pt>
                <c:pt idx="60">
                  <c:v>7.6269986969889993</c:v>
                </c:pt>
                <c:pt idx="61">
                  <c:v>8.3776002731439263</c:v>
                </c:pt>
                <c:pt idx="62">
                  <c:v>9.2018625843290405</c:v>
                </c:pt>
                <c:pt idx="63">
                  <c:v>10.106971253289142</c:v>
                </c:pt>
                <c:pt idx="64">
                  <c:v>11.100803959084475</c:v>
                </c:pt>
                <c:pt idx="65">
                  <c:v>12.191995249308031</c:v>
                </c:pt>
                <c:pt idx="66">
                  <c:v>13.390007039489754</c:v>
                </c:pt>
                <c:pt idx="67">
                  <c:v>14.705205217869706</c:v>
                </c:pt>
                <c:pt idx="68">
                  <c:v>16.148942786530601</c:v>
                </c:pt>
                <c:pt idx="69">
                  <c:v>17.733649978428286</c:v>
                </c:pt>
                <c:pt idx="70">
                  <c:v>19.472931792698617</c:v>
                </c:pt>
                <c:pt idx="71">
                  <c:v>21.381673385984403</c:v>
                </c:pt>
                <c:pt idx="72">
                  <c:v>23.476153743273624</c:v>
                </c:pt>
                <c:pt idx="73">
                  <c:v>25.774168025287711</c:v>
                </c:pt>
                <c:pt idx="74">
                  <c:v>28.295158947711791</c:v>
                </c:pt>
                <c:pt idx="75">
                  <c:v>31.060357486832139</c:v>
                </c:pt>
                <c:pt idx="76">
                  <c:v>34.092933122077426</c:v>
                </c:pt>
                <c:pt idx="77">
                  <c:v>37.418153713420104</c:v>
                </c:pt>
                <c:pt idx="78">
                  <c:v>41.063554964591859</c:v>
                </c:pt>
                <c:pt idx="79">
                  <c:v>45.059119234658162</c:v>
                </c:pt>
                <c:pt idx="80">
                  <c:v>49.437463222703215</c:v>
                </c:pt>
                <c:pt idx="81">
                  <c:v>54.23403375411165</c:v>
                </c:pt>
                <c:pt idx="82">
                  <c:v>59.487310531971808</c:v>
                </c:pt>
                <c:pt idx="83">
                  <c:v>65.239014272099695</c:v>
                </c:pt>
                <c:pt idx="84">
                  <c:v>71.534318102660748</c:v>
                </c:pt>
                <c:pt idx="85">
                  <c:v>78.422059466014872</c:v>
                </c:pt>
                <c:pt idx="86">
                  <c:v>85.954948997282756</c:v>
                </c:pt>
                <c:pt idx="87">
                  <c:v>94.189771957145311</c:v>
                </c:pt>
                <c:pt idx="88">
                  <c:v>103.18757675200465</c:v>
                </c:pt>
                <c:pt idx="89">
                  <c:v>113.0138438708459</c:v>
                </c:pt>
                <c:pt idx="90">
                  <c:v>123.73862719580863</c:v>
                </c:pt>
                <c:pt idx="91">
                  <c:v>135.43665809811142</c:v>
                </c:pt>
                <c:pt idx="92">
                  <c:v>148.1874010150413</c:v>
                </c:pt>
                <c:pt idx="93">
                  <c:v>162.07504732953785</c:v>
                </c:pt>
                <c:pt idx="94">
                  <c:v>177.18843236720966</c:v>
                </c:pt>
                <c:pt idx="95">
                  <c:v>193.62085822984045</c:v>
                </c:pt>
                <c:pt idx="96">
                  <c:v>211.46980306559672</c:v>
                </c:pt>
                <c:pt idx="97">
                  <c:v>230.83649532833698</c:v>
                </c:pt>
                <c:pt idx="98">
                  <c:v>251.82532972959973</c:v>
                </c:pt>
                <c:pt idx="99">
                  <c:v>274.54310010446954</c:v>
                </c:pt>
                <c:pt idx="100">
                  <c:v>299.09802350842187</c:v>
                </c:pt>
                <c:pt idx="101">
                  <c:v>325.59852979579239</c:v>
                </c:pt>
                <c:pt idx="102">
                  <c:v>354.15179200872421</c:v>
                </c:pt>
                <c:pt idx="103">
                  <c:v>384.86197547853493</c:v>
                </c:pt>
                <c:pt idx="104">
                  <c:v>417.82818799173458</c:v>
                </c:pt>
                <c:pt idx="105">
                  <c:v>453.14212009511243</c:v>
                </c:pt>
                <c:pt idx="106">
                  <c:v>490.88537398480474</c:v>
                </c:pt>
                <c:pt idx="107">
                  <c:v>531.12649175799345</c:v>
                </c:pt>
                <c:pt idx="108">
                  <c:v>573.91770929971324</c:v>
                </c:pt>
                <c:pt idx="109">
                  <c:v>619.29148074067905</c:v>
                </c:pt>
                <c:pt idx="110">
                  <c:v>667.256839998793</c:v>
                </c:pt>
                <c:pt idx="111">
                  <c:v>717.79568980361387</c:v>
                </c:pt>
                <c:pt idx="112">
                  <c:v>770.85913377562008</c:v>
                </c:pt>
                <c:pt idx="113">
                  <c:v>826.36399209506374</c:v>
                </c:pt>
                <c:pt idx="114">
                  <c:v>884.1896640712522</c:v>
                </c:pt>
                <c:pt idx="115">
                  <c:v>944.17551910325358</c:v>
                </c:pt>
                <c:pt idx="116">
                  <c:v>1006.119008395539</c:v>
                </c:pt>
                <c:pt idx="117">
                  <c:v>1069.7746905619267</c:v>
                </c:pt>
                <c:pt idx="118">
                  <c:v>1134.8543523499657</c:v>
                </c:pt>
                <c:pt idx="119">
                  <c:v>1201.0283791866232</c:v>
                </c:pt>
                <c:pt idx="120">
                  <c:v>1267.9284881519529</c:v>
                </c:pt>
                <c:pt idx="121">
                  <c:v>1335.1518788138055</c:v>
                </c:pt>
                <c:pt idx="122">
                  <c:v>1402.2667872906627</c:v>
                </c:pt>
                <c:pt idx="123">
                  <c:v>1468.819349945755</c:v>
                </c:pt>
                <c:pt idx="124">
                  <c:v>1534.3416009083599</c:v>
                </c:pt>
                <c:pt idx="125">
                  <c:v>1598.3603490496471</c:v>
                </c:pt>
                <c:pt idx="126">
                  <c:v>1660.4066125185589</c:v>
                </c:pt>
                <c:pt idx="127">
                  <c:v>1720.0252395058924</c:v>
                </c:pt>
                <c:pt idx="128">
                  <c:v>1776.78431826003</c:v>
                </c:pt>
                <c:pt idx="129">
                  <c:v>1830.2839810432213</c:v>
                </c:pt>
                <c:pt idx="130">
                  <c:v>1880.1642364229738</c:v>
                </c:pt>
                <c:pt idx="131">
                  <c:v>1926.1115197743131</c:v>
                </c:pt>
                <c:pt idx="132">
                  <c:v>1967.8637281050153</c:v>
                </c:pt>
                <c:pt idx="133">
                  <c:v>2005.213595184113</c:v>
                </c:pt>
                <c:pt idx="134">
                  <c:v>2038.0103581807825</c:v>
                </c:pt>
                <c:pt idx="135">
                  <c:v>2066.1597592634189</c:v>
                </c:pt>
                <c:pt idx="136">
                  <c:v>2089.6225074754057</c:v>
                </c:pt>
                <c:pt idx="137">
                  <c:v>2108.4113920492687</c:v>
                </c:pt>
                <c:pt idx="138">
                  <c:v>2122.5872847111536</c:v>
                </c:pt>
                <c:pt idx="139">
                  <c:v>2132.2542943448025</c:v>
                </c:pt>
                <c:pt idx="140">
                  <c:v>2137.5543436044586</c:v>
                </c:pt>
                <c:pt idx="141">
                  <c:v>2138.661426302358</c:v>
                </c:pt>
                <c:pt idx="142">
                  <c:v>2135.7757803178833</c:v>
                </c:pt>
                <c:pt idx="143">
                  <c:v>2129.1181775134532</c:v>
                </c:pt>
                <c:pt idx="144">
                  <c:v>2118.9244937698008</c:v>
                </c:pt>
                <c:pt idx="145">
                  <c:v>2105.4406823925806</c:v>
                </c:pt>
                <c:pt idx="146">
                  <c:v>2088.9182357201485</c:v>
                </c:pt>
                <c:pt idx="147">
                  <c:v>2069.6101849065449</c:v>
                </c:pt>
                <c:pt idx="148">
                  <c:v>2047.7676579036329</c:v>
                </c:pt>
                <c:pt idx="149">
                  <c:v>2023.6369912636367</c:v>
                </c:pt>
                <c:pt idx="150">
                  <c:v>1997.4573726077758</c:v>
                </c:pt>
                <c:pt idx="151">
                  <c:v>1969.4589771273875</c:v>
                </c:pt>
                <c:pt idx="152">
                  <c:v>1939.8615527041868</c:v>
                </c:pt>
                <c:pt idx="153">
                  <c:v>1908.8734034182012</c:v>
                </c:pt>
                <c:pt idx="154">
                  <c:v>1876.6907195744748</c:v>
                </c:pt>
                <c:pt idx="155">
                  <c:v>1843.4972031691977</c:v>
                </c:pt>
                <c:pt idx="156">
                  <c:v>1809.4639402514904</c:v>
                </c:pt>
                <c:pt idx="157">
                  <c:v>1774.7494753346446</c:v>
                </c:pt>
                <c:pt idx="158">
                  <c:v>1739.5000473920118</c:v>
                </c:pt>
                <c:pt idx="159">
                  <c:v>1703.849951663108</c:v>
                </c:pt>
                <c:pt idx="160">
                  <c:v>1667.9219962142677</c:v>
                </c:pt>
                <c:pt idx="161">
                  <c:v>1631.8280267460812</c:v>
                </c:pt>
                <c:pt idx="162">
                  <c:v>1595.6694973847286</c:v>
                </c:pt>
                <c:pt idx="163">
                  <c:v>1559.5380690573963</c:v>
                </c:pt>
                <c:pt idx="164">
                  <c:v>1523.516220494992</c:v>
                </c:pt>
                <c:pt idx="165">
                  <c:v>1487.6778599199345</c:v>
                </c:pt>
                <c:pt idx="166">
                  <c:v>1452.0889280751451</c:v>
                </c:pt>
                <c:pt idx="167">
                  <c:v>1416.8079854582995</c:v>
                </c:pt>
                <c:pt idx="168">
                  <c:v>1381.886778476726</c:v>
                </c:pt>
                <c:pt idx="169">
                  <c:v>1347.3707807707733</c:v>
                </c:pt>
                <c:pt idx="170">
                  <c:v>1313.2997072056583</c:v>
                </c:pt>
                <c:pt idx="171">
                  <c:v>1279.7079990414177</c:v>
                </c:pt>
                <c:pt idx="172">
                  <c:v>1246.625279592914</c:v>
                </c:pt>
                <c:pt idx="173">
                  <c:v>1214.0767803191727</c:v>
                </c:pt>
                <c:pt idx="174">
                  <c:v>1182.0837377624894</c:v>
                </c:pt>
                <c:pt idx="175">
                  <c:v>1150.6637621181585</c:v>
                </c:pt>
                <c:pt idx="176">
                  <c:v>1119.8311784772679</c:v>
                </c:pt>
                <c:pt idx="177">
                  <c:v>1089.5973419666818</c:v>
                </c:pt>
                <c:pt idx="178">
                  <c:v>1059.970928127997</c:v>
                </c:pt>
                <c:pt idx="179">
                  <c:v>1030.9581999443083</c:v>
                </c:pt>
                <c:pt idx="180">
                  <c:v>1002.5632529511701</c:v>
                </c:pt>
                <c:pt idx="181">
                  <c:v>974.78823986537714</c:v>
                </c:pt>
                <c:pt idx="182">
                  <c:v>947.63357613956725</c:v>
                </c:pt>
                <c:pt idx="183">
                  <c:v>921.09812780827747</c:v>
                </c:pt>
                <c:pt idx="184">
                  <c:v>895.17938293681755</c:v>
                </c:pt>
                <c:pt idx="185">
                  <c:v>869.87360792204595</c:v>
                </c:pt>
                <c:pt idx="186">
                  <c:v>845.17598982691277</c:v>
                </c:pt>
                <c:pt idx="187">
                  <c:v>821.08076586083428</c:v>
                </c:pt>
                <c:pt idx="188">
                  <c:v>797.58134104743249</c:v>
                </c:pt>
                <c:pt idx="189">
                  <c:v>774.67039505127525</c:v>
                </c:pt>
                <c:pt idx="190">
                  <c:v>752.33997906701939</c:v>
                </c:pt>
                <c:pt idx="191">
                  <c:v>730.58160360851832</c:v>
                </c:pt>
                <c:pt idx="192">
                  <c:v>709.38631797251389</c:v>
                </c:pt>
                <c:pt idx="193">
                  <c:v>688.74478209181325</c:v>
                </c:pt>
                <c:pt idx="194">
                  <c:v>668.64733143654121</c:v>
                </c:pt>
                <c:pt idx="195">
                  <c:v>649.08403556923963</c:v>
                </c:pt>
                <c:pt idx="196">
                  <c:v>630.04475091024926</c:v>
                </c:pt>
                <c:pt idx="197">
                  <c:v>611.51916822390297</c:v>
                </c:pt>
                <c:pt idx="198">
                  <c:v>593.49685529346652</c:v>
                </c:pt>
                <c:pt idx="199">
                  <c:v>575.96729521336272</c:v>
                </c:pt>
                <c:pt idx="200">
                  <c:v>558.91992069082778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9-4D5A-957F-12584FD286E2}"/>
            </c:ext>
          </c:extLst>
        </c:ser>
        <c:ser>
          <c:idx val="2"/>
          <c:order val="2"/>
          <c:tx>
            <c:strRef>
              <c:f>Morazan!$K$3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Morazan!$C$3:$C$204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Morazan!$K$4:$K$204</c:f>
              <c:numCache>
                <c:formatCode>0</c:formatCode>
                <c:ptCount val="201"/>
                <c:pt idx="1">
                  <c:v>3.6666666666666701E-3</c:v>
                </c:pt>
                <c:pt idx="2">
                  <c:v>4.0284416696446754E-3</c:v>
                </c:pt>
                <c:pt idx="3">
                  <c:v>4.4259111412397667E-3</c:v>
                </c:pt>
                <c:pt idx="4">
                  <c:v>4.8625967890645848E-3</c:v>
                </c:pt>
                <c:pt idx="5">
                  <c:v>5.3423677646418479E-3</c:v>
                </c:pt>
                <c:pt idx="6">
                  <c:v>5.8694749379811549E-3</c:v>
                </c:pt>
                <c:pt idx="7">
                  <c:v>6.4485885525480523E-3</c:v>
                </c:pt>
                <c:pt idx="8">
                  <c:v>7.0848395938737522E-3</c:v>
                </c:pt>
                <c:pt idx="9">
                  <c:v>7.7838652378755665E-3</c:v>
                </c:pt>
                <c:pt idx="10">
                  <c:v>8.5518587810060245E-3</c:v>
                </c:pt>
                <c:pt idx="11">
                  <c:v>9.3956244939385983E-3</c:v>
                </c:pt>
                <c:pt idx="12">
                  <c:v>1.0322637883976337E-2</c:v>
                </c:pt>
                <c:pt idx="13">
                  <c:v>1.134111189911655E-2</c:v>
                </c:pt>
                <c:pt idx="14">
                  <c:v>1.2460069659136663E-2</c:v>
                </c:pt>
                <c:pt idx="15">
                  <c:v>1.3689424356640474E-2</c:v>
                </c:pt>
                <c:pt idx="16">
                  <c:v>1.5040067034220986E-2</c:v>
                </c:pt>
                <c:pt idx="17">
                  <c:v>1.6523963013305061E-2</c:v>
                </c:pt>
                <c:pt idx="18">
                  <c:v>1.8154257826447459E-2</c:v>
                </c:pt>
                <c:pt idx="19">
                  <c:v>1.9945393588496785E-2</c:v>
                </c:pt>
                <c:pt idx="20">
                  <c:v>2.1913236833884551E-2</c:v>
                </c:pt>
                <c:pt idx="21">
                  <c:v>2.407521894808139E-2</c:v>
                </c:pt>
                <c:pt idx="22">
                  <c:v>2.645049043188568E-2</c:v>
                </c:pt>
                <c:pt idx="23">
                  <c:v>2.9060090358605E-2</c:v>
                </c:pt>
                <c:pt idx="24">
                  <c:v>3.1927132517394291E-2</c:v>
                </c:pt>
                <c:pt idx="25">
                  <c:v>3.5077009882155813E-2</c:v>
                </c:pt>
                <c:pt idx="26">
                  <c:v>3.8537619205719721E-2</c:v>
                </c:pt>
                <c:pt idx="27">
                  <c:v>4.2339607714857092E-2</c:v>
                </c:pt>
                <c:pt idx="28">
                  <c:v>4.6516644074499604E-2</c:v>
                </c:pt>
                <c:pt idx="29">
                  <c:v>5.1105716000953469E-2</c:v>
                </c:pt>
                <c:pt idx="30">
                  <c:v>5.6147457135644237E-2</c:v>
                </c:pt>
                <c:pt idx="31">
                  <c:v>6.1686506044912208E-2</c:v>
                </c:pt>
                <c:pt idx="32">
                  <c:v>6.7771900489658671E-2</c:v>
                </c:pt>
                <c:pt idx="33">
                  <c:v>7.4457510413460326E-2</c:v>
                </c:pt>
                <c:pt idx="34">
                  <c:v>8.1802513431552676E-2</c:v>
                </c:pt>
                <c:pt idx="35">
                  <c:v>8.9871916968460613E-2</c:v>
                </c:pt>
                <c:pt idx="36">
                  <c:v>9.8737131591867741E-2</c:v>
                </c:pt>
                <c:pt idx="37">
                  <c:v>0.1084766005276299</c:v>
                </c:pt>
                <c:pt idx="38">
                  <c:v>0.11917649081895119</c:v>
                </c:pt>
                <c:pt idx="39">
                  <c:v>0.13093145211519383</c:v>
                </c:pt>
                <c:pt idx="40">
                  <c:v>0.14384544964637933</c:v>
                </c:pt>
                <c:pt idx="41">
                  <c:v>0.15803267856220085</c:v>
                </c:pt>
                <c:pt idx="42">
                  <c:v>0.1736185674936106</c:v>
                </c:pt>
                <c:pt idx="43">
                  <c:v>0.1907408799353176</c:v>
                </c:pt>
                <c:pt idx="44">
                  <c:v>0.20955092285362908</c:v>
                </c:pt>
                <c:pt idx="45">
                  <c:v>0.23021487280099934</c:v>
                </c:pt>
                <c:pt idx="46">
                  <c:v>0.25291523077162631</c:v>
                </c:pt>
                <c:pt idx="47">
                  <c:v>0.27785241806680727</c:v>
                </c:pt>
                <c:pt idx="48">
                  <c:v>0.30524652655998585</c:v>
                </c:pt>
                <c:pt idx="49">
                  <c:v>0.3353392379649478</c:v>
                </c:pt>
                <c:pt idx="50">
                  <c:v>0.36839592802182486</c:v>
                </c:pt>
                <c:pt idx="51">
                  <c:v>0.4047079729295861</c:v>
                </c:pt>
                <c:pt idx="52">
                  <c:v>0.44459527687528361</c:v>
                </c:pt>
                <c:pt idx="53">
                  <c:v>0.48840904114358152</c:v>
                </c:pt>
                <c:pt idx="54">
                  <c:v>0.53653479703829043</c:v>
                </c:pt>
                <c:pt idx="55">
                  <c:v>0.58939572671271434</c:v>
                </c:pt>
                <c:pt idx="56">
                  <c:v>0.64745629798793791</c:v>
                </c:pt>
                <c:pt idx="57">
                  <c:v>0.71122624133585099</c:v>
                </c:pt>
                <c:pt idx="58">
                  <c:v>0.78126489941202826</c:v>
                </c:pt>
                <c:pt idx="59">
                  <c:v>0.85818598183419681</c:v>
                </c:pt>
                <c:pt idx="60">
                  <c:v>0.94266276030201201</c:v>
                </c:pt>
                <c:pt idx="61">
                  <c:v>1.0354337416245312</c:v>
                </c:pt>
                <c:pt idx="62">
                  <c:v>1.1373088587372984</c:v>
                </c:pt>
                <c:pt idx="63">
                  <c:v>1.2491762223166369</c:v>
                </c:pt>
                <c:pt idx="64">
                  <c:v>1.3720094780890937</c:v>
                </c:pt>
                <c:pt idx="65">
                  <c:v>1.5068758173302075</c:v>
                </c:pt>
                <c:pt idx="66">
                  <c:v>1.6549446902740164</c:v>
                </c:pt>
                <c:pt idx="67">
                  <c:v>1.8174972741187294</c:v>
                </c:pt>
                <c:pt idx="68">
                  <c:v>1.9959367488970428</c:v>
                </c:pt>
                <c:pt idx="69">
                  <c:v>2.1917994355360824</c:v>
                </c:pt>
                <c:pt idx="70">
                  <c:v>2.4067668507829776</c:v>
                </c:pt>
                <c:pt idx="71">
                  <c:v>2.6426787330991983</c:v>
                </c:pt>
                <c:pt idx="72">
                  <c:v>2.9015470918652824</c:v>
                </c:pt>
                <c:pt idx="73">
                  <c:v>3.1855713289681469</c:v>
                </c:pt>
                <c:pt idx="74">
                  <c:v>3.4971544766834834</c:v>
                </c:pt>
                <c:pt idx="75">
                  <c:v>3.8389205882601565</c:v>
                </c:pt>
                <c:pt idx="76">
                  <c:v>4.2137333072230563</c:v>
                </c:pt>
                <c:pt idx="77">
                  <c:v>4.6247156275013657</c:v>
                </c:pt>
                <c:pt idx="78">
                  <c:v>5.0752708383203471</c:v>
                </c:pt>
                <c:pt idx="79">
                  <c:v>5.5691046245083173</c:v>
                </c:pt>
                <c:pt idx="80">
                  <c:v>6.1102482634801785</c:v>
                </c:pt>
                <c:pt idx="81">
                  <c:v>6.7030828235418953</c:v>
                </c:pt>
                <c:pt idx="82">
                  <c:v>7.3523642230527022</c:v>
                </c:pt>
                <c:pt idx="83">
                  <c:v>8.0632489549786222</c:v>
                </c:pt>
                <c:pt idx="84">
                  <c:v>8.8413202149356049</c:v>
                </c:pt>
                <c:pt idx="85">
                  <c:v>9.6926140913052183</c:v>
                </c:pt>
                <c:pt idx="86">
                  <c:v>10.623645381686641</c:v>
                </c:pt>
                <c:pt idx="87">
                  <c:v>11.641432489085387</c:v>
                </c:pt>
                <c:pt idx="88">
                  <c:v>12.753520722157891</c:v>
                </c:pt>
                <c:pt idx="89">
                  <c:v>13.968003175048384</c:v>
                </c:pt>
                <c:pt idx="90">
                  <c:v>15.293538192740408</c:v>
                </c:pt>
                <c:pt idx="91">
                  <c:v>16.739362236845249</c:v>
                </c:pt>
                <c:pt idx="92">
                  <c:v>18.315296754668047</c:v>
                </c:pt>
                <c:pt idx="93">
                  <c:v>20.031747422751891</c:v>
                </c:pt>
                <c:pt idx="94">
                  <c:v>21.899693888082108</c:v>
                </c:pt>
                <c:pt idx="95">
                  <c:v>23.930667871103896</c:v>
                </c:pt>
                <c:pt idx="96">
                  <c:v>26.136717232826587</c:v>
                </c:pt>
                <c:pt idx="97">
                  <c:v>28.530353355187742</c:v>
                </c:pt>
                <c:pt idx="98">
                  <c:v>31.124478955343818</c:v>
                </c:pt>
                <c:pt idx="99">
                  <c:v>33.932293271338963</c:v>
                </c:pt>
                <c:pt idx="100">
                  <c:v>36.967171444861172</c:v>
                </c:pt>
                <c:pt idx="101">
                  <c:v>40.242514918581122</c:v>
                </c:pt>
                <c:pt idx="102">
                  <c:v>43.771569798831123</c:v>
                </c:pt>
                <c:pt idx="103">
                  <c:v>47.567210452403245</c:v>
                </c:pt>
                <c:pt idx="104">
                  <c:v>51.64168615628185</c:v>
                </c:pt>
                <c:pt idx="105">
                  <c:v>56.006329449957768</c:v>
                </c:pt>
                <c:pt idx="106">
                  <c:v>60.67122599812199</c:v>
                </c:pt>
                <c:pt idx="107">
                  <c:v>65.644847295931839</c:v>
                </c:pt>
                <c:pt idx="108">
                  <c:v>70.933649464009576</c:v>
                </c:pt>
                <c:pt idx="109">
                  <c:v>76.541643687050296</c:v>
                </c:pt>
                <c:pt idx="110">
                  <c:v>82.469946516704852</c:v>
                </c:pt>
                <c:pt idx="111">
                  <c:v>88.716321211682711</c:v>
                </c:pt>
                <c:pt idx="112">
                  <c:v>95.274724399234032</c:v>
                </c:pt>
                <c:pt idx="113">
                  <c:v>102.13487542747988</c:v>
                </c:pt>
                <c:pt idx="114">
                  <c:v>109.28186859307623</c:v>
                </c:pt>
                <c:pt idx="115">
                  <c:v>116.69585067568316</c:v>
                </c:pt>
                <c:pt idx="116">
                  <c:v>124.35178755450494</c:v>
                </c:pt>
                <c:pt idx="117">
                  <c:v>132.21934377731691</c:v>
                </c:pt>
                <c:pt idx="118">
                  <c:v>140.26289748145658</c:v>
                </c:pt>
                <c:pt idx="119">
                  <c:v>148.44170978711088</c:v>
                </c:pt>
                <c:pt idx="120">
                  <c:v>156.71026258057861</c:v>
                </c:pt>
                <c:pt idx="121">
                  <c:v>165.01877153878513</c:v>
                </c:pt>
                <c:pt idx="122">
                  <c:v>173.31387258648655</c:v>
                </c:pt>
                <c:pt idx="123">
                  <c:v>181.53947021801483</c:v>
                </c:pt>
                <c:pt idx="124">
                  <c:v>189.63772595496602</c:v>
                </c:pt>
                <c:pt idx="125">
                  <c:v>197.55015550051837</c:v>
                </c:pt>
                <c:pt idx="126">
                  <c:v>205.21879480566477</c:v>
                </c:pt>
                <c:pt idx="127">
                  <c:v>212.58738915241386</c:v>
                </c:pt>
                <c:pt idx="128">
                  <c:v>219.60255618944211</c:v>
                </c:pt>
                <c:pt idx="129">
                  <c:v>226.21487406152198</c:v>
                </c:pt>
                <c:pt idx="130">
                  <c:v>232.37984944553631</c:v>
                </c:pt>
                <c:pt idx="131">
                  <c:v>238.0587271631176</c:v>
                </c:pt>
                <c:pt idx="132">
                  <c:v>243.21911246241788</c:v>
                </c:pt>
                <c:pt idx="133">
                  <c:v>247.83538816882321</c:v>
                </c:pt>
                <c:pt idx="134">
                  <c:v>251.88892067402955</c:v>
                </c:pt>
                <c:pt idx="135">
                  <c:v>255.36806013368124</c:v>
                </c:pt>
                <c:pt idx="136">
                  <c:v>258.26795036212906</c:v>
                </c:pt>
                <c:pt idx="137">
                  <c:v>260.59017205103351</c:v>
                </c:pt>
                <c:pt idx="138">
                  <c:v>262.34224867216534</c:v>
                </c:pt>
                <c:pt idx="139">
                  <c:v>263.53704761565001</c:v>
                </c:pt>
                <c:pt idx="140">
                  <c:v>264.19210988369736</c:v>
                </c:pt>
                <c:pt idx="141">
                  <c:v>264.3289403295052</c:v>
                </c:pt>
                <c:pt idx="142">
                  <c:v>263.97228745501951</c:v>
                </c:pt>
                <c:pt idx="143">
                  <c:v>263.14943767020236</c:v>
                </c:pt>
                <c:pt idx="144">
                  <c:v>261.88954417379591</c:v>
                </c:pt>
                <c:pt idx="145">
                  <c:v>260.22300568897089</c:v>
                </c:pt>
                <c:pt idx="146">
                  <c:v>258.18090553844559</c:v>
                </c:pt>
                <c:pt idx="147">
                  <c:v>255.79451723564065</c:v>
                </c:pt>
                <c:pt idx="148">
                  <c:v>253.09487906674138</c:v>
                </c:pt>
                <c:pt idx="149">
                  <c:v>250.11243712247219</c:v>
                </c:pt>
                <c:pt idx="150">
                  <c:v>246.87675391781522</c:v>
                </c:pt>
                <c:pt idx="151">
                  <c:v>243.41627807192455</c:v>
                </c:pt>
                <c:pt idx="152">
                  <c:v>239.75816943534917</c:v>
                </c:pt>
                <c:pt idx="153">
                  <c:v>235.92817345618241</c:v>
                </c:pt>
                <c:pt idx="154">
                  <c:v>231.95053837437351</c:v>
                </c:pt>
                <c:pt idx="155">
                  <c:v>227.84796893102467</c:v>
                </c:pt>
                <c:pt idx="156">
                  <c:v>223.64161059288105</c:v>
                </c:pt>
                <c:pt idx="157">
                  <c:v>219.35105874922596</c:v>
                </c:pt>
                <c:pt idx="158">
                  <c:v>214.99438787991176</c:v>
                </c:pt>
                <c:pt idx="159">
                  <c:v>210.58819627296859</c:v>
                </c:pt>
                <c:pt idx="160">
                  <c:v>206.14766245344902</c:v>
                </c:pt>
                <c:pt idx="161">
                  <c:v>201.68661004726866</c:v>
                </c:pt>
                <c:pt idx="162">
                  <c:v>197.2175783284498</c:v>
                </c:pt>
                <c:pt idx="163">
                  <c:v>192.75189617563348</c:v>
                </c:pt>
                <c:pt idx="164">
                  <c:v>188.29975758926884</c:v>
                </c:pt>
                <c:pt idx="165">
                  <c:v>183.8702972934752</c:v>
                </c:pt>
                <c:pt idx="166">
                  <c:v>179.47166526771474</c:v>
                </c:pt>
                <c:pt idx="167">
                  <c:v>175.11109932630686</c:v>
                </c:pt>
                <c:pt idx="168">
                  <c:v>170.79499509262922</c:v>
                </c:pt>
                <c:pt idx="169">
                  <c:v>166.52897290425307</c:v>
                </c:pt>
                <c:pt idx="170">
                  <c:v>162.31794134002536</c:v>
                </c:pt>
                <c:pt idx="171">
                  <c:v>158.16615718489447</c:v>
                </c:pt>
                <c:pt idx="172">
                  <c:v>154.07728174743897</c:v>
                </c:pt>
                <c:pt idx="173">
                  <c:v>150.05443352259454</c:v>
                </c:pt>
                <c:pt idx="174">
                  <c:v>146.10023725154377</c:v>
                </c:pt>
                <c:pt idx="175">
                  <c:v>142.21686947527817</c:v>
                </c:pt>
                <c:pt idx="176">
                  <c:v>138.40610071067371</c:v>
                </c:pt>
                <c:pt idx="177">
                  <c:v>134.66933440037656</c:v>
                </c:pt>
                <c:pt idx="178">
                  <c:v>131.00764280233685</c:v>
                </c:pt>
                <c:pt idx="179">
                  <c:v>127.42179999311688</c:v>
                </c:pt>
                <c:pt idx="180">
                  <c:v>123.91231216250429</c:v>
                </c:pt>
                <c:pt idx="181">
                  <c:v>120.47944537661978</c:v>
                </c:pt>
                <c:pt idx="182">
                  <c:v>117.12325098354214</c:v>
                </c:pt>
                <c:pt idx="183">
                  <c:v>113.84358883023665</c:v>
                </c:pt>
                <c:pt idx="184">
                  <c:v>110.64014845286519</c:v>
                </c:pt>
                <c:pt idx="185">
                  <c:v>107.51246839485972</c:v>
                </c:pt>
                <c:pt idx="186">
                  <c:v>104.45995379883203</c:v>
                </c:pt>
                <c:pt idx="187">
                  <c:v>101.48189240976616</c:v>
                </c:pt>
                <c:pt idx="188">
                  <c:v>98.577469118222098</c:v>
                </c:pt>
                <c:pt idx="189">
                  <c:v>95.745779163640861</c:v>
                </c:pt>
                <c:pt idx="190">
                  <c:v>92.985840109406993</c:v>
                </c:pt>
                <c:pt idx="191">
                  <c:v>90.296602693187737</c:v>
                </c:pt>
                <c:pt idx="192">
                  <c:v>87.676960648288315</c:v>
                </c:pt>
                <c:pt idx="193">
                  <c:v>85.125759584381498</c:v>
                </c:pt>
                <c:pt idx="194">
                  <c:v>82.641805009010795</c:v>
                </c:pt>
                <c:pt idx="195">
                  <c:v>80.223869564737555</c:v>
                </c:pt>
                <c:pt idx="196">
                  <c:v>77.870699550705055</c:v>
                </c:pt>
                <c:pt idx="197">
                  <c:v>75.581020791718416</c:v>
                </c:pt>
                <c:pt idx="198">
                  <c:v>73.353543912675704</c:v>
                </c:pt>
                <c:pt idx="199">
                  <c:v>71.18696907131455</c:v>
                </c:pt>
                <c:pt idx="200">
                  <c:v>69.079990197742831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09-4D5A-957F-12584FD28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/>
              <a:t>La Union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'La Union'!$I$3</c:f>
              <c:strCache>
                <c:ptCount val="1"/>
                <c:pt idx="0">
                  <c:v>Contagios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Union'!$C$3:$C$204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Union'!$I$4:$I$204</c:f>
              <c:numCache>
                <c:formatCode>0</c:formatCode>
                <c:ptCount val="201"/>
                <c:pt idx="1">
                  <c:v>0.13199944588570134</c:v>
                </c:pt>
                <c:pt idx="2">
                  <c:v>0.14502323994302291</c:v>
                </c:pt>
                <c:pt idx="3">
                  <c:v>0.15933201464036462</c:v>
                </c:pt>
                <c:pt idx="4">
                  <c:v>0.17505254751944524</c:v>
                </c:pt>
                <c:pt idx="5">
                  <c:v>0.19232412332231236</c:v>
                </c:pt>
                <c:pt idx="6">
                  <c:v>0.21129976771868281</c:v>
                </c:pt>
                <c:pt idx="7">
                  <c:v>0.23214760269530432</c:v>
                </c:pt>
                <c:pt idx="8">
                  <c:v>0.25505233559768942</c:v>
                </c:pt>
                <c:pt idx="9">
                  <c:v>0.28021689499479713</c:v>
                </c:pt>
                <c:pt idx="10">
                  <c:v>0.30786422783332335</c:v>
                </c:pt>
                <c:pt idx="11">
                  <c:v>0.3382392737715228</c:v>
                </c:pt>
                <c:pt idx="12">
                  <c:v>0.3716111341453231</c:v>
                </c:pt>
                <c:pt idx="13">
                  <c:v>0.40827545473549709</c:v>
                </c:pt>
                <c:pt idx="14">
                  <c:v>0.44855704338874436</c:v>
                </c:pt>
                <c:pt idx="15">
                  <c:v>0.49281274561400334</c:v>
                </c:pt>
                <c:pt idx="16">
                  <c:v>0.54143460354607797</c:v>
                </c:pt>
                <c:pt idx="17">
                  <c:v>0.59485332616128184</c:v>
                </c:pt>
                <c:pt idx="18">
                  <c:v>0.65354210136573287</c:v>
                </c:pt>
                <c:pt idx="19">
                  <c:v>0.71802078357961507</c:v>
                </c:pt>
                <c:pt idx="20">
                  <c:v>0.78886049373585354</c:v>
                </c:pt>
                <c:pt idx="21">
                  <c:v>0.86668867222724011</c:v>
                </c:pt>
                <c:pt idx="22">
                  <c:v>0.95219462930281107</c:v>
                </c:pt>
                <c:pt idx="23">
                  <c:v>1.0461356417656684</c:v>
                </c:pt>
                <c:pt idx="24">
                  <c:v>1.1493436495970251</c:v>
                </c:pt>
                <c:pt idx="25">
                  <c:v>1.2627326113649158</c:v>
                </c:pt>
                <c:pt idx="26">
                  <c:v>1.3873065830142075</c:v>
                </c:pt>
                <c:pt idx="27">
                  <c:v>1.5241685909246012</c:v>
                </c:pt>
                <c:pt idx="28">
                  <c:v>1.6745303770167157</c:v>
                </c:pt>
                <c:pt idx="29">
                  <c:v>1.8397231012390829</c:v>
                </c:pt>
                <c:pt idx="30">
                  <c:v>2.0212090950416779</c:v>
                </c:pt>
                <c:pt idx="31">
                  <c:v>2.2205947685003249</c:v>
                </c:pt>
                <c:pt idx="32">
                  <c:v>2.4396447836722568</c:v>
                </c:pt>
                <c:pt idx="33">
                  <c:v>2.6802976176132791</c:v>
                </c:pt>
                <c:pt idx="34">
                  <c:v>2.9446826503544341</c:v>
                </c:pt>
                <c:pt idx="35">
                  <c:v>3.2351389261102619</c:v>
                </c:pt>
                <c:pt idx="36">
                  <c:v>3.554235750167555</c:v>
                </c:pt>
                <c:pt idx="37">
                  <c:v>3.9047952993856447</c:v>
                </c:pt>
                <c:pt idx="38">
                  <c:v>4.2899174411363363</c:v>
                </c:pt>
                <c:pt idx="39">
                  <c:v>4.713006973939895</c:v>
                </c:pt>
                <c:pt idx="40">
                  <c:v>5.177803523136256</c:v>
                </c:pt>
                <c:pt idx="41">
                  <c:v>5.6884143467972761</c:v>
                </c:pt>
                <c:pt idx="42">
                  <c:v>6.2493503308719109</c:v>
                </c:pt>
                <c:pt idx="43">
                  <c:v>6.8655654784020372</c:v>
                </c:pt>
                <c:pt idx="44">
                  <c:v>7.5425002256966422</c:v>
                </c:pt>
                <c:pt idx="45">
                  <c:v>8.2861289487528769</c:v>
                </c:pt>
                <c:pt idx="46">
                  <c:v>9.1030120561103605</c:v>
                </c:pt>
                <c:pt idx="47">
                  <c:v>10.000353099864057</c:v>
                </c:pt>
                <c:pt idx="48">
                  <c:v>10.986061374877707</c:v>
                </c:pt>
                <c:pt idx="49">
                  <c:v>12.068820517459743</c:v>
                </c:pt>
                <c:pt idx="50">
                  <c:v>13.258163658994382</c:v>
                </c:pt>
                <c:pt idx="51">
                  <c:v>14.564555737344614</c:v>
                </c:pt>
                <c:pt idx="52">
                  <c:v>15.999483619307881</c:v>
                </c:pt>
                <c:pt idx="53">
                  <c:v>17.575554741009693</c:v>
                </c:pt>
                <c:pt idx="54">
                  <c:v>19.306605029802782</c:v>
                </c:pt>
                <c:pt idx="55">
                  <c:v>21.20781693085798</c:v>
                </c:pt>
                <c:pt idx="56">
                  <c:v>23.295848423942083</c:v>
                </c:pt>
                <c:pt idx="57">
                  <c:v>25.588973980504065</c:v>
                </c:pt>
                <c:pt idx="58">
                  <c:v>28.107238477595306</c:v>
                </c:pt>
                <c:pt idx="59">
                  <c:v>30.87262515259297</c:v>
                </c:pt>
                <c:pt idx="60">
                  <c:v>33.909238750185622</c:v>
                </c:pt>
                <c:pt idx="61">
                  <c:v>37.243505079317117</c:v>
                </c:pt>
                <c:pt idx="62">
                  <c:v>40.904388261089736</c:v>
                </c:pt>
                <c:pt idx="63">
                  <c:v>44.923627006860045</c:v>
                </c:pt>
                <c:pt idx="64">
                  <c:v>49.335991316223705</c:v>
                </c:pt>
                <c:pt idx="65">
                  <c:v>54.179561023902572</c:v>
                </c:pt>
                <c:pt idx="66">
                  <c:v>59.496027648534501</c:v>
                </c:pt>
                <c:pt idx="67">
                  <c:v>65.331020999864251</c:v>
                </c:pt>
                <c:pt idx="68">
                  <c:v>71.734461977527403</c:v>
                </c:pt>
                <c:pt idx="69">
                  <c:v>78.76094293681561</c:v>
                </c:pt>
                <c:pt idx="70">
                  <c:v>86.470136895199701</c:v>
                </c:pt>
                <c:pt idx="71">
                  <c:v>94.927236696745354</c:v>
                </c:pt>
                <c:pt idx="72">
                  <c:v>104.20342502644229</c:v>
                </c:pt>
                <c:pt idx="73">
                  <c:v>114.37637585685533</c:v>
                </c:pt>
                <c:pt idx="74">
                  <c:v>125.53078749639918</c:v>
                </c:pt>
                <c:pt idx="75">
                  <c:v>137.75894686954166</c:v>
                </c:pt>
                <c:pt idx="76">
                  <c:v>151.16132396812768</c:v>
                </c:pt>
                <c:pt idx="77">
                  <c:v>165.84719453925936</c:v>
                </c:pt>
                <c:pt idx="78">
                  <c:v>181.93528798352258</c:v>
                </c:pt>
                <c:pt idx="79">
                  <c:v>199.55445608744424</c:v>
                </c:pt>
                <c:pt idx="80">
                  <c:v>218.84435656012195</c:v>
                </c:pt>
                <c:pt idx="81">
                  <c:v>239.95614333466139</c:v>
                </c:pt>
                <c:pt idx="82">
                  <c:v>263.05315317362925</c:v>
                </c:pt>
                <c:pt idx="83">
                  <c:v>288.31157522247668</c:v>
                </c:pt>
                <c:pt idx="84">
                  <c:v>315.92108672015098</c:v>
                </c:pt>
                <c:pt idx="85">
                  <c:v>346.0854340340091</c:v>
                </c:pt>
                <c:pt idx="86">
                  <c:v>379.02293346923165</c:v>
                </c:pt>
                <c:pt idx="87">
                  <c:v>414.96686084818225</c:v>
                </c:pt>
                <c:pt idx="88">
                  <c:v>454.16569260950678</c:v>
                </c:pt>
                <c:pt idx="89">
                  <c:v>496.88315410478896</c:v>
                </c:pt>
                <c:pt idx="90">
                  <c:v>543.39802286470047</c:v>
                </c:pt>
                <c:pt idx="91">
                  <c:v>594.00362590027373</c:v>
                </c:pt>
                <c:pt idx="92">
                  <c:v>649.00696068967829</c:v>
                </c:pt>
                <c:pt idx="93">
                  <c:v>708.72735954707241</c:v>
                </c:pt>
                <c:pt idx="94">
                  <c:v>773.4946068524099</c:v>
                </c:pt>
                <c:pt idx="95">
                  <c:v>843.64640854830373</c:v>
                </c:pt>
                <c:pt idx="96">
                  <c:v>919.52510395899833</c:v>
                </c:pt>
                <c:pt idx="97">
                  <c:v>1001.4735021388353</c:v>
                </c:pt>
                <c:pt idx="98">
                  <c:v>1089.8297196373937</c:v>
                </c:pt>
                <c:pt idx="99">
                  <c:v>1184.9208950769801</c:v>
                </c:pt>
                <c:pt idx="100">
                  <c:v>1287.0556598801802</c:v>
                </c:pt>
                <c:pt idx="101">
                  <c:v>1396.5152557794154</c:v>
                </c:pt>
                <c:pt idx="102">
                  <c:v>1513.5432106031349</c:v>
                </c:pt>
                <c:pt idx="103">
                  <c:v>1638.3335167218006</c:v>
                </c:pt>
                <c:pt idx="104">
                  <c:v>1771.0173040374568</c:v>
                </c:pt>
                <c:pt idx="105">
                  <c:v>1911.6480640424841</c:v>
                </c:pt>
                <c:pt idx="106">
                  <c:v>2060.1855654502488</c:v>
                </c:pt>
                <c:pt idx="107">
                  <c:v>2216.4787066888853</c:v>
                </c:pt>
                <c:pt idx="108">
                  <c:v>2380.2476764116391</c:v>
                </c:pt>
                <c:pt idx="109">
                  <c:v>2551.0659385625709</c:v>
                </c:pt>
                <c:pt idx="110">
                  <c:v>2728.3427194094807</c:v>
                </c:pt>
                <c:pt idx="111">
                  <c:v>2911.3068431142051</c:v>
                </c:pt>
                <c:pt idx="112">
                  <c:v>3098.9929288932926</c:v>
                </c:pt>
                <c:pt idx="113">
                  <c:v>3290.2311115547827</c:v>
                </c:pt>
                <c:pt idx="114">
                  <c:v>3483.6415590531224</c:v>
                </c:pt>
                <c:pt idx="115">
                  <c:v>3677.6351131918072</c:v>
                </c:pt>
                <c:pt idx="116">
                  <c:v>3870.4213483697067</c:v>
                </c:pt>
                <c:pt idx="117">
                  <c:v>4060.0252045596822</c:v>
                </c:pt>
                <c:pt idx="118">
                  <c:v>4244.3130848007713</c:v>
                </c:pt>
                <c:pt idx="119">
                  <c:v>4421.0289028800726</c:v>
                </c:pt>
                <c:pt idx="120">
                  <c:v>4587.8400248431099</c:v>
                </c:pt>
                <c:pt idx="121">
                  <c:v>4742.3923866709438</c:v>
                </c:pt>
                <c:pt idx="122">
                  <c:v>4882.3733277603524</c:v>
                </c:pt>
                <c:pt idx="123">
                  <c:v>5005.5799136704445</c:v>
                </c:pt>
                <c:pt idx="124">
                  <c:v>5109.9898069921737</c:v>
                </c:pt>
                <c:pt idx="125">
                  <c:v>5193.8311674896513</c:v>
                </c:pt>
                <c:pt idx="126">
                  <c:v>5255.6477070393321</c:v>
                </c:pt>
                <c:pt idx="127">
                  <c:v>5294.3549634368819</c:v>
                </c:pt>
                <c:pt idx="128">
                  <c:v>5309.2841353938375</c:v>
                </c:pt>
                <c:pt idx="129">
                  <c:v>5300.2104467503304</c:v>
                </c:pt>
                <c:pt idx="130">
                  <c:v>5267.3639446844136</c:v>
                </c:pt>
                <c:pt idx="131">
                  <c:v>5211.4218046251835</c:v>
                </c:pt>
                <c:pt idx="132">
                  <c:v>5133.4824988000983</c:v>
                </c:pt>
                <c:pt idx="133">
                  <c:v>5035.0234513473652</c:v>
                </c:pt>
                <c:pt idx="134">
                  <c:v>4917.8449161579765</c:v>
                </c:pt>
                <c:pt idx="135">
                  <c:v>4784.0036596268874</c:v>
                </c:pt>
                <c:pt idx="136">
                  <c:v>4635.7405315426658</c:v>
                </c:pt>
                <c:pt idx="137">
                  <c:v>4475.4061322736752</c:v>
                </c:pt>
                <c:pt idx="138">
                  <c:v>4305.3885501632867</c:v>
                </c:pt>
                <c:pt idx="139">
                  <c:v>4128.0466080985443</c:v>
                </c:pt>
                <c:pt idx="140">
                  <c:v>3945.6513098894388</c:v>
                </c:pt>
                <c:pt idx="141">
                  <c:v>3760.3373158628233</c:v>
                </c:pt>
                <c:pt idx="142">
                  <c:v>3574.0654011024158</c:v>
                </c:pt>
                <c:pt idx="143">
                  <c:v>3388.5960424016162</c:v>
                </c:pt>
                <c:pt idx="144">
                  <c:v>3205.4736018213571</c:v>
                </c:pt>
                <c:pt idx="145">
                  <c:v>3026.0200606010012</c:v>
                </c:pt>
                <c:pt idx="146">
                  <c:v>2851.336917520116</c:v>
                </c:pt>
                <c:pt idx="147">
                  <c:v>2682.3136911765241</c:v>
                </c:pt>
                <c:pt idx="148">
                  <c:v>2519.6414326314434</c:v>
                </c:pt>
                <c:pt idx="149">
                  <c:v>2363.8297323995321</c:v>
                </c:pt>
                <c:pt idx="150">
                  <c:v>2215.2258605632833</c:v>
                </c:pt>
                <c:pt idx="151">
                  <c:v>2074.0348795716709</c:v>
                </c:pt>
                <c:pt idx="152">
                  <c:v>1940.3397893869262</c:v>
                </c:pt>
                <c:pt idx="153">
                  <c:v>1814.1209833507073</c:v>
                </c:pt>
                <c:pt idx="154">
                  <c:v>1695.2744958721835</c:v>
                </c:pt>
                <c:pt idx="155">
                  <c:v>1583.6287008165193</c:v>
                </c:pt>
                <c:pt idx="156">
                  <c:v>1478.9592679545815</c:v>
                </c:pt>
                <c:pt idx="157">
                  <c:v>1381.0023032101326</c:v>
                </c:pt>
                <c:pt idx="158">
                  <c:v>1289.4656883352379</c:v>
                </c:pt>
                <c:pt idx="159">
                  <c:v>1204.0387001785589</c:v>
                </c:pt>
                <c:pt idx="160">
                  <c:v>1124.4000327469969</c:v>
                </c:pt>
                <c:pt idx="161">
                  <c:v>1050.2243708505414</c:v>
                </c:pt>
                <c:pt idx="162">
                  <c:v>981.18767613289549</c:v>
                </c:pt>
                <c:pt idx="163">
                  <c:v>916.9713481925736</c:v>
                </c:pt>
                <c:pt idx="164">
                  <c:v>857.26541824501419</c:v>
                </c:pt>
                <c:pt idx="165">
                  <c:v>801.77092278104772</c:v>
                </c:pt>
                <c:pt idx="166">
                  <c:v>750.20159184139584</c:v>
                </c:pt>
                <c:pt idx="167">
                  <c:v>702.28497229115953</c:v>
                </c:pt>
                <c:pt idx="168">
                  <c:v>657.76309189112214</c:v>
                </c:pt>
                <c:pt idx="169">
                  <c:v>616.39275575205204</c:v>
                </c:pt>
                <c:pt idx="170">
                  <c:v>577.94555339871067</c:v>
                </c:pt>
                <c:pt idx="171">
                  <c:v>542.20764244295708</c:v>
                </c:pt>
                <c:pt idx="172">
                  <c:v>508.97936390831194</c:v>
                </c:pt>
                <c:pt idx="173">
                  <c:v>478.07473459796762</c:v>
                </c:pt>
                <c:pt idx="174">
                  <c:v>449.32085352181974</c:v>
                </c:pt>
                <c:pt idx="175">
                  <c:v>422.55725221886888</c:v>
                </c:pt>
                <c:pt idx="176">
                  <c:v>397.63521272699262</c:v>
                </c:pt>
                <c:pt idx="177">
                  <c:v>374.41707184823912</c:v>
                </c:pt>
                <c:pt idx="178">
                  <c:v>352.77552611726799</c:v>
                </c:pt>
                <c:pt idx="179">
                  <c:v>332.59294838960852</c:v>
                </c:pt>
                <c:pt idx="180">
                  <c:v>313.76072411851135</c:v>
                </c:pt>
                <c:pt idx="181">
                  <c:v>296.17861308727277</c:v>
                </c:pt>
                <c:pt idx="182">
                  <c:v>279.75414052127206</c:v>
                </c:pt>
                <c:pt idx="183">
                  <c:v>264.40202004439988</c:v>
                </c:pt>
                <c:pt idx="184">
                  <c:v>250.04360980197606</c:v>
                </c:pt>
                <c:pt idx="185">
                  <c:v>236.60640219000084</c:v>
                </c:pt>
                <c:pt idx="186">
                  <c:v>224.02354696054459</c:v>
                </c:pt>
                <c:pt idx="187">
                  <c:v>212.23340697472938</c:v>
                </c:pt>
                <c:pt idx="188">
                  <c:v>201.17914551424795</c:v>
                </c:pt>
                <c:pt idx="189">
                  <c:v>190.8083438116027</c:v>
                </c:pt>
                <c:pt idx="190">
                  <c:v>181.07264729506946</c:v>
                </c:pt>
                <c:pt idx="191">
                  <c:v>171.92743894782387</c:v>
                </c:pt>
                <c:pt idx="192">
                  <c:v>163.33153813626885</c:v>
                </c:pt>
                <c:pt idx="193">
                  <c:v>155.24692325785665</c:v>
                </c:pt>
                <c:pt idx="194">
                  <c:v>147.63847658356553</c:v>
                </c:pt>
                <c:pt idx="195">
                  <c:v>140.47374971663513</c:v>
                </c:pt>
                <c:pt idx="196">
                  <c:v>133.72274815081295</c:v>
                </c:pt>
                <c:pt idx="197">
                  <c:v>127.3577334832177</c:v>
                </c:pt>
                <c:pt idx="198">
                  <c:v>121.35304191507277</c:v>
                </c:pt>
                <c:pt idx="199">
                  <c:v>115.68491775499504</c:v>
                </c:pt>
                <c:pt idx="200">
                  <c:v>110.33136072195632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7E-48C0-9694-15D716599482}"/>
            </c:ext>
          </c:extLst>
        </c:ser>
        <c:ser>
          <c:idx val="1"/>
          <c:order val="1"/>
          <c:tx>
            <c:strRef>
              <c:f>'La Union'!$J$3</c:f>
              <c:strCache>
                <c:ptCount val="1"/>
                <c:pt idx="0">
                  <c:v>Recuperados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Union'!$C$3:$C$204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Union'!$J$4:$J$204</c:f>
              <c:numCache>
                <c:formatCode>0</c:formatCode>
                <c:ptCount val="201"/>
                <c:pt idx="1">
                  <c:v>2.9666666666666664E-2</c:v>
                </c:pt>
                <c:pt idx="2">
                  <c:v>3.2593761339053576E-2</c:v>
                </c:pt>
                <c:pt idx="3">
                  <c:v>3.5809658746061464E-2</c:v>
                </c:pt>
                <c:pt idx="4">
                  <c:v>3.9342853222190236E-2</c:v>
                </c:pt>
                <c:pt idx="5">
                  <c:v>4.3224650357860779E-2</c:v>
                </c:pt>
                <c:pt idx="6">
                  <c:v>4.7489444337827341E-2</c:v>
                </c:pt>
                <c:pt idx="7">
                  <c:v>5.2175022635554028E-2</c:v>
                </c:pt>
                <c:pt idx="8">
                  <c:v>5.7322900760996255E-2</c:v>
                </c:pt>
                <c:pt idx="9">
                  <c:v>6.2978690025027831E-2</c:v>
                </c:pt>
                <c:pt idx="10">
                  <c:v>6.9192501575705875E-2</c:v>
                </c:pt>
                <c:pt idx="11">
                  <c:v>7.6019390282237601E-2</c:v>
                </c:pt>
                <c:pt idx="12">
                  <c:v>8.3519842394718186E-2</c:v>
                </c:pt>
                <c:pt idx="13">
                  <c:v>9.1760311294538835E-2</c:v>
                </c:pt>
                <c:pt idx="14">
                  <c:v>0.10081380607520729</c:v>
                </c:pt>
                <c:pt idx="15">
                  <c:v>0.11076053815989978</c:v>
                </c:pt>
                <c:pt idx="16">
                  <c:v>0.12168863167445189</c:v>
                </c:pt>
                <c:pt idx="17">
                  <c:v>0.13369490385717048</c:v>
                </c:pt>
                <c:pt idx="18">
                  <c:v>0.14688572240471612</c:v>
                </c:pt>
                <c:pt idx="19">
                  <c:v>0.16137794733174232</c:v>
                </c:pt>
                <c:pt idx="20">
                  <c:v>0.17729996566687947</c:v>
                </c:pt>
                <c:pt idx="21">
                  <c:v>0.19479282812548046</c:v>
                </c:pt>
                <c:pt idx="22">
                  <c:v>0.21401149779737255</c:v>
                </c:pt>
                <c:pt idx="23">
                  <c:v>0.23512622187344351</c:v>
                </c:pt>
                <c:pt idx="24">
                  <c:v>0.25832403851671021</c:v>
                </c:pt>
                <c:pt idx="25">
                  <c:v>0.28381043217086493</c:v>
                </c:pt>
                <c:pt idx="26">
                  <c:v>0.31181115190232855</c:v>
                </c:pt>
                <c:pt idx="27">
                  <c:v>0.3425742088016725</c:v>
                </c:pt>
                <c:pt idx="28">
                  <c:v>0.3763720700390466</c:v>
                </c:pt>
                <c:pt idx="29">
                  <c:v>0.41350406888924091</c:v>
                </c:pt>
                <c:pt idx="30">
                  <c:v>0.45429905192969233</c:v>
                </c:pt>
                <c:pt idx="31">
                  <c:v>0.49911828668493902</c:v>
                </c:pt>
                <c:pt idx="32">
                  <c:v>0.54835865526095051</c:v>
                </c:pt>
                <c:pt idx="33">
                  <c:v>0.60245616200119578</c:v>
                </c:pt>
                <c:pt idx="34">
                  <c:v>0.66188978592368319</c:v>
                </c:pt>
                <c:pt idx="35">
                  <c:v>0.72718571168674195</c:v>
                </c:pt>
                <c:pt idx="36">
                  <c:v>0.79892197610512161</c:v>
                </c:pt>
                <c:pt idx="37">
                  <c:v>0.87773357082325509</c:v>
                </c:pt>
                <c:pt idx="38">
                  <c:v>0.96431804567758761</c:v>
                </c:pt>
                <c:pt idx="39">
                  <c:v>1.0594416615753792</c:v>
                </c:pt>
                <c:pt idx="40">
                  <c:v>1.1639461464164171</c:v>
                </c:pt>
                <c:pt idx="41">
                  <c:v>1.2787561127222455</c:v>
                </c:pt>
                <c:pt idx="42">
                  <c:v>1.4048872012531564</c:v>
                </c:pt>
                <c:pt idx="43">
                  <c:v>1.5434550210272513</c:v>
                </c:pt>
                <c:pt idx="44">
                  <c:v>1.6956849628522699</c:v>
                </c:pt>
                <c:pt idx="45">
                  <c:v>1.8629229707861947</c:v>
                </c:pt>
                <c:pt idx="46">
                  <c:v>2.0466473639063234</c:v>
                </c:pt>
                <c:pt idx="47">
                  <c:v>2.2484818094407197</c:v>
                </c:pt>
                <c:pt idx="48">
                  <c:v>2.4702095577553296</c:v>
                </c:pt>
                <c:pt idx="49">
                  <c:v>2.713789059951524</c:v>
                </c:pt>
                <c:pt idx="50">
                  <c:v>2.9813710999711125</c:v>
                </c:pt>
                <c:pt idx="51">
                  <c:v>3.2753175851889087</c:v>
                </c:pt>
                <c:pt idx="52">
                  <c:v>3.5982221525571685</c:v>
                </c:pt>
                <c:pt idx="53">
                  <c:v>3.9529327615113967</c:v>
                </c:pt>
                <c:pt idx="54">
                  <c:v>4.3425764601109709</c:v>
                </c:pt>
                <c:pt idx="55">
                  <c:v>4.7705865273247543</c:v>
                </c:pt>
                <c:pt idx="56">
                  <c:v>5.240732212029382</c:v>
                </c:pt>
                <c:pt idx="57">
                  <c:v>5.7571513082053523</c:v>
                </c:pt>
                <c:pt idx="58">
                  <c:v>6.3243858260201282</c:v>
                </c:pt>
                <c:pt idx="59">
                  <c:v>6.947421039988118</c:v>
                </c:pt>
                <c:pt idx="60">
                  <c:v>7.6317282181821069</c:v>
                </c:pt>
                <c:pt idx="61">
                  <c:v>8.3833113604982099</c:v>
                </c:pt>
                <c:pt idx="62">
                  <c:v>9.2087582991680108</c:v>
                </c:pt>
                <c:pt idx="63">
                  <c:v>10.115296540941406</c:v>
                </c:pt>
                <c:pt idx="64">
                  <c:v>11.110854257446872</c:v>
                </c:pt>
                <c:pt idx="65">
                  <c:v>12.20412685791328</c:v>
                </c:pt>
                <c:pt idx="66">
                  <c:v>13.404649606358616</c:v>
                </c:pt>
                <c:pt idx="67">
                  <c:v>14.722876773053184</c:v>
                </c:pt>
                <c:pt idx="68">
                  <c:v>16.170267836947385</c:v>
                </c:pt>
                <c:pt idx="69">
                  <c:v>17.759381281049119</c:v>
                </c:pt>
                <c:pt idx="70">
                  <c:v>19.503976545473009</c:v>
                </c:pt>
                <c:pt idx="71">
                  <c:v>21.419124721848164</c:v>
                </c:pt>
                <c:pt idx="72">
                  <c:v>23.521328586456669</c:v>
                </c:pt>
                <c:pt idx="73">
                  <c:v>25.828652576025902</c:v>
                </c:pt>
                <c:pt idx="74">
                  <c:v>28.360863307245083</c:v>
                </c:pt>
                <c:pt idx="75">
                  <c:v>31.139581226063413</c:v>
                </c:pt>
                <c:pt idx="76">
                  <c:v>34.188443942324369</c:v>
                </c:pt>
                <c:pt idx="77">
                  <c:v>37.533281755301346</c:v>
                </c:pt>
                <c:pt idx="78">
                  <c:v>41.202305801455985</c:v>
                </c:pt>
                <c:pt idx="79">
                  <c:v>45.226309151585291</c:v>
                </c:pt>
                <c:pt idx="80">
                  <c:v>49.63888104379329</c:v>
                </c:pt>
                <c:pt idx="81">
                  <c:v>54.476634253617135</c:v>
                </c:pt>
                <c:pt idx="82">
                  <c:v>59.779445364091508</c:v>
                </c:pt>
                <c:pt idx="83">
                  <c:v>65.590707396106126</c:v>
                </c:pt>
                <c:pt idx="84">
                  <c:v>71.957593881169402</c:v>
                </c:pt>
                <c:pt idx="85">
                  <c:v>78.931332991161554</c:v>
                </c:pt>
                <c:pt idx="86">
                  <c:v>86.567489767798449</c:v>
                </c:pt>
                <c:pt idx="87">
                  <c:v>94.92625380179237</c:v>
                </c:pt>
                <c:pt idx="88">
                  <c:v>104.07272888022868</c:v>
                </c:pt>
                <c:pt idx="89">
                  <c:v>114.07722013163644</c:v>
                </c:pt>
                <c:pt idx="90">
                  <c:v>125.01551303235729</c:v>
                </c:pt>
                <c:pt idx="91">
                  <c:v>136.96913727626483</c:v>
                </c:pt>
                <c:pt idx="92">
                  <c:v>150.0256069354308</c:v>
                </c:pt>
                <c:pt idx="93">
                  <c:v>164.27862653804357</c:v>
                </c:pt>
                <c:pt idx="94">
                  <c:v>179.82825065333859</c:v>
                </c:pt>
                <c:pt idx="95">
                  <c:v>196.78098230151542</c:v>
                </c:pt>
                <c:pt idx="96">
                  <c:v>215.24979301173127</c:v>
                </c:pt>
                <c:pt idx="97">
                  <c:v>235.35404466212384</c:v>
                </c:pt>
                <c:pt idx="98">
                  <c:v>257.21929040350517</c:v>
                </c:pt>
                <c:pt idx="99">
                  <c:v>280.97692907263092</c:v>
                </c:pt>
                <c:pt idx="100">
                  <c:v>306.76368465749368</c:v>
                </c:pt>
                <c:pt idx="101">
                  <c:v>334.72087974535594</c:v>
                </c:pt>
                <c:pt idx="102">
                  <c:v>364.99346967529999</c:v>
                </c:pt>
                <c:pt idx="103">
                  <c:v>397.72880260068297</c:v>
                </c:pt>
                <c:pt idx="104">
                  <c:v>433.07507017674033</c:v>
                </c:pt>
                <c:pt idx="105">
                  <c:v>471.17941452396019</c:v>
                </c:pt>
                <c:pt idx="106">
                  <c:v>512.18565993975517</c:v>
                </c:pt>
                <c:pt idx="107">
                  <c:v>556.23164305012074</c:v>
                </c:pt>
                <c:pt idx="108">
                  <c:v>603.44612324688705</c:v>
                </c:pt>
                <c:pt idx="109">
                  <c:v>653.94526687220275</c:v>
                </c:pt>
                <c:pt idx="110">
                  <c:v>707.82871415381885</c:v>
                </c:pt>
                <c:pt idx="111">
                  <c:v>765.17525769117276</c:v>
                </c:pt>
                <c:pt idx="112">
                  <c:v>826.03818544718843</c:v>
                </c:pt>
                <c:pt idx="113">
                  <c:v>890.44036948944984</c:v>
                </c:pt>
                <c:pt idx="114">
                  <c:v>958.36921348259341</c:v>
                </c:pt>
                <c:pt idx="115">
                  <c:v>1029.7716059517495</c:v>
                </c:pt>
                <c:pt idx="116">
                  <c:v>1104.5490607780482</c:v>
                </c:pt>
                <c:pt idx="117">
                  <c:v>1182.5532587537482</c:v>
                </c:pt>
                <c:pt idx="118">
                  <c:v>1263.582231197227</c:v>
                </c:pt>
                <c:pt idx="119">
                  <c:v>1347.3774450064088</c:v>
                </c:pt>
                <c:pt idx="120">
                  <c:v>1433.6220542916374</c:v>
                </c:pt>
                <c:pt idx="121">
                  <c:v>1521.9405732189286</c:v>
                </c:pt>
                <c:pt idx="122">
                  <c:v>1611.9001949162021</c:v>
                </c:pt>
                <c:pt idx="123">
                  <c:v>1703.0139304758859</c:v>
                </c:pt>
                <c:pt idx="124">
                  <c:v>1794.7456702322461</c:v>
                </c:pt>
                <c:pt idx="125">
                  <c:v>1886.5171788319392</c:v>
                </c:pt>
                <c:pt idx="126">
                  <c:v>1977.716930839734</c:v>
                </c:pt>
                <c:pt idx="127">
                  <c:v>2067.710581787243</c:v>
                </c:pt>
                <c:pt idx="128">
                  <c:v>2155.8527596429626</c:v>
                </c:pt>
                <c:pt idx="129">
                  <c:v>2241.499763671548</c:v>
                </c:pt>
                <c:pt idx="130">
                  <c:v>2324.0226814694233</c:v>
                </c:pt>
                <c:pt idx="131">
                  <c:v>2402.8203891127473</c:v>
                </c:pt>
                <c:pt idx="132">
                  <c:v>2477.3318896795358</c:v>
                </c:pt>
                <c:pt idx="133">
                  <c:v>2547.0474741546209</c:v>
                </c:pt>
                <c:pt idx="134">
                  <c:v>2611.5182540727719</c:v>
                </c:pt>
                <c:pt idx="135">
                  <c:v>2670.3637114497001</c:v>
                </c:pt>
                <c:pt idx="136">
                  <c:v>2723.277029636974</c:v>
                </c:pt>
                <c:pt idx="137">
                  <c:v>2770.0280977515076</c:v>
                </c:pt>
                <c:pt idx="138">
                  <c:v>2810.4642097505766</c:v>
                </c:pt>
                <c:pt idx="139">
                  <c:v>2844.5085964137352</c:v>
                </c:pt>
                <c:pt idx="140">
                  <c:v>2872.1570259068676</c:v>
                </c:pt>
                <c:pt idx="141">
                  <c:v>2893.472780570025</c:v>
                </c:pt>
                <c:pt idx="142">
                  <c:v>2908.5803615882878</c:v>
                </c:pt>
                <c:pt idx="143">
                  <c:v>2917.6582897680496</c:v>
                </c:pt>
                <c:pt idx="144">
                  <c:v>2920.931362700363</c:v>
                </c:pt>
                <c:pt idx="145">
                  <c:v>2918.6627007977177</c:v>
                </c:pt>
                <c:pt idx="146">
                  <c:v>2911.1458725689567</c:v>
                </c:pt>
                <c:pt idx="147">
                  <c:v>2898.6973387030885</c:v>
                </c:pt>
                <c:pt idx="148">
                  <c:v>2881.6494002512222</c:v>
                </c:pt>
                <c:pt idx="149">
                  <c:v>2860.3437827442476</c:v>
                </c:pt>
                <c:pt idx="150">
                  <c:v>2835.1259387139585</c:v>
                </c:pt>
                <c:pt idx="151">
                  <c:v>2806.3401079535374</c:v>
                </c:pt>
                <c:pt idx="152">
                  <c:v>2774.3251391157119</c:v>
                </c:pt>
                <c:pt idx="153">
                  <c:v>2739.4110482303336</c:v>
                </c:pt>
                <c:pt idx="154">
                  <c:v>2701.9162691287265</c:v>
                </c:pt>
                <c:pt idx="155">
                  <c:v>2662.1455368686438</c:v>
                </c:pt>
                <c:pt idx="156">
                  <c:v>2620.3883370972462</c:v>
                </c:pt>
                <c:pt idx="157">
                  <c:v>2576.9178508099899</c:v>
                </c:pt>
                <c:pt idx="158">
                  <c:v>2531.990324111558</c:v>
                </c:pt>
                <c:pt idx="159">
                  <c:v>2485.8447953951181</c:v>
                </c:pt>
                <c:pt idx="160">
                  <c:v>2438.7031169872444</c:v>
                </c:pt>
                <c:pt idx="161">
                  <c:v>2390.7702140591637</c:v>
                </c:pt>
                <c:pt idx="162">
                  <c:v>2342.2345299257581</c:v>
                </c:pt>
                <c:pt idx="163">
                  <c:v>2293.2686133201746</c:v>
                </c:pt>
                <c:pt idx="164">
                  <c:v>2244.0298095392154</c:v>
                </c:pt>
                <c:pt idx="165">
                  <c:v>2194.6610232958433</c:v>
                </c:pt>
                <c:pt idx="166">
                  <c:v>2145.2915265618194</c:v>
                </c:pt>
                <c:pt idx="167">
                  <c:v>2096.0377895677207</c:v>
                </c:pt>
                <c:pt idx="168">
                  <c:v>2047.0043174267676</c:v>
                </c:pt>
                <c:pt idx="169">
                  <c:v>1998.2844785719788</c:v>
                </c:pt>
                <c:pt idx="170">
                  <c:v>1949.9613143735571</c:v>
                </c:pt>
                <c:pt idx="171">
                  <c:v>1902.1083219786001</c:v>
                </c:pt>
                <c:pt idx="172">
                  <c:v>1854.7902046384545</c:v>
                </c:pt>
                <c:pt idx="173">
                  <c:v>1808.0635856131191</c:v>
                </c:pt>
                <c:pt idx="174">
                  <c:v>1761.977683219088</c:v>
                </c:pt>
                <c:pt idx="175">
                  <c:v>1716.5749457662657</c:v>
                </c:pt>
                <c:pt idx="176">
                  <c:v>1671.8916460565499</c:v>
                </c:pt>
                <c:pt idx="177">
                  <c:v>1627.9584358322322</c:v>
                </c:pt>
                <c:pt idx="178">
                  <c:v>1584.8008611026555</c:v>
                </c:pt>
                <c:pt idx="179">
                  <c:v>1542.4398396740462</c:v>
                </c:pt>
                <c:pt idx="180">
                  <c:v>1500.8921024871365</c:v>
                </c:pt>
                <c:pt idx="181">
                  <c:v>1460.1706005530809</c:v>
                </c:pt>
                <c:pt idx="182">
                  <c:v>1420.2848793895675</c:v>
                </c:pt>
                <c:pt idx="183">
                  <c:v>1381.2414229120463</c:v>
                </c:pt>
                <c:pt idx="184">
                  <c:v>1343.0439687429616</c:v>
                </c:pt>
                <c:pt idx="185">
                  <c:v>1305.6937968756552</c:v>
                </c:pt>
                <c:pt idx="186">
                  <c:v>1269.1899935781034</c:v>
                </c:pt>
                <c:pt idx="187">
                  <c:v>1233.5296923519961</c:v>
                </c:pt>
                <c:pt idx="188">
                  <c:v>1198.7082936805134</c:v>
                </c:pt>
                <c:pt idx="189">
                  <c:v>1164.7196652080854</c:v>
                </c:pt>
                <c:pt idx="190">
                  <c:v>1131.5563239008936</c:v>
                </c:pt>
                <c:pt idx="191">
                  <c:v>1099.2096016406176</c:v>
                </c:pt>
                <c:pt idx="192">
                  <c:v>1067.6697956080493</c:v>
                </c:pt>
                <c:pt idx="193">
                  <c:v>1036.9263047191571</c:v>
                </c:pt>
                <c:pt idx="194">
                  <c:v>1006.9677532851684</c:v>
                </c:pt>
                <c:pt idx="195">
                  <c:v>977.78210298097508</c:v>
                </c:pt>
                <c:pt idx="196">
                  <c:v>949.35675412320279</c:v>
                </c:pt>
                <c:pt idx="197">
                  <c:v>921.67863718090337</c:v>
                </c:pt>
                <c:pt idx="198">
                  <c:v>894.73429536820879</c:v>
                </c:pt>
                <c:pt idx="199">
                  <c:v>868.5099590994156</c:v>
                </c:pt>
                <c:pt idx="200">
                  <c:v>842.99161302283335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7E-48C0-9694-15D716599482}"/>
            </c:ext>
          </c:extLst>
        </c:ser>
        <c:ser>
          <c:idx val="2"/>
          <c:order val="2"/>
          <c:tx>
            <c:strRef>
              <c:f>'La Union'!$K$3</c:f>
              <c:strCache>
                <c:ptCount val="1"/>
                <c:pt idx="0">
                  <c:v>Fallecidos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'La Union'!$C$3:$C$204</c:f>
              <c:strCache>
                <c:ptCount val="202"/>
                <c:pt idx="0">
                  <c:v>Periodo</c:v>
                </c:pt>
                <c:pt idx="1">
                  <c:v>01/03/2020</c:v>
                </c:pt>
                <c:pt idx="2">
                  <c:v>02/03/2020</c:v>
                </c:pt>
                <c:pt idx="3">
                  <c:v>03/03/2020</c:v>
                </c:pt>
                <c:pt idx="4">
                  <c:v>04/03/2020</c:v>
                </c:pt>
                <c:pt idx="5">
                  <c:v>05/03/2020</c:v>
                </c:pt>
                <c:pt idx="6">
                  <c:v>06/03/2020</c:v>
                </c:pt>
                <c:pt idx="7">
                  <c:v>07/03/2020</c:v>
                </c:pt>
                <c:pt idx="8">
                  <c:v>08/03/2020</c:v>
                </c:pt>
                <c:pt idx="9">
                  <c:v>09/03/2020</c:v>
                </c:pt>
                <c:pt idx="10">
                  <c:v>10/03/2020</c:v>
                </c:pt>
                <c:pt idx="11">
                  <c:v>11/03/2020</c:v>
                </c:pt>
                <c:pt idx="12">
                  <c:v>12/03/2020</c:v>
                </c:pt>
                <c:pt idx="13">
                  <c:v>13/03/2020</c:v>
                </c:pt>
                <c:pt idx="14">
                  <c:v>14/03/2020</c:v>
                </c:pt>
                <c:pt idx="15">
                  <c:v>15/03/2020</c:v>
                </c:pt>
                <c:pt idx="16">
                  <c:v>16/03/2020</c:v>
                </c:pt>
                <c:pt idx="17">
                  <c:v>17/03/2020</c:v>
                </c:pt>
                <c:pt idx="18">
                  <c:v>18/03/2020</c:v>
                </c:pt>
                <c:pt idx="19">
                  <c:v>19/03/2020</c:v>
                </c:pt>
                <c:pt idx="20">
                  <c:v>20/03/2020</c:v>
                </c:pt>
                <c:pt idx="21">
                  <c:v>21/03/2020</c:v>
                </c:pt>
                <c:pt idx="22">
                  <c:v>22/03/2020</c:v>
                </c:pt>
                <c:pt idx="23">
                  <c:v>23/03/2020</c:v>
                </c:pt>
                <c:pt idx="24">
                  <c:v>24/03/2020</c:v>
                </c:pt>
                <c:pt idx="25">
                  <c:v>25/03/2020</c:v>
                </c:pt>
                <c:pt idx="26">
                  <c:v>26/03/2020</c:v>
                </c:pt>
                <c:pt idx="27">
                  <c:v>27/03/2020</c:v>
                </c:pt>
                <c:pt idx="28">
                  <c:v>28/03/2020</c:v>
                </c:pt>
                <c:pt idx="29">
                  <c:v>29/03/2020</c:v>
                </c:pt>
                <c:pt idx="30">
                  <c:v>30/03/2020</c:v>
                </c:pt>
                <c:pt idx="31">
                  <c:v>31/03/2020</c:v>
                </c:pt>
                <c:pt idx="32">
                  <c:v>01/04/2020</c:v>
                </c:pt>
                <c:pt idx="33">
                  <c:v>02/04/2020</c:v>
                </c:pt>
                <c:pt idx="34">
                  <c:v>03/04/2020</c:v>
                </c:pt>
                <c:pt idx="35">
                  <c:v>04/04/2020</c:v>
                </c:pt>
                <c:pt idx="36">
                  <c:v>05/04/2020</c:v>
                </c:pt>
                <c:pt idx="37">
                  <c:v>06/04/2020</c:v>
                </c:pt>
                <c:pt idx="38">
                  <c:v>07/04/2020</c:v>
                </c:pt>
                <c:pt idx="39">
                  <c:v>08/04/2020</c:v>
                </c:pt>
                <c:pt idx="40">
                  <c:v>09/04/2020</c:v>
                </c:pt>
                <c:pt idx="41">
                  <c:v>10/04/2020</c:v>
                </c:pt>
                <c:pt idx="42">
                  <c:v>11/04/2020</c:v>
                </c:pt>
                <c:pt idx="43">
                  <c:v>12/04/2020</c:v>
                </c:pt>
                <c:pt idx="44">
                  <c:v>13/04/2020</c:v>
                </c:pt>
                <c:pt idx="45">
                  <c:v>14/04/2020</c:v>
                </c:pt>
                <c:pt idx="46">
                  <c:v>15/04/2020</c:v>
                </c:pt>
                <c:pt idx="47">
                  <c:v>16/04/2020</c:v>
                </c:pt>
                <c:pt idx="48">
                  <c:v>17/04/2020</c:v>
                </c:pt>
                <c:pt idx="49">
                  <c:v>18/04/2020</c:v>
                </c:pt>
                <c:pt idx="50">
                  <c:v>19/04/2020</c:v>
                </c:pt>
                <c:pt idx="51">
                  <c:v>20/04/2020</c:v>
                </c:pt>
                <c:pt idx="52">
                  <c:v>21/04/2020</c:v>
                </c:pt>
                <c:pt idx="53">
                  <c:v>22/04/2020</c:v>
                </c:pt>
                <c:pt idx="54">
                  <c:v>23/04/2020</c:v>
                </c:pt>
                <c:pt idx="55">
                  <c:v>24/04/2020</c:v>
                </c:pt>
                <c:pt idx="56">
                  <c:v>25/04/2020</c:v>
                </c:pt>
                <c:pt idx="57">
                  <c:v>26/04/2020</c:v>
                </c:pt>
                <c:pt idx="58">
                  <c:v>27/04/2020</c:v>
                </c:pt>
                <c:pt idx="59">
                  <c:v>28/04/2020</c:v>
                </c:pt>
                <c:pt idx="60">
                  <c:v>29/04/2020</c:v>
                </c:pt>
                <c:pt idx="61">
                  <c:v>30/04/2020</c:v>
                </c:pt>
                <c:pt idx="62">
                  <c:v>01/05/2020</c:v>
                </c:pt>
                <c:pt idx="63">
                  <c:v>02/05/2020</c:v>
                </c:pt>
                <c:pt idx="64">
                  <c:v>03/05/2020</c:v>
                </c:pt>
                <c:pt idx="65">
                  <c:v>04/05/2020</c:v>
                </c:pt>
                <c:pt idx="66">
                  <c:v>05/05/2020</c:v>
                </c:pt>
                <c:pt idx="67">
                  <c:v>06/05/2020</c:v>
                </c:pt>
                <c:pt idx="68">
                  <c:v>07/05/2020</c:v>
                </c:pt>
                <c:pt idx="69">
                  <c:v>08/05/2020</c:v>
                </c:pt>
                <c:pt idx="70">
                  <c:v>09/05/2020</c:v>
                </c:pt>
                <c:pt idx="71">
                  <c:v>10/05/2020</c:v>
                </c:pt>
                <c:pt idx="72">
                  <c:v>11/05/2020</c:v>
                </c:pt>
                <c:pt idx="73">
                  <c:v>12/05/2020</c:v>
                </c:pt>
                <c:pt idx="74">
                  <c:v>13/05/2020</c:v>
                </c:pt>
                <c:pt idx="75">
                  <c:v>14/05/2020</c:v>
                </c:pt>
                <c:pt idx="76">
                  <c:v>15/05/2020</c:v>
                </c:pt>
                <c:pt idx="77">
                  <c:v>16/05/2020</c:v>
                </c:pt>
                <c:pt idx="78">
                  <c:v>17/05/2020</c:v>
                </c:pt>
                <c:pt idx="79">
                  <c:v>18/05/2020</c:v>
                </c:pt>
                <c:pt idx="80">
                  <c:v>19/05/2020</c:v>
                </c:pt>
                <c:pt idx="81">
                  <c:v>20/05/2020</c:v>
                </c:pt>
                <c:pt idx="82">
                  <c:v>21/05/2020</c:v>
                </c:pt>
                <c:pt idx="83">
                  <c:v>22/05/2020</c:v>
                </c:pt>
                <c:pt idx="84">
                  <c:v>23/05/2020</c:v>
                </c:pt>
                <c:pt idx="85">
                  <c:v>24/05/2020</c:v>
                </c:pt>
                <c:pt idx="86">
                  <c:v>25/05/2020</c:v>
                </c:pt>
                <c:pt idx="87">
                  <c:v>26/05/2020</c:v>
                </c:pt>
                <c:pt idx="88">
                  <c:v>27/05/2020</c:v>
                </c:pt>
                <c:pt idx="89">
                  <c:v>28/05/2020</c:v>
                </c:pt>
                <c:pt idx="90">
                  <c:v>29/05/2020</c:v>
                </c:pt>
                <c:pt idx="91">
                  <c:v>30/05/2020</c:v>
                </c:pt>
                <c:pt idx="92">
                  <c:v>31/05/2020</c:v>
                </c:pt>
                <c:pt idx="93">
                  <c:v>01/06/2020</c:v>
                </c:pt>
                <c:pt idx="94">
                  <c:v>02/06/2020</c:v>
                </c:pt>
                <c:pt idx="95">
                  <c:v>03/06/2020</c:v>
                </c:pt>
                <c:pt idx="96">
                  <c:v>04/06/2020</c:v>
                </c:pt>
                <c:pt idx="97">
                  <c:v>05/06/2020</c:v>
                </c:pt>
                <c:pt idx="98">
                  <c:v>06/06/2020</c:v>
                </c:pt>
                <c:pt idx="99">
                  <c:v>07/06/2020</c:v>
                </c:pt>
                <c:pt idx="100">
                  <c:v>08/06/2020</c:v>
                </c:pt>
                <c:pt idx="101">
                  <c:v>09/06/2020</c:v>
                </c:pt>
                <c:pt idx="102">
                  <c:v>10/06/2020</c:v>
                </c:pt>
                <c:pt idx="103">
                  <c:v>11/06/2020</c:v>
                </c:pt>
                <c:pt idx="104">
                  <c:v>12/06/2020</c:v>
                </c:pt>
                <c:pt idx="105">
                  <c:v>13/06/2020</c:v>
                </c:pt>
                <c:pt idx="106">
                  <c:v>14/06/2020</c:v>
                </c:pt>
                <c:pt idx="107">
                  <c:v>15/06/2020</c:v>
                </c:pt>
                <c:pt idx="108">
                  <c:v>16/06/2020</c:v>
                </c:pt>
                <c:pt idx="109">
                  <c:v>17/06/2020</c:v>
                </c:pt>
                <c:pt idx="110">
                  <c:v>18/06/2020</c:v>
                </c:pt>
                <c:pt idx="111">
                  <c:v>19/06/2020</c:v>
                </c:pt>
                <c:pt idx="112">
                  <c:v>20/06/2020</c:v>
                </c:pt>
                <c:pt idx="113">
                  <c:v>21/06/2020</c:v>
                </c:pt>
                <c:pt idx="114">
                  <c:v>22/06/2020</c:v>
                </c:pt>
                <c:pt idx="115">
                  <c:v>23/06/2020</c:v>
                </c:pt>
                <c:pt idx="116">
                  <c:v>24/06/2020</c:v>
                </c:pt>
                <c:pt idx="117">
                  <c:v>25/06/2020</c:v>
                </c:pt>
                <c:pt idx="118">
                  <c:v>26/06/2020</c:v>
                </c:pt>
                <c:pt idx="119">
                  <c:v>27/06/2020</c:v>
                </c:pt>
                <c:pt idx="120">
                  <c:v>28/06/2020</c:v>
                </c:pt>
                <c:pt idx="121">
                  <c:v>29/06/2020</c:v>
                </c:pt>
                <c:pt idx="122">
                  <c:v>30/06/2020</c:v>
                </c:pt>
                <c:pt idx="123">
                  <c:v>01/07/2020</c:v>
                </c:pt>
                <c:pt idx="124">
                  <c:v>02/07/2020</c:v>
                </c:pt>
                <c:pt idx="125">
                  <c:v>03/07/2020</c:v>
                </c:pt>
                <c:pt idx="126">
                  <c:v>04/07/2020</c:v>
                </c:pt>
                <c:pt idx="127">
                  <c:v>05/07/2020</c:v>
                </c:pt>
                <c:pt idx="128">
                  <c:v>06/07/2020</c:v>
                </c:pt>
                <c:pt idx="129">
                  <c:v>07/07/2020</c:v>
                </c:pt>
                <c:pt idx="130">
                  <c:v>08/07/2020</c:v>
                </c:pt>
                <c:pt idx="131">
                  <c:v>09/07/2020</c:v>
                </c:pt>
                <c:pt idx="132">
                  <c:v>10/07/2020</c:v>
                </c:pt>
                <c:pt idx="133">
                  <c:v>11/07/2020</c:v>
                </c:pt>
                <c:pt idx="134">
                  <c:v>12/07/2020</c:v>
                </c:pt>
                <c:pt idx="135">
                  <c:v>13/07/2020</c:v>
                </c:pt>
                <c:pt idx="136">
                  <c:v>14/07/2020</c:v>
                </c:pt>
                <c:pt idx="137">
                  <c:v>15/07/2020</c:v>
                </c:pt>
                <c:pt idx="138">
                  <c:v>16/07/2020</c:v>
                </c:pt>
                <c:pt idx="139">
                  <c:v>17/07/2020</c:v>
                </c:pt>
                <c:pt idx="140">
                  <c:v>18/07/2020</c:v>
                </c:pt>
                <c:pt idx="141">
                  <c:v>19/07/2020</c:v>
                </c:pt>
                <c:pt idx="142">
                  <c:v>20/07/2020</c:v>
                </c:pt>
                <c:pt idx="143">
                  <c:v>21/07/2020</c:v>
                </c:pt>
                <c:pt idx="144">
                  <c:v>22/07/2020</c:v>
                </c:pt>
                <c:pt idx="145">
                  <c:v>23/07/2020</c:v>
                </c:pt>
                <c:pt idx="146">
                  <c:v>24/07/2020</c:v>
                </c:pt>
                <c:pt idx="147">
                  <c:v>25/07/2020</c:v>
                </c:pt>
                <c:pt idx="148">
                  <c:v>26/07/2020</c:v>
                </c:pt>
                <c:pt idx="149">
                  <c:v>27/07/2020</c:v>
                </c:pt>
                <c:pt idx="150">
                  <c:v>28/07/2020</c:v>
                </c:pt>
                <c:pt idx="151">
                  <c:v>29/07/2020</c:v>
                </c:pt>
                <c:pt idx="152">
                  <c:v>30/07/2020</c:v>
                </c:pt>
                <c:pt idx="153">
                  <c:v>31/07/2020</c:v>
                </c:pt>
                <c:pt idx="154">
                  <c:v>01/08/2020</c:v>
                </c:pt>
                <c:pt idx="155">
                  <c:v>02/08/2020</c:v>
                </c:pt>
                <c:pt idx="156">
                  <c:v>03/08/2020</c:v>
                </c:pt>
                <c:pt idx="157">
                  <c:v>04/08/2020</c:v>
                </c:pt>
                <c:pt idx="158">
                  <c:v>05/08/2020</c:v>
                </c:pt>
                <c:pt idx="159">
                  <c:v>06/08/2020</c:v>
                </c:pt>
                <c:pt idx="160">
                  <c:v>07/08/2020</c:v>
                </c:pt>
                <c:pt idx="161">
                  <c:v>08/08/2020</c:v>
                </c:pt>
                <c:pt idx="162">
                  <c:v>09/08/2020</c:v>
                </c:pt>
                <c:pt idx="163">
                  <c:v>10/08/2020</c:v>
                </c:pt>
                <c:pt idx="164">
                  <c:v>11/08/2020</c:v>
                </c:pt>
                <c:pt idx="165">
                  <c:v>12/08/2020</c:v>
                </c:pt>
                <c:pt idx="166">
                  <c:v>13/08/2020</c:v>
                </c:pt>
                <c:pt idx="167">
                  <c:v>14/08/2020</c:v>
                </c:pt>
                <c:pt idx="168">
                  <c:v>15/08/2020</c:v>
                </c:pt>
                <c:pt idx="169">
                  <c:v>16/08/2020</c:v>
                </c:pt>
                <c:pt idx="170">
                  <c:v>17/08/2020</c:v>
                </c:pt>
                <c:pt idx="171">
                  <c:v>18/08/2020</c:v>
                </c:pt>
                <c:pt idx="172">
                  <c:v>19/08/2020</c:v>
                </c:pt>
                <c:pt idx="173">
                  <c:v>20/08/2020</c:v>
                </c:pt>
                <c:pt idx="174">
                  <c:v>21/08/2020</c:v>
                </c:pt>
                <c:pt idx="175">
                  <c:v>22/08/2020</c:v>
                </c:pt>
                <c:pt idx="176">
                  <c:v>23/08/2020</c:v>
                </c:pt>
                <c:pt idx="177">
                  <c:v>24/08/2020</c:v>
                </c:pt>
                <c:pt idx="178">
                  <c:v>25/08/2020</c:v>
                </c:pt>
                <c:pt idx="179">
                  <c:v>26/08/2020</c:v>
                </c:pt>
                <c:pt idx="180">
                  <c:v>27/08/2020</c:v>
                </c:pt>
                <c:pt idx="181">
                  <c:v>28/08/2020</c:v>
                </c:pt>
                <c:pt idx="182">
                  <c:v>29/08/2020</c:v>
                </c:pt>
                <c:pt idx="183">
                  <c:v>30/08/2020</c:v>
                </c:pt>
                <c:pt idx="184">
                  <c:v>31/08/2020</c:v>
                </c:pt>
                <c:pt idx="185">
                  <c:v>01/09/2020</c:v>
                </c:pt>
                <c:pt idx="186">
                  <c:v>02/09/2020</c:v>
                </c:pt>
                <c:pt idx="187">
                  <c:v>03/09/2020</c:v>
                </c:pt>
                <c:pt idx="188">
                  <c:v>04/09/2020</c:v>
                </c:pt>
                <c:pt idx="189">
                  <c:v>05/09/2020</c:v>
                </c:pt>
                <c:pt idx="190">
                  <c:v>06/09/2020</c:v>
                </c:pt>
                <c:pt idx="191">
                  <c:v>07/09/2020</c:v>
                </c:pt>
                <c:pt idx="192">
                  <c:v>08/09/2020</c:v>
                </c:pt>
                <c:pt idx="193">
                  <c:v>09/09/2020</c:v>
                </c:pt>
                <c:pt idx="194">
                  <c:v>10/09/2020</c:v>
                </c:pt>
                <c:pt idx="195">
                  <c:v>11/09/2020</c:v>
                </c:pt>
                <c:pt idx="196">
                  <c:v>12/09/2020</c:v>
                </c:pt>
                <c:pt idx="197">
                  <c:v>13/09/2020</c:v>
                </c:pt>
                <c:pt idx="198">
                  <c:v>14/09/2020</c:v>
                </c:pt>
                <c:pt idx="199">
                  <c:v>15/09/2020</c:v>
                </c:pt>
                <c:pt idx="200">
                  <c:v>16/09/2020</c:v>
                </c:pt>
                <c:pt idx="201">
                  <c:v>17/09/2020</c:v>
                </c:pt>
              </c:strCache>
            </c:strRef>
          </c:cat>
          <c:val>
            <c:numRef>
              <c:f>'La Union'!$K$4:$K$204</c:f>
              <c:numCache>
                <c:formatCode>0</c:formatCode>
                <c:ptCount val="201"/>
                <c:pt idx="1">
                  <c:v>3.6666666666666701E-3</c:v>
                </c:pt>
                <c:pt idx="2">
                  <c:v>4.0284424126920187E-3</c:v>
                </c:pt>
                <c:pt idx="3">
                  <c:v>4.4259128787267031E-3</c:v>
                </c:pt>
                <c:pt idx="4">
                  <c:v>4.862599836450484E-3</c:v>
                </c:pt>
                <c:pt idx="5">
                  <c:v>5.3423725161401009E-3</c:v>
                </c:pt>
                <c:pt idx="6">
                  <c:v>5.8694818844505763E-3</c:v>
                </c:pt>
                <c:pt idx="7">
                  <c:v>6.4485983032707287E-3</c:v>
                </c:pt>
                <c:pt idx="8">
                  <c:v>7.0848529030444881E-3</c:v>
                </c:pt>
                <c:pt idx="9">
                  <c:v>7.7838830368012011E-3</c:v>
                </c:pt>
                <c:pt idx="10">
                  <c:v>8.5518822172220843E-3</c:v>
                </c:pt>
                <c:pt idx="11">
                  <c:v>9.395654978703533E-3</c:v>
                </c:pt>
                <c:pt idx="12">
                  <c:v>1.0322677149909001E-2</c:v>
                </c:pt>
                <c:pt idx="13">
                  <c:v>1.1341162070111552E-2</c:v>
                </c:pt>
                <c:pt idx="14">
                  <c:v>1.2460133335137992E-2</c:v>
                </c:pt>
                <c:pt idx="15">
                  <c:v>1.3689504716392123E-2</c:v>
                </c:pt>
                <c:pt idx="16">
                  <c:v>1.5040167959763732E-2</c:v>
                </c:pt>
                <c:pt idx="17">
                  <c:v>1.6524089240773896E-2</c:v>
                </c:pt>
                <c:pt idx="18">
                  <c:v>1.8154415128672795E-2</c:v>
                </c:pt>
                <c:pt idx="19">
                  <c:v>1.9945588996058063E-2</c:v>
                </c:pt>
                <c:pt idx="20">
                  <c:v>2.1913478902648047E-2</c:v>
                </c:pt>
                <c:pt idx="21">
                  <c:v>2.4075518082924578E-2</c:v>
                </c:pt>
                <c:pt idx="22">
                  <c:v>2.6450859278326973E-2</c:v>
                </c:pt>
                <c:pt idx="23">
                  <c:v>2.9060544276493048E-2</c:v>
                </c:pt>
                <c:pt idx="24">
                  <c:v>3.1927690153750729E-2</c:v>
                </c:pt>
                <c:pt idx="25">
                  <c:v>3.5077693863814798E-2</c:v>
                </c:pt>
                <c:pt idx="26">
                  <c:v>3.8538456976692337E-2</c:v>
                </c:pt>
                <c:pt idx="27">
                  <c:v>4.2340632548521363E-2</c:v>
                </c:pt>
                <c:pt idx="28">
                  <c:v>4.6517896296960862E-2</c:v>
                </c:pt>
                <c:pt idx="29">
                  <c:v>5.1107244469456796E-2</c:v>
                </c:pt>
                <c:pt idx="30">
                  <c:v>5.6149321025018212E-2</c:v>
                </c:pt>
                <c:pt idx="31">
                  <c:v>6.168877700600376E-2</c:v>
                </c:pt>
                <c:pt idx="32">
                  <c:v>6.7774665256971497E-2</c:v>
                </c:pt>
                <c:pt idx="33">
                  <c:v>7.4460873955204038E-2</c:v>
                </c:pt>
                <c:pt idx="34">
                  <c:v>8.1806602754612615E-2</c:v>
                </c:pt>
                <c:pt idx="35">
                  <c:v>8.9876885714091775E-2</c:v>
                </c:pt>
                <c:pt idx="36">
                  <c:v>9.8743165586026374E-2</c:v>
                </c:pt>
                <c:pt idx="37">
                  <c:v>0.10848392448377321</c:v>
                </c:pt>
                <c:pt idx="38">
                  <c:v>0.11918537643206149</c:v>
                </c:pt>
                <c:pt idx="39">
                  <c:v>0.13094222783515938</c:v>
                </c:pt>
                <c:pt idx="40">
                  <c:v>0.1438585124784337</c:v>
                </c:pt>
                <c:pt idx="41">
                  <c:v>0.15804850831398556</c:v>
                </c:pt>
                <c:pt idx="42">
                  <c:v>0.17363774397510937</c:v>
                </c:pt>
                <c:pt idx="43">
                  <c:v>0.19076410372246944</c:v>
                </c:pt>
                <c:pt idx="44">
                  <c:v>0.20957904035252797</c:v>
                </c:pt>
                <c:pt idx="45">
                  <c:v>0.23024890650166474</c:v>
                </c:pt>
                <c:pt idx="46">
                  <c:v>0.25295641576370315</c:v>
                </c:pt>
                <c:pt idx="47">
                  <c:v>0.27790224611065106</c:v>
                </c:pt>
                <c:pt idx="48">
                  <c:v>0.30530679927313092</c:v>
                </c:pt>
                <c:pt idx="49">
                  <c:v>0.33541213100524486</c:v>
                </c:pt>
                <c:pt idx="50">
                  <c:v>0.36848406853575583</c:v>
                </c:pt>
                <c:pt idx="51">
                  <c:v>0.40481453300087672</c:v>
                </c:pt>
                <c:pt idx="52">
                  <c:v>0.44472408627111115</c:v>
                </c:pt>
                <c:pt idx="53">
                  <c:v>0.48856472333286971</c:v>
                </c:pt>
                <c:pt idx="54">
                  <c:v>0.53672293327214304</c:v>
                </c:pt>
                <c:pt idx="55">
                  <c:v>0.58962305393901515</c:v>
                </c:pt>
                <c:pt idx="56">
                  <c:v>0.64773094755419403</c:v>
                </c:pt>
                <c:pt idx="57">
                  <c:v>0.711558026856842</c:v>
                </c:pt>
                <c:pt idx="58">
                  <c:v>0.78166566389012893</c:v>
                </c:pt>
                <c:pt idx="59">
                  <c:v>0.85867001617830752</c:v>
                </c:pt>
                <c:pt idx="60">
                  <c:v>0.94324730786520516</c:v>
                </c:pt>
                <c:pt idx="61">
                  <c:v>1.0361396063537125</c:v>
                </c:pt>
                <c:pt idx="62">
                  <c:v>1.1381611380994181</c:v>
                </c:pt>
                <c:pt idx="63">
                  <c:v>1.2502051904534333</c:v>
                </c:pt>
                <c:pt idx="64">
                  <c:v>1.3732516497968059</c:v>
                </c:pt>
                <c:pt idx="65">
                  <c:v>1.5083752296297328</c:v>
                </c:pt>
                <c:pt idx="66">
                  <c:v>1.6567544457297181</c:v>
                </c:pt>
                <c:pt idx="67">
                  <c:v>1.8196813989166876</c:v>
                </c:pt>
                <c:pt idx="68">
                  <c:v>1.9985724292856339</c:v>
                </c:pt>
                <c:pt idx="69">
                  <c:v>2.1949797088937135</c:v>
                </c:pt>
                <c:pt idx="70">
                  <c:v>2.4106038426989134</c:v>
                </c:pt>
                <c:pt idx="71">
                  <c:v>2.647307549891349</c:v>
                </c:pt>
                <c:pt idx="72">
                  <c:v>2.9071304994497038</c:v>
                </c:pt>
                <c:pt idx="73">
                  <c:v>3.1923053745650023</c:v>
                </c:pt>
                <c:pt idx="74">
                  <c:v>3.5052752402213061</c:v>
                </c:pt>
                <c:pt idx="75">
                  <c:v>3.8487122863673924</c:v>
                </c:pt>
                <c:pt idx="76">
                  <c:v>4.2255380153434654</c:v>
                </c:pt>
                <c:pt idx="77">
                  <c:v>4.6389449360484853</c:v>
                </c:pt>
                <c:pt idx="78">
                  <c:v>5.0924198181574862</c:v>
                </c:pt>
                <c:pt idx="79">
                  <c:v>5.5897685468251535</c:v>
                </c:pt>
                <c:pt idx="80">
                  <c:v>6.1351426009182779</c:v>
                </c:pt>
                <c:pt idx="81">
                  <c:v>6.73306715494145</c:v>
                </c:pt>
                <c:pt idx="82">
                  <c:v>7.3884707753371597</c:v>
                </c:pt>
                <c:pt idx="83">
                  <c:v>8.1067166444625638</c:v>
                </c:pt>
                <c:pt idx="84">
                  <c:v>8.8936351987962272</c:v>
                </c:pt>
                <c:pt idx="85">
                  <c:v>9.7555580101435719</c:v>
                </c:pt>
                <c:pt idx="86">
                  <c:v>10.699352667930155</c:v>
                </c:pt>
                <c:pt idx="87">
                  <c:v>11.732458335053</c:v>
                </c:pt>
                <c:pt idx="88">
                  <c:v>12.862921546994569</c:v>
                </c:pt>
                <c:pt idx="89">
                  <c:v>14.099431701662946</c:v>
                </c:pt>
                <c:pt idx="90">
                  <c:v>15.451355543325072</c:v>
                </c:pt>
                <c:pt idx="91">
                  <c:v>16.928769775718141</c:v>
                </c:pt>
                <c:pt idx="92">
                  <c:v>18.542490744828545</c:v>
                </c:pt>
                <c:pt idx="93">
                  <c:v>20.304099909196413</c:v>
                </c:pt>
                <c:pt idx="94">
                  <c:v>22.2259635638958</c:v>
                </c:pt>
                <c:pt idx="95">
                  <c:v>24.321245003558111</c:v>
                </c:pt>
                <c:pt idx="96">
                  <c:v>26.603907001449961</c:v>
                </c:pt>
                <c:pt idx="97">
                  <c:v>29.08870214925129</c:v>
                </c:pt>
                <c:pt idx="98">
                  <c:v>31.791148252118649</c:v>
                </c:pt>
                <c:pt idx="99">
                  <c:v>34.727485615718471</c:v>
                </c:pt>
                <c:pt idx="100">
                  <c:v>37.914612710476788</c:v>
                </c:pt>
                <c:pt idx="101">
                  <c:v>41.369996373021557</c:v>
                </c:pt>
                <c:pt idx="102">
                  <c:v>45.111552431778698</c:v>
                </c:pt>
                <c:pt idx="103">
                  <c:v>49.157492456264237</c:v>
                </c:pt>
                <c:pt idx="104">
                  <c:v>53.526132269035379</c:v>
                </c:pt>
                <c:pt idx="105">
                  <c:v>58.235657974871543</c:v>
                </c:pt>
                <c:pt idx="106">
                  <c:v>63.303845610531603</c:v>
                </c:pt>
                <c:pt idx="107">
                  <c:v>68.747731163498131</c:v>
                </c:pt>
                <c:pt idx="108">
                  <c:v>74.583228715907453</c:v>
                </c:pt>
                <c:pt idx="109">
                  <c:v>80.824695905553227</c:v>
                </c:pt>
                <c:pt idx="110">
                  <c:v>87.484447816764217</c:v>
                </c:pt>
                <c:pt idx="111">
                  <c:v>94.572222860706844</c:v>
                </c:pt>
                <c:pt idx="112">
                  <c:v>102.09460719010204</c:v>
                </c:pt>
                <c:pt idx="113">
                  <c:v>110.0544276897074</c:v>
                </c:pt>
                <c:pt idx="114">
                  <c:v>118.45012750908469</c:v>
                </c:pt>
                <c:pt idx="115">
                  <c:v>127.27514230864332</c:v>
                </c:pt>
                <c:pt idx="116">
                  <c:v>136.51729964672518</c:v>
                </c:pt>
                <c:pt idx="117">
                  <c:v>146.15826793585666</c:v>
                </c:pt>
                <c:pt idx="118">
                  <c:v>156.17308475471361</c:v>
                </c:pt>
                <c:pt idx="119">
                  <c:v>166.52979657382599</c:v>
                </c:pt>
                <c:pt idx="120">
                  <c:v>177.18924266525872</c:v>
                </c:pt>
                <c:pt idx="121">
                  <c:v>188.10501466750821</c:v>
                </c:pt>
                <c:pt idx="122">
                  <c:v>199.22361959638474</c:v>
                </c:pt>
                <c:pt idx="123">
                  <c:v>210.48486781162654</c:v>
                </c:pt>
                <c:pt idx="124">
                  <c:v>221.82249856803065</c:v>
                </c:pt>
                <c:pt idx="125">
                  <c:v>233.16504457473428</c:v>
                </c:pt>
                <c:pt idx="126">
                  <c:v>244.43692403637183</c:v>
                </c:pt>
                <c:pt idx="127">
                  <c:v>255.55973482763702</c:v>
                </c:pt>
                <c:pt idx="128">
                  <c:v>266.45371186598442</c:v>
                </c:pt>
                <c:pt idx="129">
                  <c:v>277.03929663356234</c:v>
                </c:pt>
                <c:pt idx="130">
                  <c:v>287.23875838386158</c:v>
                </c:pt>
                <c:pt idx="131">
                  <c:v>296.97780090157573</c:v>
                </c:pt>
                <c:pt idx="132">
                  <c:v>306.18708748848229</c:v>
                </c:pt>
                <c:pt idx="133">
                  <c:v>314.80362040113323</c:v>
                </c:pt>
                <c:pt idx="134">
                  <c:v>322.77191904270251</c:v>
                </c:pt>
                <c:pt idx="135">
                  <c:v>330.04495310052505</c:v>
                </c:pt>
                <c:pt idx="136">
                  <c:v>336.58480141580617</c:v>
                </c:pt>
                <c:pt idx="137">
                  <c:v>342.36302331760243</c:v>
                </c:pt>
                <c:pt idx="138">
                  <c:v>347.36074502535246</c:v>
                </c:pt>
                <c:pt idx="139">
                  <c:v>351.56847820843956</c:v>
                </c:pt>
                <c:pt idx="140">
                  <c:v>354.9856998311862</c:v>
                </c:pt>
                <c:pt idx="141">
                  <c:v>357.6202313064079</c:v>
                </c:pt>
                <c:pt idx="142">
                  <c:v>359.48746042102465</c:v>
                </c:pt>
                <c:pt idx="143">
                  <c:v>360.6094515443661</c:v>
                </c:pt>
                <c:pt idx="144">
                  <c:v>361.01398864835977</c:v>
                </c:pt>
                <c:pt idx="145">
                  <c:v>360.73359223342612</c:v>
                </c:pt>
                <c:pt idx="146">
                  <c:v>359.80454604784893</c:v>
                </c:pt>
                <c:pt idx="147">
                  <c:v>358.26596321049442</c:v>
                </c:pt>
                <c:pt idx="148">
                  <c:v>356.1589146377919</c:v>
                </c:pt>
                <c:pt idx="149">
                  <c:v>353.52563606951406</c:v>
                </c:pt>
                <c:pt idx="150">
                  <c:v>350.40882388599522</c:v>
                </c:pt>
                <c:pt idx="151">
                  <c:v>346.85102457852742</c:v>
                </c:pt>
                <c:pt idx="152">
                  <c:v>342.89411831767262</c:v>
                </c:pt>
                <c:pt idx="153">
                  <c:v>338.57889360150227</c:v>
                </c:pt>
                <c:pt idx="154">
                  <c:v>333.94470742040471</c:v>
                </c:pt>
                <c:pt idx="155">
                  <c:v>329.02922365792261</c:v>
                </c:pt>
                <c:pt idx="156">
                  <c:v>323.86822143898576</c:v>
                </c:pt>
                <c:pt idx="157">
                  <c:v>318.49546470685306</c:v>
                </c:pt>
                <c:pt idx="158">
                  <c:v>312.94262432839508</c:v>
                </c:pt>
                <c:pt idx="159">
                  <c:v>307.23924437467781</c:v>
                </c:pt>
                <c:pt idx="160">
                  <c:v>301.41274479617658</c:v>
                </c:pt>
                <c:pt idx="161">
                  <c:v>295.48845342304304</c:v>
                </c:pt>
                <c:pt idx="162">
                  <c:v>289.4896610020603</c:v>
                </c:pt>
                <c:pt idx="163">
                  <c:v>283.43769378114553</c:v>
                </c:pt>
                <c:pt idx="164">
                  <c:v>277.35199893181345</c:v>
                </c:pt>
                <c:pt idx="165">
                  <c:v>271.250238834318</c:v>
                </c:pt>
                <c:pt idx="166">
                  <c:v>265.14839092337127</c:v>
                </c:pt>
                <c:pt idx="167">
                  <c:v>259.06085039601066</c:v>
                </c:pt>
                <c:pt idx="168">
                  <c:v>253.00053361454457</c:v>
                </c:pt>
                <c:pt idx="169">
                  <c:v>246.97898049766053</c:v>
                </c:pt>
                <c:pt idx="170">
                  <c:v>241.00645458549604</c:v>
                </c:pt>
                <c:pt idx="171">
                  <c:v>235.09203979510809</c:v>
                </c:pt>
                <c:pt idx="172">
                  <c:v>229.24373315756199</c:v>
                </c:pt>
                <c:pt idx="173">
                  <c:v>223.46853305330708</c:v>
                </c:pt>
                <c:pt idx="174">
                  <c:v>217.77252264505606</c:v>
                </c:pt>
                <c:pt idx="175">
                  <c:v>212.16094835313419</c:v>
                </c:pt>
                <c:pt idx="176">
                  <c:v>206.63829333283221</c:v>
                </c:pt>
                <c:pt idx="177">
                  <c:v>201.20834600173674</c:v>
                </c:pt>
                <c:pt idx="178">
                  <c:v>195.87426373178909</c:v>
                </c:pt>
                <c:pt idx="179">
                  <c:v>190.6386318698261</c:v>
                </c:pt>
                <c:pt idx="180">
                  <c:v>185.50351828492714</c:v>
                </c:pt>
                <c:pt idx="181">
                  <c:v>180.47052366386413</c:v>
                </c:pt>
                <c:pt idx="182">
                  <c:v>175.54082778972199</c:v>
                </c:pt>
                <c:pt idx="183">
                  <c:v>170.71523204530925</c:v>
                </c:pt>
                <c:pt idx="184">
                  <c:v>165.99419838396173</c:v>
                </c:pt>
                <c:pt idx="185">
                  <c:v>161.3778850071036</c:v>
                </c:pt>
                <c:pt idx="186">
                  <c:v>156.86617898156348</c:v>
                </c:pt>
                <c:pt idx="187">
                  <c:v>152.45872602103336</c:v>
                </c:pt>
                <c:pt idx="188">
                  <c:v>148.15495764590631</c:v>
                </c:pt>
                <c:pt idx="189">
                  <c:v>143.95411592459496</c:v>
                </c:pt>
                <c:pt idx="190">
                  <c:v>139.85527598775104</c:v>
                </c:pt>
                <c:pt idx="191">
                  <c:v>135.85736649490792</c:v>
                </c:pt>
                <c:pt idx="192">
                  <c:v>131.9591882212197</c:v>
                </c:pt>
                <c:pt idx="193">
                  <c:v>128.15943092034539</c:v>
                </c:pt>
                <c:pt idx="194">
                  <c:v>124.45668860827936</c:v>
                </c:pt>
                <c:pt idx="195">
                  <c:v>120.8494734021431</c:v>
                </c:pt>
                <c:pt idx="196">
                  <c:v>117.33622803769934</c:v>
                </c:pt>
                <c:pt idx="197">
                  <c:v>113.91533717966233</c:v>
                </c:pt>
                <c:pt idx="198">
                  <c:v>110.58513762977871</c:v>
                </c:pt>
                <c:pt idx="199">
                  <c:v>107.34392752914137</c:v>
                </c:pt>
                <c:pt idx="200">
                  <c:v>104.18997464327164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7E-48C0-9694-15D7165994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3576287"/>
        <c:axId val="1659148559"/>
      </c:lineChart>
      <c:catAx>
        <c:axId val="1663576287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59148559"/>
        <c:crosses val="autoZero"/>
        <c:auto val="1"/>
        <c:lblAlgn val="ctr"/>
        <c:lblOffset val="100"/>
        <c:noMultiLvlLbl val="0"/>
      </c:catAx>
      <c:valAx>
        <c:axId val="165914855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635762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txData>
          <cx:v>Personas Contagiadas por Departamento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chemeClr val="bg1"/>
              </a:solidFill>
              <a:latin typeface="Calibri" panose="020F0502020204030204"/>
            </a:rPr>
            <a:t>Personas Contagiadas por Departamento</a:t>
          </a:r>
        </a:p>
      </cx:txPr>
    </cx:title>
    <cx:plotArea>
      <cx:plotAreaRegion>
        <cx:series layoutId="regionMap" uniqueId="{AD8560FC-B993-4D79-A0BB-25B365996C16}">
          <cx:tx>
            <cx:txData>
              <cx:f/>
              <cx:v>Contagiados</cx:v>
            </cx:txData>
          </cx:tx>
          <cx:spPr>
            <a:ln>
              <a:noFill/>
            </a:ln>
          </cx:spPr>
          <cx:dataId val="0"/>
          <cx:layoutPr>
            <cx:regionLabelLayout val="none"/>
            <cx:geography cultureLanguage="es-ES" cultureRegion="SV" attribution="Con tecnología de Bing">
              <cx:geoCache provider="{E9337A44-BEBE-4D9F-B70C-5C5E7DAFC167}">
                <cx:binary>7HzZkty2lu2vKPR8KQMkxhPHJ+KATJKZWZNq0PTCKFWVCA4gOE9/deN+Qv/Y3SxZtkolu9UR6od2
dITtzCQJYgMb2HuttVH+5938j7vy4bZ9MZuy6v5xN//6Uvd9/Y9ffunu9IO57V6Z7K61nf3Uv7qz
5hf76VN29/DLfXs7ZVX6i4sw+eVO37b9w/zyX/+Et6UP9sTe3faZrV4PD+1y+dANZd/9xb3v3npx
Z4eq35qn8KZfX+7KF1e35Xh7b9uXL27vTVYFWde32V2Pf315cvvipoLHXr54qPqsX66X+uHXl0+e
evnil2/7eWbTixLM7od7aIu9V9SlEmPPw5gzTsXLF6Wt0t9uO4K/EhJ7WLqcSOR6hHzp++zWQPsf
sejRntv7+/ah62BIj59ft3xi/68vr96c3Lz8y2nJOut/njXfboO4evM46l+eeuVf//zmAszDN1e+
cty3k/af3fpLA5+MCPz2bz3cwuKpb3+u5wSVBGGOXCEQfP/Gc/KVRAy7yEPIla5kcP/zqvnsuR+z
6fu++7rtk7Fuvvh3/Dfz3tVt1d+++Hd1+2UCf8K2I6+w68KOk5K5mAr3me8oki5zkSCSIenBrvza
dz9k0fdd91XTZ567+vffzXO26mx12z98mb6f4DnvFZNMIMmZYN8LmPIVE5IIjxGXcoFd+qXvz9vu
6kdM+hPX/dH0uevO/2auu4FsOvQ/OWB6HFIdgiQnuYvZt6lOvCJwnTMPwiZ9nup+xKLvO+6Pls/8
dnP1N/MbxJcXp1k6PJRf1v1P2XOUICKp4C64iD5LdeKVSymmnHDEkfd8z/2QTd/33dfjeea9q9O/
mfcAzp1kHx/a/vb+p7qPI+q5ACOxpIgJwJBPMKZ85TGOBf8mVP6gMd/325PGzxx3cvI3c9ypbW/X
nxwtOaeehH88j38HoohXEEnhHiKEeB4g0S8L5nOe+wGDvu+43xs+c9rp3y3H+foWmNhDdVul9svs
/YRoCdiSYNhwWG4gBTH2bLshuE4REDvgfa7AX/r+7Lkfter77nva+pkP/b8bOfCHDkSA8idvPYCP
knmMepQRQr3nDnSBGnAAoZjxZ8zuh0z6E+/9MZrnrvu7sfIttf+htfxERYUDuhQuYYQCvUPPeTnm
hHDGXA/8iylsz2+43Q9Z9X0HPh3TMx9e/d3gJqT5i9v1ywz+hODpvSJcCpeB4IUhRn4HagL7AwTq
Moo31PKNqvKf2/N9v31p98xjJxd/M6Ti3368/Y//e9v9VJ+BAIbEZwETOPe38VK84hhogaRYIvJc
CfsRi77vtT9aPvOb/7fTUiBavgFJvPrZagpGQNgoAT7O4ds3qQ5cB2GSEQy7kkj32+22hbsfMOr7
3nvS+JkDr/b/wzfe1wntSZHhv14i4J7LGCASkJGlh7/Fk+IVKGEuZRgSHkWw/75s7c948klF48+N
+r6PnjR+MopvSiX/PTWBP68X/F5UCW77291jNearksFf330cKtSPvmn6Gwz4bhL7PG/7+19fCkFB
WwQf/F7n2V7zBEJ8SSbfafRw2/W/vnQE7CvQJiHHYSzAbwjeNz18viWBPlCPgFRGXUzEVvGpbNvr
x2IRg9QnJPQP3AGU65cvOjv8dgtypgd8kWHCXILc36tkF7ZcUpAuv4z6t98vqsFc2Kzqu+3FL1/U
nx/bhki3cMCh3IQpAX7JMYeO6rvbS6jEbU//n5yWePDGRIaNNYXC9XhtSfFuyYvYsLhh5q2Dx6ie
qzfapdEqyIdlGQ9mFW++mrbv2EExDPZbQwRyKcjwHnMFcdFTQ9Kqlks9IBnyatl9oE6Xq2korz1C
33BZeT5h/FNV1zh0W0XyuQ35RCs16vZ13XoXTSUu+kRkfp+ni5qRjdlca4V0NvtkuUkduV/d7M20
4mNCmqgrkph7SWTSJHamJCpaHGVdaMd0R6qj1nWcEhkDpYtMxsIurQ7VKmJRspCtOGrpHIr2Ind4
XPQ0JC0NM2eOu7XcD1rGc5aH7rgjJT4KZw63yzPi8fZvta67OTu3hoY5k1GXiP263YrtMkZuIePJ
RdGYk3Bdkzj1yj0IdXGCysDmmWITDY2DogJPoe3cI6uWeMYi9gJQWoMuPafzHCO7HjY70wVGlCUx
M/CCrt5v19y6CgsTu8Y9QpAJxgUddcXDQprD7JGd7k5XuR+Xoy4rVXrzoe/FnqUs5JaH2mmOmCaR
dEU8rJFb0x13qwMBmzo5hivlcZnxoKlvZTaHab0chIciw21Y231FZNQ6OKoIj7UmO+rxOG/M6TZ7
vIBJZuW+YmR/vg2RILP3hBttFjc535Nsidd1CHV31QgarLY6uG55cHsao5bsPFwesyaJJq9TuPzU
WXREdRJl6Riadj50Yo3WEkdFVh6SVgcEvak8Fg/JfJjcMbS93fecx9sYks6JqkFpmuwXmDkNU7ut
kZa7EZ9FXMxmPyyZ7zq1ypL6oF3opW+jzSU029aQEw2FOUyNo3J0t3mv1O7nS0bGIr8Zhvmg2ylE
fbSaKdysrtYlmkcJ/YIv4dOm5WEtV583vZq1jkZcKdfDPm9lxMGV6STiNjd7N5F+WWqVVVnEW5j7
dvAlyf2JJxEaYVwpPqY5DdmCImesDkvqRHZqohU2cWvjlbRRqh9S6vlAsY6IuTubykc/iYI+tq4w
+Esnr6e1euMUOqIzUWs1hCjpfYZ6P63LYNLDUeZO2I4mSK0HU/OBDt6pdYsTJ09h/5q4L/ITYYuY
1Oee7fbL0J2no/Mamdwn/XBGsXuK2vJkxGXcM+90XamaC70b3SXgmkfdfMgzhHbM02oiJLQ5inhv
9pQfK5PsBpfCRhex7sw+n6awzHmM69Wfs1llJQw9gcF05UGLILc6cgoeuy4JO3BEnrDYJmskNY46
d45pd1YWTlgzHM0u3tVddRDJZT9XYcWmMF/TEz620eqavU2GcFhJ6LHluJr6uC7Qie6izJFR2ci4
4hfSukGSuVGKq0OvvZ2BhY/L+rA9kqfWb02pWlLuC1ggSXGuSxHMHEUJqg4o4bHQIuKw8QyYLtY5
pDTdp/XjBOSN9HVi/A45ARbmUE4Qj5LlKCgYBL/TwdmRk9W6xyaH8EGRqxy+xPXkhbPBEbrjfr2o
bQklLYK14Cl2RVOmti6TRewzCGoDBKBR88fvjcdCZ3nvVspYHixmDjebeeIEc1kqr3WjHnYYmpxo
0rA/aibUWhenxvF2Hewr3tCdzT47iPY46t2IJf2OdSJmAzqWkoaoGcNlPQOhZtf09pA1brgNatii
U/2p8GzAjYy2hb+m4y6BaJ3CzmuxdwInKULZV9If55L4fWns23Fpp521oxdJYoabOvlEXN76Q7n0
sZeUO2+aqnOW5bOqMqeOS4cGixiXQ8OzVVWLcK5Iiz6uCT1xk7bbJ1iWMcm6JVjYUCiTeG9GRj5o
CCQNMicTSf2Fe74Y2ZulyZGicghsZkeV8hOG2y7uEq1VP2QXRTH4QqyuatzF821feaoYG3+1wZh5
g+qY2ymP6ddzMRxwUX0ciyLUZfluHEZYdExVZXtIyuvKkEkhS0vVaaqWufQJKmOe7ieBJ8Vsds25
VI6D99mYndHR3Q1Mkba9ajx00m9BwdqPTXs1p1mu+pp+kE0aeAVsPoxvHDrHc66q9M5xnItyxjck
bY4Q74JytApQxW6EBNnMZdhn92M/RsPgFErq9RPyalW39Y4Q9wZlxeVoI1K4Z7p0zlIp3wzK1MsI
dsBibOV4dNcpnll2+/Vhk99AxGdwc2frpc1S/dspoN9//uv0y9GixwMof1x/+hNe8hve3BDdkx/P
AOYXMPUNhPx8COlPbv4YvsRQ/QRVEYqjfwkw4RzSf/y/34+zbKjtj4ZfQCaHUrgHYhccLoJDKI/E
4AvIFK8QIEjBtjorVGW/hpgCOAaVUMdDzJMMbv0BMTHQC2CBiNHPNP7LQJ94AYD1d6Ad26jjN9DO
laC+eXC8CTRwKDA+hXbYMtQuCaHh4MyQP73hoXezSeFKqsFWs5oTkikn4dp3iQ2zlr1pMJ0U79vd
bBemendMlZe6Jy2a/cFUF80yO0G+dlzRgQSOkKdOUqglM72fFZn254oZhdMxU0s6BunqBlVyKs3l
OMzXy+gcCryEctHINwm7yay9h6Ngr5vVZMFoufGHPv9YNdkn3IlTnetOoWF4mBzyepmbdyKbjRK9
1yomB9jbLg6ygl/ztoqSTr6uDDJKc6lVnRntl3TXT/CjE8YfN6tAimaqw2mmyJrcF8K7ztpPKTYq
Z2/cC0bHi6ESV3WP3o4ZviWLxCpZm0ytub8W6FS2SUy6KVMI0Q8VQceVJJnCwrmvehK0NguGHl5W
rwnEWDfqJrMEVTurphCpIty2MCNDpZqOv63wMCmF2IXXVZXKIfHilax+J6dWuWsZjH1z4abJoGS+
q4S7J9iJ6rQMWqcyyhH1a0zIbTN6t13dXpqp/1Qmw62smv3Q0t2SuUNgOtn5eKnelszmAK574RP7
SRT53WLp5Jd8cFSXTreOwVoxt2EKTfRkbpdzzzjb1C4P+SJup34+6RJ4xFrtKk6rN9xBh6SaT+p5
9AcZiDHoSXvd1OlbNplMtSV4vjL5Bycjnx6vNDK7c+z7ZiyMsh561zCA0ul4CUvjsDSJjQZD9q3T
TX4zlGfLWKWq12d04F7o5C3klrzZk7bvd0DxFjUlRcg0emekgewgLy2tzmbujUoPOKRtilRX8F0D
Ww6CYnK/JM5J2lXFDqHkgts7AXlAtYZci3V4h02zd0vTqzyfbtpiEn6bv29EO/umA+znyekjl9Dl
oAs1CQ2uMUlQlw0sdzlfpuWE/LB3y/ZMOO2inKnfA1zGjXAi7E17z3HnfZEAuh6L9Zhwm/q0zpCy
jVurpWjN2WJgwhKHXLTr0c3aRHEHt37mpJcToWqikLES2x3kgkaFuvpj2epFFYx5asqICK2F/MKL
S5bn/DjmS2AkSdRK+1Q1g1sq3eXaJymvVQH4EtM0zPL6E8pxo0qbtjs4afB+pJBfU4nflxhXO1MB
dsrLtlH1OJIL23lXaKn2bS1TVedrvitXfEHRfNEvuvXBH9gfWnnStoL5GlaTalAKeVi8ph1gD6On
wmfTW2Dab+c+K4MZFa/z+j53svlcOztZxS7S90DPq8CSdd93+ftZi0R5Q7JPHO+mr1Cu2ND72JKA
Aj0ZrBttn4ZUhwKt0QaQvHQKJ9dnQIhKZwyBo++NBN6VJhGEizBlwB+nbidnwBJJtEGrDUhxwB0b
NkrhjW7ZfzDIHpx0jao5DTuKjqxoosor323f5xlHS5FEDnzOKY7MACvfcXzYBSEDkjIAbeWy3OuG
P/Yh7LtmdvxHfJlVe9YB0K03YN8chdRRhafdMpnTqvB2KA+xs8TSeDsK1KvKKqo0KXbGnGzX7Fwe
EFjmYgg2gHQ3FsK12LXjiZynUDcycmV1mOFz4DSegDUJQORkqFUqNEQSEVej2W8or0EwkMQcNty2
fQK/DJd+B1Au3JBfvXq7vJhiADdr2h+kqOIhm3YbCN6gv4dPt490KA8b1PeAxW4tN3sKlET9Bj2x
BYIJUzCsWTR0Yygdc5BjHWL0YQOQaM4i7YyxlV3Ihb912hbJjhK2L0bAlfCIWYFWjk0wyZukAaqr
gW9XgMIRCdsKqJs8F+dtmuy0HA+gRkQbjZA4cmca5GyJdCkjWtTHtCyBANw+AlmwQwBrXlF5mgNH
3Nw0ZzYmJ7y0H7cFsS0AB5bQ9r1fAGu6l+PN4nT7GS5ujOILs9i+bw9tPU0M8hKwKDSIGEsWUy1h
ZU0+piOQd3MQlbtLUxRVDVAjmNVt9dAWuB6QxszEJeLv564+AMP1+WqP25J+dC8sym1RIVjeTUPC
baFuSz1NMr8pauiy2kuLjzr1dpmeQ7fzp36NtYGAQ1EkuIx6IMHZ5PgOfrctoG0HcPxuWwjO6j36
bbN/o2eZBaHlfTsNfulde951mtxosQS0HABB1keszXHD+qyu9s2yRpDV/Ba/y605LGsaJwTodMOC
Oa8Om+MfzT4Zi2W/kZkMFuKo18jCRtwIzTZ3NjVxd7W124hiPQAHX4AJgvhTzHP0uGzHLKKwoiph
ldevPqudHSyoE4TXmIL04zVyv40EDpMqSCpq6umJgDWS9CTUb0fRxBuBBJZxSCYUeQv0LUChgc+x
kIpBVquWO4n6YCPkLkJR55SHdq4OG1G3hRNtKlFSoSMHm5i5cKvhKqtCZ5wv2lZeUS5fl2i5yd3B
J4UXd/N0mXrrfrVMObW8GmkTJ2Pqb8+idrrZXuGs+LWH461pMy9XvBmjqSb9aT3V7+ZcpxDNiuGY
G3nC576JHUvcSANsGMfltJfTjZMPneqRw1VV84OTiBZ0nOHDkAkJg/FuF16ctaLKfDZP/poud1/h
3e/AR/c5eoTTTIBFQe8EsVTy7f5XCmWVNGtlQAaEKFXminu7ArQONixHSwBFQS7OVLM2rUqIbJVB
+l3aXPBxvXQz26lFAEGR69nYrtFIPyRMXznlpzodzlnZXxdddpM5p2mfXOghN4pP5GKy+mFyu305
1P5fjwSU3m9gMAyEbgVP7HLPIwD8vx7IXGfNWLsuDGQazjxhg7kRu9FOZ3mxvP3rrvAm2z6Vdbe+
QCMmcAgTKnYA7r/uazCZO6UG0bBI5G1mdn2rH+ZBlwCzB7US93pKmrNa5g9WN2erbF//df/uczV3
OxzownElD07vom/VXFmssIyWkYZlIR66ab3jjT7XNXubd8Bfx3RfdQyMGfE+9yrI2VN/3hsCInRx
jcbrKSWZD0BAAY4AF2s8qgWbs2ll926LIdB2bxa0GMW0y9VfW/5IRr6dOTjsgSUGxYFy9A1Z0XZF
1tYZ5MqmfshofrII/h7U12URb8k0cJVtK8Vd0uuiQBuc7l4THWM+DUBYGn9yLQDqpYEbvPNHtzpu
aFESy3eOHAc1ZCA+OsnRyuY1G+G9tp3vLVatk9/AGQetkmEq/Wlw/KXXNxMuW5UCAVBZhx+G2nwY
uzit+HWW61uPt2ePg/+N6/622f7nMegn1agvJa+NCHMoYv45d35S0fqjQrM1+oo3SwRHCxicrYNt
KWBL/sabJYK/G6CwfrdaC5VPmDN5BUeFENzAUDP5XKb7mjmDHislFMmhhiH/S7UZkB6fbeONOcMh
M+oiCrxgu/9V7ONknRdvBbKSj8l1T8qPwICATL4VDjuzBsodCwUFDw7znvVzsh8TcmbGNPeTjGMf
rQC689L4lSl3sjFEodnbyQIQSjdxv9QTUoPTdGrM616VOgWhk1WgJgPAB9QMObk1iWrXHJTlbDhM
jDu7PHOdHVDtDFtgbKCiFSW9p5gDFJH8bHYAJNSevHZE8r5i9yuBIk7Xdp5KRn69DcGz+K7CDBBI
5Zs080dbHARu4IEa/oMLvk816Phr5X2qh7N2DAesPz7ec5v0Zp5Ak0xqT9mEZ6oAhWygk/R7Dltv
mPKgzBmgxXX0m3KWflrBm/IaA6cHka2U12Iec5V7Zg37FmychoPLitvNrLmvc1Vgul9XcV2OILEC
G/Vnvey9Sly7tviY43VVHNUQvNL6flj1B5Ss0l+HTgQ4NcCvuwUkimmXawoVp6z4qIfKT1fjqU7i
DmSvJfUb84GxNlct1x9N3cOovfzcbcZrA5Pfoq7xLV3vAMb8L7H9X2L730lsM+AO3CnMHpPkcl7k
neFlONYFLOFM+hVPQMow9T6BDeSu7a7RpRugMrf7Guo+WE+nPHmPquk1d4W+YnhaTrsapHA2pfUJ
CBqtL2fqRF2aElj9UIlJZHYY18Ycq9HbZ5klhyTJ9GlLswDkDKLaqix8M87XFUSiuUbv8FraWIii
8pPR3E/ZNIZOZ8VxmLpApzK9Adyt2kGTACoraTwC58EJmXyPVivUhyBJ2saAekIh9U5roXRu3/fj
YoIh7a5nVk4H04DMUTC/3ZQGmrn8qkL1oCpOj3XqzWEzXjHgIAEap7dQLf7Avage8vPMK1NfOhB0
e1uBGLXa91VxKvP5w0LL93JJ0wAEdZTNfdCvSzg5ZgqmeS19zSolpuTanW042ySQMlz1Cvjhxms6
qkoyfsxSOwbUgSAm8hSHoC76aKz3RABlS4CcqKYB6ZFkhPqynmNPtJfw11HGh/K9oxztUWgn4wFO
mASTs4qdSBBVZG5eV3zkQY+5Iq65R2NvVIWb616U8DadgUYzegeSVDf5WAN/FP1rkV2kiPbByCUP
rGfG/ZA+jCyrVFKGZCl3I/XOOjfrfeOST063QunVOCHAoywsynVfd56FK9C7APiC+xWkx+oNoLXk
hGVJFxRN9r6r6Ieup1VQ07nx+3oog97iRckye11TbQKmobJTA2aK6xJZf1iMvsgWJ1FoKUH90sBK
XMhQofNgzRyh2wLMcdzCUXC0BhaRWFStZQZ6l7R+A39CFgwlrNFUZWZ+wxFJD9NSRthuz7mgpngM
X2ia9UHnDkSJOr1opaO83IOCbqbVysQnPnZ9QEpRHahhla/FWAOl9guEzheyXDVNdccmKOG7jXL6
OnZExQ5CV8muyJKgBJp8RlYBhT9pu7NVFDBFsjinrVx8gCdD2JnpJK2rJMjrFEpfSxWyyW8Lw2FE
Fgp997V72U9Ov6e6QMA68306FcuV7eS7fHZEwM2ooSQDFbohcy/XZUr8fGyszxZmL4sUhaiGOuiQ
GMiG/dmCphuGm1RBkSaca8/zszQvfdY7AAZotx+pKd/IOdkJ6nNIaEq0zRXZalsZ4iDHc7c7LkPx
QUpaxS1qP7UpVPoZJHVq5ll162rAGLlzR6njRsx5VADbmcsqTETzvs27o2z9MUFXtHZCp4dC6UTg
DIUD6t0wCCBrkCgZy06uW5addba4WEx+irJUKGb0+56LZre6FsgrxodBZ/uudl67WRctDruvUV/4
jyChg/LAvA7+XE/ZziYY2OA6dyq7hvMZuaUBaUR6VrUlENzJqAzKWdO8+B0muzHBB4ybc9TZYHEC
oi+WSpwXuD2jpgfkQjMoRs7eVUmWFqIcPelhIwfzkO4XOpzQBHfB2OoPhZ5Wf2xCgPoylnUbrq7c
LVbrk0RXUem6fs2hXEh8S+7mDuqeJRweqM9GU1+6rKlBZwY9Icv7vXWNby1OgzYcTOeEIOIYlXRr
MI3pMWXj24LoNWixfAdF3VnVl23XgLo8Z0HpLqdVUhGVTt0UJJWUN7QAEDeCxizmLuBTuuvH8QiV
ScfHIHW1q8o51b72bL+vk6n1nVTrkDtuE4yunXzeEScAMWVUwrx3+1mrsndQoGtU+KhNqngZmiKa
abeblywsewtHd1DMOt37cuqai4klSCUAG6F0kuZBOy6dMg5DJxRkmSG5Ec40Hw2UrnlvT6dcT3vM
m0X1XugO4j7PwU3pAFGFns31cp3C8RKQvegxG9EnlCXCh8ikaJUnoGRpem5mfDbk6x422uUAFeHc
jm8dY9+vc6G6nF7OE1Q88rHifla69yvFsQPgLEha0NJp+yCy5DgPbRcO5Wx3UPQIJmoyyINMjQO2
Ck44WCXJcumOxAQOdlQGyWnKzEcpRojsXjZFDRl3Rd8cLc/eTmXagJQORaGkFpetLX2oeHSqCwtC
piB1vA+kLO9adA2V0jhxp3ssAK6LxE4g7wNBRPiKL/RCa3OdGxKNLtM+aGwaNnKXQrQ18URu0mru
fc/AMQNs2tzPW9efcmejny0siNbbLaMM6349LVL3QRZvRnu0Mw9qBqVmqB5DCZqInSTwwoRPfq5r
HaTGprvKzUfldOWZYc0b+P8/qBWeVjIVb4fzesjecwdYu1eKq3XOPxJRnEwJj2V5VqfLOZc42+sP
lLVnjhjPB8PPxtqKfS6Km1bAaZnVqtKxBmpCA4mrBIxPk0886S9b1Me2hpqB7RKpukabgynRKR/Y
eDbjeVIppOoD7hsQYfF4gvU4APZuTtxyKA5Fw25xqc0pODMYWPl6NFN7nXiyjhBIfYqy+p28qHib
HFLBt4UzL/AKJxrb7k3daXYKh6MmlTALUrB+36VdEnhkdCCOu8XBGdsj08Prkbuhgwc4xwE+9rMO
EFad8T3IH9cJARag80X6HfAO2QGqgj2Wg/pxOiVTOJZLPEhzNAvwOdhocDBm8t5aE/GNK7hTlvvC
W+4IHNIA0aYLqAaWJdIZilEp+ohTDW4zsBlKpgFqTCIouGCQGtNdklCQUbgz+nAc47pJHBEJwYIk
naHy2Ru5g01zYz23iojtz0hitxhv1f9n77x25TazPf9EbDCHm7lgqrSDtJV9Q0iymjlnvs08y7zY
/Fap1S27fTxooAc4Z+YAtjdcgcUiv7DWP1VdGEtgSvHHgB9Dc3LYB1cnHtap8JfOVKLcvqpVloX6
XH5pEwR5mr08Z+PssdGivFGW7Gyag0dxNXtcJlZXvnihIXEwM0ondXLfll5f+FpvLYHaezfol2/u
00g5pKRmqO795y17f39tvfG6+5VY+mmDM0ZqlyPQGD6t7XrrsvxLmtLW2R1buJO8VCPt4f09S6Vw
H3htbVujn+41exsMY5eW25OqbEGOf/nar9bXrnmpGud4PWjJ1SoN45prweQuWXAo1X7TJmWnetGR
IGnlFys356DZlznKllGLp9Xcb/O0BplwXUmfTi8zh1/U3YgS1SzDyhUdhVlHVZcNJ2V+HOpSD8ax
rLh5xzuzcd3Xa20+1B43QdUHbovy2VTq5flAmaJbk/GuW1Tfm7pALav9cW6mqF9aDjU1WjhT2aqp
8hUirPenvfpy7zdn17kcwhZ6+l//ft3t3X2PWqsMJi0775OqXhyTMbPMg/AvTebDWL/phj3s+n29
gl89dE1T0oee5mzennbrmqvZcSnm9mVrgnV3h8eV0qGZvAerGh6Nlda9aECN0ySxUVzqMCuOfhlm
5smuJQ7w+2CH1pKzma7G/tSuJT2GZ5enw07Tc5qEjrZNzJL0I0h4cnXsB+tIFACCfQns4rhuh1Dq
qnvxci5Our9OLKjfJGqgFQ34m2ooZn/Qtyirii/5uDF7s5cKyKL1vLdp2iJKG39di1+1abWjTqCT
RdefrdX5pa0ZMrCSY7g7D9lk+zuJKDBn6xJ0KkNntDkF0Pw66G0lzI80LpQpzNvc8xcudZ0y1eU6
u+rc+2W/DMHIvQizZCsf0tLklU7UutkzJdpbI2FWpJnytqL7AHZ5OhqQB3NFDTSknBM6Dv5TuE96
MafB9L6ZPyfakKGxmV9ZSY3ASCkM9qrkrTXLzi0rRKHxf7ru+aDAMdds9gW0KHL7SYEKT7bH+3RQ
ddaReay+OKN90Xt20LwvLjnIuj9vHSe18zUogQxA40C+l1xrl9fWmf1VWUx/HWD40EAesVubS1C5
2ddsay9z4uy+o+kfVGiCEILuaT+0Jcgc6wJTVO3Fh4rCRQanjEtV55tO6fQKfXGTNrEsiEpxPKVl
AfabHzE0E4JHukArBTuyFpAlOVSSTo9KzRxT1fKLKqq1++kkh00bIqsS8E63KFEtRRIrLEx8Eyi7
u4XVtJjBbBn+5tCFFSboUCcLwnAESkPVMTRFsMws2XNdfdkdhT1nPM5uD5nctGw4mXuclZS1sNs/
1rBM92ujGCx1uvmxL2onUCvW3PvtMOWcm/ytORufe5fTkhvRj/ZbDTbMLpFOtZoXtFpl+ItT+uhO
P94hs6LmcPcvtAtidqwmwJVZxjUCyc3aXooq9au6vpqlGTXFB68vPxvH8LrKtyok2uQ4V+6Whq13
OJG1bqq/mkrFEka1opYLogplXKJD2eF3GMT2NhxIdpW39c5YkwXyvnBvaU9Jtny1HVQOw6bmPqwl
t/++BWz21LPJW2hwOVPD4a647viKcvRs6iNstpHuoZKs5dUcaYxatUh8ZOR9WJpNemY5H9mXwSVl
mmxZElvtYAVmBmRmOqFtXHqWWr+xljEcNu+tmiyfu258V3bsQz8BwH9AJhlgvf/Mi5gOAD8CGSBc
ef4nQNUenLFLRYqkmIyavTijUb055eELDeyB+zXT15wBZ27OU1Ywu+6gYdUlb+XMlKYDd0w/yiIg
99b0ql/d6dru163pX/WFdekZhPnMqIQ3FDjT69QlWJn5Vmo+FYb+oif+n3+lP6THLKTzhjjlcNT9
9huZiu15E/a6WDDheoX4VZF8WPmXCQqx3eaPdolKZtWdy59/7h/ycjoyMcwLOtlIhjgLfrqUetPk
O00Ql3Lo4zZJWRKsJ4GBp0KJlMl+MlmWZRXpDu9Jky1/ngu/PvIviNpp+L1PBuUDKk87H99n8+TP
ev3NlOJmZjZnaX52hzacOXE8IV+kZth7NpnW/k56fI+o+qMx8Ue8nIOXwsIYBWp/t0j89EWMwlTV
bIfxWXUmnpy5rH9rub0elch2iy/dMjwz5i99zvR1SpawnrrD3nMUK5QeJqtDzmmNwLoOxoSifZIl
vmQFng2wX1nkdu3rYbFntq3hOztvMH4UQpj+WZI43mi4b/bmQGukRHIvM6bm/Zb9e+gdrtc/5JJv
25p/fiuavEsA//GS/4JKS0jS/5gt+qe4oJ+UlrzxB2Pk/cU0sOPgW8Urcw/S+CG0JAXMIh/MNV3X
sUlz4E3/cPN4qmQ4aI7j3n3mP0stcbe6Qm/jedFd619y86Af/af1TSX4g1QkJJ+cjfo7wsjbSqvP
zSkDfEWTY6HU7pZ4rc5K7cRiYtiYb5VuRmJgqI00tPYP4n/pZ0AGEN8+c8625Z1H4NujWuJtU69e
jnSxUn0FOYySOXGNoCSbUH5QuWxtEcpraHzO84hM3kRrxPut+biUW2hoSD/41DxP7+aZDKELvSIC
m+6LjliduuHkoJ5YR+0EymWP9wMtA5IPDtKsW5woqPTL7qINr22npGNNTnJu8nCROrF8rjvloV1+
KD2cKDxlo75ZhvZKPx+XwAl3m4brfkILkC3AahZ8EGdhlwjzqUbFQCMujxFxR7ePp80MrLS9yOXD
+aN4DmpzO0whzeSUHDTr1spJg7J1LVIuzZ9qVFkIZgoF8VeHgMjornJ6+5TGmd3fuuUE2BhaTnOR
r5zt2/2s1cU+2cd52c0o0fezrdVX+Z4NjoSpbq9zo52sxAx6J6zpHCz35KnNxdFCe+zPq8Wiy92Q
F1XolqayO7ORKlZ/m2wrTPb6Ak59SrdobL2zhl1nL/a4x4ckrga6PxQ1arw3CHrau0vEnR9tVYlK
e8TqlT6w1XGV3cvcm77tloEmmzimEsrHS2nL7VviYdNvo2LGOppy+SvAu0hf5P26l4Wl916kLCUk
IyYevzq4nnt/GnBmiUFoRSPkIY/zUuOmUHG8NTwsQmh8xAQlL9YyMxa7kGEe14Neh55cvDq5oyNC
x3eEuQqiEuX9pVPwHaCiUVHTVBlX2UJpZhRhz0evW3XZxzUSdY2cmTkhiJoc/C+othivev/WnjJc
Mt/FX6JAc5zi6g40wJsGuLGfRMKVH9VVdERaop4QcZ7o/U6p45w+WUZ69fT91KHqqPb62vVvwKSx
LXln+ci0dIK0/LpiCrOB/zpnvXqNGYlxizjK64rlQ85YboOrb+FqvJhJ/Yi+IBBzBsvJeT/mSM3P
4kECuIw3NcNXUF+11YxqBnyOkKo64m1tr2JMU8sktKv39dyEoLh95V3EnDQY+C8Apu2EpoxbK8cW
RZKCMJANHk1T5O7lucCbIlY2MWQlvY1X7cEEXk+QDYpXjSl9HvT0gS4kPPqTjCZgYCqsKG+0m/jW
8pYtlK+a5K90rjmCcMBOfCYVk6LQ4071zn2F2kk3eKlvtEZklggCcT0NOV6jw8Owpt3kunnqEYAE
MHJwxMktTD4eStSgahNNnr2YceeyACTuCd8fZQJyPRMVbnlZ7eM0dtt183qUed+frvhbJWvk1Se5
7Qs2FYRvqMbedC7PuIxfHCziMRFh5YJ6MN2PczmasSu6sxQLhfMoEj1R3h3dflfgdUysFGm2Zsce
/h4FvXRuTXd1nIPvbcHwJS+Xo44scAvM+3IYD+J3KcyEyxRp7fensm4KO6ofUaQpJSfB2oG4GPSH
9ZG3i0oNRD0ayxfbgXlApyc6U9GW6iVrCTdQjDZ5jwWwea3o1UVGqjczOLQE8xyjlWEmf0U1ue3+
PiYnlDm8A/8jy41VIFhL16vI2kSZaYJzyYAXOd38qmtW5IfqB7fmlDido11PS/q6xocls6Y88NQA
JvCMHL7tmseKMSnOJDEw3dWhHNc+MuSTMBTOeWBlFcWqCPssbz/Jx65ZdTGSObKWz2hygq45yUD5
ManE3+ZsxxVYJNK15hH+arBdmL/tXLiML6u6Llnc2zlnhBLvb7q7Y3qqTC3SESykpf2QMYTFgggS
G8MDPSyrHYtDEfHbVR43Pmh1ER/9EZfl3acoC89C41Sn3XXJy4ssbrIADk1ycevxZNvn0jpOMuuH
IjtNiEPT4buraWfnTDGIaSLDbNWoQy70wULG5w4XNCAxapR4YKcVoeigpnf9qZjaanaztEhFjHit
nmSRWfV+e+3Mx0cwp/zSde7XZdkWKsxSjY9mM9kE66g8iiNw1aMJm76pzkM+Xmsvfd/37RuvVRgW
i/F6MlvWXuNNPni+t23PhqY+de3BXG1xUCJNd9L3bbKcFgCdwdVzv/PcSzu3IRhydCCdxOEV9F4B
7WC+65P6xIm9QcbmtGPkDO1NsZ1YVQCp+tA9MPcY3Uc30ZiiMAatcWn5qBrbo912cWmNgA/pekqq
9QlZ8K3QtCcUV2HHvC7n4mrU7rd+5K+ePs4WwPXcxLq+ftTc8pqY0yu8I7edx223jsy9xxNlPVk9
VbnqBNk+nPW9e/G8/n1pTzo67i7qzPox6/sVuxrM4aJ0Udqnny0HWZmtuW2wap+73kH+h+UpaDy0
Ja2hRZoLfUrRVvit2n/+N1biUs//vc7+z2FVwgpP9+v8Wf38I6n2f/3P33iV/v7OfxTQONpVy9I9
amFxBf1WcgVjzRPY5X/rhzf/QkCMSm2LEEolX4R3/UNyhduAx7gf92P+SxU0gWr/XEGjxsaBjBqM
8xNJ2M9tLVLrrMDqmJ86pPlW3qJDx/XNnjvNp0Ozgyn5fKDzadG0445BNo9uFwRTSlyFbdhgOQPH
sI2c0ihBZs36SyXaib6dNbPNukepiqXoLryLe9RR7uEblgJ4eL2gQr7b0YUHrPQP1bGd5xfL3uId
jbNYusWOLsct0C1XmCmlBOxV5dSzH9q6AqHoy+HFjyzVhfwFH7wkbAcd20KKKXlqXhdsFqBP5/vu
zyaisJmIm1vs1w6bTLm+eO0eScUhpyPldI5IesK1CfZ4ytDJT9kMtTSHak+hykbQNlGjKDEEXjz0
Fk4tM5Kn5O33kxEHNMutBihYsFGmeNoT2TjZQDPN79lO5WUq26v8lUZhcR4HNl+PTXigwMzYlKWS
qbXvR1UxdW+rcZP6W1veaF0Pj9hcFqqNbMaotEdSoPcUHQ1/vWo8ufZ+Ndns0qamu39TdgMmzu9P
S+HeU8PBCp2dBhsGMochjUvug1TTbhPtqhGLIx0n5NVydL+00lBM83IzNO65tBlziYCsv79LSZqL
vNuT7gfjuPRb0nfJY/vnFEM+XtOTDB4JGbBylBjW7kQTuKwqwKFN8aqXWufbZZSMxgnG/lZCQfmO
C0zcV0gj8ir/ZmfZGKTzgchNLz9R0KGFRtXx3yzp/9csaWXpB6i+ZV5S/XjbZYg9KxjRzFDe1Kn5
XhexvDW/GMVRy0Rd/c0AnHUyKBX1+GLPSdy6qr9AUbAgBGoyBsmkU98mQccm2muRivNLab3HfW3R
Xumog4ywxFtYqUaQqapf5n2MdPmd1ra3QfFiLfeebCV5INXkpcpzGp31PCGotIzPjlHf0Ac8dqP9
PGdWtLbeg14bX7Rkeu3ArI28vWnt526yn0vV/OhNZoAcqxnLV/YxzZchLfFCI1SIGwcxS1lhKRmo
L2GOdO3JdCh5K0RgSvNkpU+CN2Sv1Py4tn12qh3vbNCWT3DQi5pFldnfGkqw3sHdRaFeqqyVLT7B
j3DOA5EAbXuV1jsnwiEv9JtEhAgQYvR4RtgoRroYGyHKMtGWJFjJKMWlaKR4rCgi8SNFOkWlZAEU
5Wmn1MS/E+sfespPkzJUGoeZsrSkPO0oU+XxlLIVRdiDRhlbUs7u05NO6+ZR5FrS01L0zlnsUQLn
lMIVJXFPaTzifqVQTiiYbQrnf2Pt8nPp8j/+H0MRqQcAusHf/wRE/Kf8Y0ER//7GHzUQnmxVsn0s
w8XgeM/a+oEiuvxKBPUMD1LUyM8O/B5FBIx2oJs90/lNDQR2rRNQaf6tdvpXdOfGH6jOdYNIIEhD
DmlYvzOPoDY6Er1wvbjQ3m+zwc9mHHbgFMltUmbX30TvY+z781Hytysjh0FuOKqfdUNACkI4WGto
AsAgSokOT6eTL14BFoYW9OnaZe9qiOGp3cJ2ZUzruq8jq1K0h+0x1b96FczKiLbCWqIC1vGnm/EH
UL/Ubr/1duiuDR6P4d3VMaZI7fcT0t9MVt8ls22DfQEuNOIsx8A7odp2l9hufrH74/Tnn/gHhBMf
ybqi6txP1bx743/6yDHLeqXCL0uij+WXClXIcs5ay5/YxmEGHYyyJjk0lVmdN9eLyPbx59QKLK1C
vuMfGoz6MSHhPwhz+KUnZ2VQm+jA/239whKJEssKKlyAmoaqTy2CHeFp5r4nvyFUEN3++ZeR0No/
uILiSLBsBqFp/d7DtHJRh3Y/qINKNRg3K9jRe7hD8rL0LozrBn+RTLvf6+obzVNeH94Zj+brwWpe
ldjWlFV5o+OKd8rxfCzKmyax/bTWLqO6v7R0s82yBFBd7+St8tpiOV7tE7jj+kYO0XinGrhmBVds
sMrJAthjnRsA/zTAvw1LnYu1rt6/WkrmzxjuZK2cXHCNv62ZOsa8+5qMUS/9MIs/iroW8cIDrh5/
PQChqedMTH6Vp580TH9V5j0IlHs0ajDMHR5599waxclNvHMJ0rGoOujqcZVaWeriuT+u05sOo6Gt
JgGqt6T+5WDzXbK3MzpfG2WAsq63rdgIQhFLLAE2WfXgkD+EBsTP4Q1xJTyoRzxAjxbOhMjkpGbE
yUyfsuNhaS/WUvvcgcAyPxkubowDLaBybVC/elD3Q4d+UrN80PtIn63ALafn1Z5vezGkWMaL13Ub
t9u1tPag0cZL1y7RhoDKQCk0eWm0J0tEAlAwTGmEcPdWbigoUPz0xX7OUK0ktveiN9ljn9uBa6bR
omXRmOWPo7v4NTkmqrcjTyw+NZr3FvUw2qciGJztSRnSR5QlSC0vWfaC5QbB8Rqh1PbXMYm6vH21
cW6TiYJRyUA83YfUtq6/2okbmtocuz0Wenvmu/+ibcst8eagNFt/yYtr7VhBzqcsBA6sfdSWxnVv
7WAxO4BBMJ/juIxP0kIJ0o+Q+IrRMJS7dGAhLbGSjtrHXoylgM8OvYY0c5aKm9oh8KpdXyb7CNPh
/VC+s4p3SweV+hm74VkYk4aGrnCM22ALDp6cXQyvYNu9aUSp/rEAMZE8KNbYkzRaORbZDausMaKn
2+I8RSOEkVY6ogFjrRCfDUbbA8PtgPEWSdRVTtvFkCuNh/RmLkZdtcIahnE3h9MoMPKSi1Cl5j2b
C5foWRgYpHIntcfOTSfTTQRpoCMmOOKE3/AMS3V2PYKipsmX85duqwbfkX8FAZa/O7bjA/vx+u7Q
X2YMyfKiNMPsTVt2b9Pgb1Y4XS4xZmYJvlrG5tEtknOCJVxop3n7TB5QKCWVMBTyScmKVbdLJcIK
fLC7zQRN9R6dI7q13Xm/N9u1zrcz2r94L9trvzt3WF0wW1DJptPuiKVgtUmuRJ3S3gThXWiA1c2E
ZtrPbfYiT0umloEVFK5KIES9b26SACZYdFZ1MYJLySMTkqFvXxqli1UEGcp0U/vtomX9zams0C66
q9cRpGSyH7F4CGniWdfSzSJb784tVv7dg3OwnrTFjXZnYSFRTvdEONLZ6PSv6eidF2b584+As209
TmYnL8IirSX3yDE1r6+KY0R9umOwhyoHkZZwM4G1Jabsa60kl4ojznS5a2/RsdNmJkCWPTo/JR7T
7awYy1UlCE1cw4JCsiqz9tAwWzUQ2hBneTC0eMAxqsvTgqd3pFW5AI4/Fq2ib4EMkXdATqVKETx6
OqlLgLStoke4cn2bHBOzATz36ouArMUMSADcr6jreawKXOsHQD1yZPg3xmmmczyCEDJU3WWzXzvH
DA8DVzxX8ehAMBZgCKu7OUjIvT4cMwzWBqOBcYtckfW0uc8aYavk4mcuKkk+ecq10O1++YHwwpWc
p7SJCvoZuaMpHISwFYJkyGjdB4bysZP2ssYDORb6bqIyZsgzq+RMzYopq7t3jGKE3NNYGg/rRdvJ
TeGCCd8nfONWuwhcsLfTGgzuCfYhHO320TX3UF4263ssjKV0BwIfHEZQKccdmNFE5FOqfpp1F5Vh
nFqQroV3ygr1Dgy5IOR2x2WAccECfaq6s7qtkVwxob5q9jThU4RXuV/wR6dvwco5U8gxVYHNZSdU
uDAFf3XJFDSHIBn5ll5zUsCiuHbykjFXTsO2Mj+KU/oNA+DZIQ9C3OYS2/eD89nJhVGLPBQMRhYc
DyBI1kxJFNw10rGwvbZ7Gs2k0QjRKrvdSKvUgqHILirspgwoZz0ushLJ0iDHERpKqL7R+74GHvpx
qws8KkBCtVZdvOJTtW+hLKD7OoTp/i4vusfe+tS1CMfgM+/LW5afWOlkvfbc+Z0snBjxUAE3v1Ym
zsH/WuYfVLav6eb0APt+500vk0Gw0ValGt3zHIwN47hdL0pqf0MS5xb9FEzjNvhbM8Rqm6qo7dtv
DYF17TqXcfGSan2N8XGGF8FjYpR5bCp5uC3pS10awZAokZF0aMTnR3Mub5advvRsU2X7URm391pR
Rxnlog7wn/af2mn0ia7fd5zZDSlqgFEuAWob9GTV65fOQLVra8BSqAXTLKLcRMQbONV4Lezy5rnV
czktlBHdr+ZU3LK5fZYsxzWhK/dGn9Y2MMyvfZFGBq35NJdwX2d92uNUS+MUZ0ZXFoCZ4VFQgzjz
Y0byp6umF93RqYkR0Wtp4Hho5FDqpFoS7dmH1UWR6S3RMIxXJ8lua2qcNHUL8cX72jxIdk+wdDiU
5oJ+eQ2XVQGgYAdZ09iu+dvgD7NwdSE09kr2H7yuxlmBfrSXv+oIHOTJxfL8m1J4n3UJhGhSLvcS
9c4aNcmA0LsK6+3rhqkB/d7JHjC2KKqP5TMa7TXa1jTQu5K4voEECkTBifaQLkvUalrQ98kbI3s3
Ho8EbD4p6GH3rbyVOvFW9R6TVYWq2AyKIovNcgMt1XyTNMKR+qFzb4rBJUR+nyhLNDZKtOx7Gs7q
/P4oic9Civ3UO6xQXdq+3m2DkjDHGaxTTcKf6jvK2NcpByrZCHNgBimrre6d5ezBwcpDhM5ZMIUG
w3pSsknuF3UnuwAXw8g2siBSqMhJFRh2T6HIZ8QK07eDVanCviOyXGUhxdDm/o1vhJIUPnFFfiKk
n6S/SJiLZDe6nXomHcvs8Nx0BBqyQiO9fCzIBh0NL9hYJiQXcW0/dkRQytPWscbCMEoW4EwCZAoI
ozQFkQ0tqPdFiE2KjDPcUrwrzxOpgXVFNGsKns/mJB/UoKaUc8oWNsU0uCcVWhCFsORrHueMKKdh
H2J1tHrtZlIQDCDU+/5tRvCFdspACCDfQwJlFr6LvRHhKnwBx98HTDAYOuQdkloiKSkSiSLZL/cv
aZlhk6UP1dP4UDxthJ+sDioyduyO/U9kBRJtc2dTCfghDQnp6uqvs8a+InAxUZbZW4lq6UkZKKs1
lAyTaSCmlUU9bSjjyORAyZ3pc2RM1aMGZSBpLxJUJOcDPhXl6S9yBInWkUQheVrIZPnC8rgQzB2l
irxcRgwljuV0Z2dfSHJB/SKgNombqxN6WJscCjn5skJFHwc8BPoZOWJHeCtxf/eLMkweMloEFwPl
KRdKLkbBYt4VhGNyIySoyEB8gEHsYqFTaFsldpObl5L9mgIzkDXS8XRPfpEFWZ62GuGjFCuaL/dO
YjZ1xLEylLNrP8yn1HjXqywuIsQoyovntsh9cItajy1FxWDo0VYZ0JHHTQZ13jEFyuO0InPfau7o
drUbZK2UKvUyxwP750STqWTdte3GOCdS6qaXfUwzeJJvLuNT0Dth34f68A/vWVOciz2T8cIe3Osi
Q2JY67dmrePEAydcnbPanImfiFJrv67uU57M4Zh3F2Enkn0AzhTLCyVwcxGSp9QpLbSS4CjtXFJB
yq0q2MmF6DeWZ/xH5PG6Jwk/8nYqAoJprZomh2+3HB5OtfeS/7QTXVdmF5mwhdNeMxJiK6qNDGWO
3BkgynuEqtD5JUTHsBigE5sv/y8zqoDJuA9M06JX/35nZY1wOkKC6MybrbncUVANKuVdX+Xn9QD4
BBcVlkaelU8eKPpNwKQUn1h3nOyRoVtot5mIFoWpYbexrFA7EbWQUNeRiydI6KDHPRrMZu3vA0UC
h36sXGN/LXfMv0zVlSIb/+dJRq+qgNMq+v2xhsEDQ37N9NhSzu2ENo1HJK1IQ3BkgiIoGtUWOUFz
0oEw7N+Rp3+P9PI/J+EL//l/wjp/+2Odf4M6v7/vB9Tp/YUfkqO4NWirXYI0wBp/QJ3eX8A+XUIr
/xZmD9b0QzBp/lnChgOexoGIaGELR+/8L2RT6vrv8Sx+jdclRR241TENfuT1t4hg6uXuVuYOeA5b
0G4vAbE57BZr0GRfdk25HsMY9vmb8mWv22hQn7vWDJpOfeiINzY7I+iTDT3FZx0xneqWftmN2LHd
77rd/1ChzDX5/Wmaqqu6aPk9flRDIx79t6dZ6mQdNRi8TovhPcnyK/+yx+xjdVYVDB1gGlJvS3tj
sje5TNhcY+2sYvdk7liqkKJI0S5dikAXk4FzheJbYXUX6lqadIMSYmwiYXOlts8LCo7kWepyecd9
0eeVWt6S4vwVMet3GIKH6qHEt/6uAVyRuHEp+jXnGz1+JGjC5GmRBGFLw4244pwU6V3PNkCTdyBq
ZiSoTGYhXOz0m7xZAARF44TA2iwL97R5h9uES67sOsQ67SuzfkJzj5gPz7EuxhREq9Q6ooGUuHID
yEDOPK0AAOua/OzH0bhKnyavrBQO7lRXTA8RkXfC9M/vu2O6N8R3JIezkC5ULk3Rwnvhns1c8j7s
i7TFBNneBJcR0ahicXa9T9Q1XpKYJoldAXcBue8InQRMEsRQjikv3p+60CR5j7fpCHOUN4tGbjSr
qtDKq44tk+Dm0bWiUcXHUpw2nHzIAEMhvV0W73Ui7WUzfgWzv60uNow5VI7xda12XWBnXJemY48d
vXfOsJ7NLB3CBZ8ZAJB+Kyf8UTOlc6H5eMDNQD8SDGD5dBnH8TqlKTIypSTIDl9r6qah6xxfKnJb
cL4jExq0V3nj1GGD1X9ZXPNm1LE1nYqS+i3XMLZ83dk/JzZOeUhWeWHbhR0jRpLqwPdmIowkBpCd
B7TBxSEnsKmMrLF2HlIFKJbLMtldND51lnHTEErp7JgiddQ8oBMCH0BFZKvZpuaScxsPIu1kn82U
9tz+daYqFems9OqiUpCeVOva69GrpLLcu3yyiO9x/16P05zZ4Ex74BEAICDuiu5OQF0BIETwoCmP
lWqFovNQ0GyKQoFIuTs+JhBYgmuzddIQE6if6RLaaD3I3RawQbpm+WJ12T0RYntdZqXFBTeBB/k6
uTiEOs4Ps+mSwOl1MPr2rdWPL6qVULdt73pjZPKCp44rSeG6m6WUctnFZGofSvPiSijPuH5tW8Dv
/dEFdu+8LsTeFjbUKkt7hNVBjMJu0rQMp75ozm+ZzlGK3KRnh0RjeCXxlQgDP9u1eDUAPSbiAMbx
oSIZvjSUaK+2S1H3flq2UUXzh83XmIhW654nDoSRwt9cMiQBKAW8rPQST1/3DHwdYzU7FRNh8P07
2yL63yWGLqE0XjHPLWuUbknAarAZbVDke8DPOFyKhfhMDcsh+liDDbuwHZ+VmgRbM8h6nKb0mgum
rkRHNnvgAHyxqOvadY0IpMPHyW89+AcaY2zDVh47xwsR3BjdXV9eNpDOoOd2CM4cDRxQHneWb7y+
edSRpuHNP/er9vLfMQT/d2MIkIM9uS/bMsWE/xLn0Z4a9/3WWAhZ2qAmdMTziHquYJMc1tkie1CI
VHO8z01BW2593obnndSB+sAkpiuAkBlpJje9bQOHBLYDhwM/u/EKFAFuUo/cpQezzM5prYRuMoQ6
RuXGTW+uTawHioJuOB50awVWe3TLT8abfRhCA397O+hQZ/UpjzZMc035nNaZXzc3D3VNgzXZTdOb
R1XQL+fRzcIabcMInzf1qBGTJWgG+kid/KvVn3JQhvKdmmbBriu+y88JaGB4R/LXhqwIk+SXmkwt
WYIb9F2Z4nemGmlMdtXsIn0hPCPPQncYqOineLP7qCvzsHY+T1oLxfbZoTzpaLfJB/BtfmWBGXWY
it9sBOqZBidBE0tvBNOCCbJmbmHeCvTpjQY06ZG7rKHgVjwFN+4be3hZVY6GRTt3k7AxyAdWXaQf
Ki7wNKjRdHhj/qC3HKgaombmcu6S4HxuzD7U++TiVX3Uu2N8dPl5BMnPNHDGHH9TkZEgmYQEsoRK
1p62wfQbgffUv+oVgD8nbeYK/srlqo9K6OW4NFM12hUz8HRmKkAkuZ4RP3NC9IhhqcGHVG8CS7z3
CsKsIN+AiTa/bYgB0WRmNwA4QBDsFNP7WS/iRU3D1FUQRqVhs2tRY6Z0lhR5FWyp/laZfk0t5fV/
peyLDmUX9tgcoxxar4lhaWXIvzJ0YJ0IwnC35QEwf+vPqMVwwZJEiwkREZlTTyqOTVS9/IhBu48I
zRgsHVuUgBg9BV+KXi3/JCJv8UBIMK78fERG9SSPSd8nfxHTxqDgHrwayQlnkW5rKj/04CkMZ3AK
kJA7MDHrcZnfQRd5V9rihTQ+Smsv/fgGsoZaORD6NkPwXyP8N/gdCdnNU0u7HXAZIPqKYp7usstM
Oc+dESc7b2Xjp9WINewFXv5qyRDgMLEW6a0xIfBbghETosOaQEOLuC7sMSyYGBcE35L+1/jf3J3H
ctzWtoZf5b4ATiGHaTfQkU02SVFpglJEzhlPf7/VOipbko9VnnogU6Y6ABs7rPAHCA3FeudBb7Ap
uksOKNq6DvQHXXYNCq9CiiBnlxCmgSwhxQgpCwkvQOovNdXsELQ+FAsrp9AW+ktDawid4ZnCwDzT
voEM0zOGINh7RTkLfl9qLGtyQIgGAfFvn12gM2/qom7yjBq9X0MByWLgi4A2dRSXLSgiLmFHBWXE
4miUW1XST0rq3MZNxlGDaFI1z98hqnHEZZTJqdoIWcmhTOOGlB9IBmqCbglmJaw2APdPPCrqRtuS
6o9gEiUqEhCqPSe7wng10wQSFGXRw76BL1PBm5FnhTqN6Pcc60ndUAb2ERrGC6TEwEi9VUcqeDjO
CIVs2RqwcwZYOjFsHYnQp+VugcPzHf0k6b3k7pJ6S4lJEvbnUNTVI+Ps0ioYKZeJbHADW0hqE/Ji
qkmblK+WMmXqvdY4BOTKpJtvwj261SbhIsnPRrhJicQS4FRBYcnfVThMFlymHk5TC7dJnq28Hy3R
vQX36YaU+Nem+/91lIAZ+7+xTS/dkA/9T/DuP974PeHHrVpz8fT8BtPWdMBD3xN+7OvEUcJysUOz
DE+s0L4n/MZ/oEyCCUdo0zGpCMBr/APfjSUhqHDLtHUVFS7jnyT8f0GQxCOD+oGODSIALO0nbFOa
L3afu7q3a0dEw5x+b2nL1qKwREKxscyaeNJFXAjhuXXZpuXvMvlf8nj5dsShVc1UIYv+BEBa2T2U
RL5drT+FVk1kzUGbI1k2trQEriLb8adH9BeIJ+1XyBP+buz8sBmgvEND/bFyYKSV15JMeLskRLgT
U4WFMzqPoYzFPliBrdnBHVmpKfN3BHKCWO/3poOlE1XhePTRRg2GJQ207d9fl/4rUfXH65LCzJ9w
UU2naVU7Tt7OHNVjUiB+TkcpK+lfal2Q6hp4jruc1CzV2o3avA6tEK7GayKc8l5Tl71T0qi0P3pN
CO0RsiWCH39/gbeJ8CNWDEKBh1+mLmxfpuCPFzgBarKyggvsSLhS43WJYICjk3almzC8OuGLWqCC
kF1du9lGyGGhn7FrJgiU1vU3V/IXQ8W6QYMWtxaTyfHTpMkLdx31OGPSDAqx5bizUAfWUIJRXdQQ
Y2RA3IEkvtphykpRuf+2l/3P6tNfYL4YgD99/0/FJ0UPLWXgxNnV3WUp7I2smMm+dvl0tTBFweNt
ayXKtl6AAJYd7Ws6FcCGfjMKsjB/fh7AHhHixUQGj8yfJjK9ybQ3y9jbRVm7yWbX53Cl1oawhuf5
LSeA3WaHHukyG1sZhbBQC11Ubcttqg4oRnv+31/Pr6IBMih/XM5P83eeS91wcwalgAZdozBVt6jp
LpucTsXff9NfbVmubjrwzVXKgI7600xEBTNM9Sl0ATZ8khsHswXu8l2IdtUr0yETgYYRwe8GXPOb
m5Rt99dBx7AHEyC2ENP8aeo5YaaEacZX92g02kYXTJ4HX0xBSCXo5vKgPqYY0JURhUMYMmilbAYX
uXsl2rsdBh50W1nK+3GqL11hHxBbvEeZ72BY61brdKyr+mCx2o2uFAej6INK1RDAUrZO3WDM0VEn
6INae926wndJ/bX3grlxAiNv6VAhWNVtlcr6zTz7VU6D5woo1wGfyxO8PYw/7UsQv7CvoZS9q7h4
Z4Utt2C+M8X7qgZrVUL6QI+pSLTfPOS//FqQqRS0gSpaP+82ioIgktYAq69zSnoWGipdv3O8aJ+Y
dpAWHSQQN+gj/TfbsPHr8aDjj+4iJACFyqAb++MupytTNBtG59L28ADy2kHspAeF72p56KVh3ndF
fYcQy57ZGTBiD7MD6VAbj8A1wZZtLSQ6AGLswKgEa9UHUwZfX7MDTw93rZ7SVbH9NqyerI7sIxkG
0PCOP9vXXlEfDBD56QWHNfxE6Tu23Z27Ag2JjJMBsufvF5G4av00k3UHjRIXaQRms2P9tIiKcnRi
rU8Y4LCjs9iD2od2FK/AxKLbszbV7mSW1yoD1zcY52rCGyNPfU9ftyCFDyYXuxTseLpFMmO99S5m
Av6rMM/1ZD/cRsRxdhYAwq5Sj/lOt3k9NTVrqFEU/eJqxoM7xEEbz5semb+QaDZC4C6PvJ2dtbua
lCOhux+n+X2LeKrjTYFAOHN0cGUa0C89KUn6LkzcY5TvwOlNxc2yZUKzcWrqoNFBaXXdc+EazQbB
/LvYTOifUX9lxba+Bo7MKQAwoc66Wvyku690EXgpivLhl755v1YRKyyjTQ+nw3F/M/62NFJ+3L5/
HH95Pn9aV/YchtkapayriXGGAh21+qlAz1adi8DrqLagLlilXxVsARbOtay2fWVQ7ij2j5sVB6tu
gjEWdk/JlF3W2r0fcgi48WmKvg5FvxdUpEYHs2krUJVN0K8xBXP01rC/AmRihdFetsnKje9GBGgn
1b7hAExEgvvyTbrUuz6ML0Wag7ytnwuEIFCHCgo0cLEG2y5LdDC94ahr8f2ce/e95kdRf/D6aE/F
irxCv+96evU5BjAJypuj+Rvk9a99KjplOm00weV7VPx/Ov2aerZQ31sdFhr1WLOl5kJgFqG/1OGt
iV9RaAETbtiu9HBrULaJkmVvVd4mAhabVpDJ8sBE9o89fFfpDoIW6wPlGLyh3N+cGRqiQ78+a3QE
HbYLzRHIuxzlf3rW62CjcgBbbbfOHpWmlxWjQ1sqb8mwXcfYV4tgicgUx5CEMiZ8wYKD4j2uOiXy
riWNmWHh8bGFNDp5NdKd1jpcarMDl6d+hku8R+34camdVzaSzIi2IWucGsW7RA0/clP3DeDFMruf
wvBejpCm8R66utiMdHZnOryCE7To+IrUhIBzTaoANR1hWzkkOt0b2jb8RuCaKd1jjaJ0QzdZBCpu
EE5q6Dnd5r4B8fQNRirIXvkQMVhFYOrY6TuhlPd0rkM62CudbEHsVXS2I+RH6HO79LsRYqNqBlKQ
PrgVnju64qLMINacAgMtIJcjt3uy7eigPzfCjeY3N+NOgJ5lRnpL513QloJjlD7XjVdKHed7l8NE
MnXMKHoq9Ul6Z9LUE3yuwToRLY6Czn8CAiADCSDf7IEMWCkxUSdRZqySvUCacb2pnqRLJaooYv4r
iMkQtIE5PgirVNCEgiLMKaM0dIoEh5OJDIoImdCQEwuilgZSj0YUAg2dKpIKxCvL/QTg1wX/oAGD
AA2hgIqgT7BLqPjxgFoGT/CLAniNJ/toLA8dyAohsAqPVAFxIeImlKD2BkgM55xmW0TDdlEC4ACs
hmAepR8icFMHLMckrSmwHbNFh4ony74nsiUOCJAFJEgHIkTgpqV1EVXxELyIA25EBChaGgmx8dKC
KklO0sQ0QJoIslUYtHBXZ2qtMXgUD0YsUeq5YSaYRIGUfzch+BUvPNegWUR9Q7C3MlGkHSqt0Ab0
i0AaBTuMX8xBnkwEcrUDLSNPNgJD7IkpK1hvewBECrpGoORy56D0d3FbM5v9JsyOYm0rigEuGB0b
rA6NGuntCqpdZq9gYuVpyqMyQPrIJ4qoiIA25fdp9L4HFyQvb8EJyT/XtbNb8/LiGVAE2EcTA6M+
rguUUQfaSLp3WcqqIRyXTxj7V7Xh+dKBnsEqLWCWUnpjET0ymZiCk5fClKBrhWA3IQKA2/hWecju
42urx0CtLb90APEwGIKbF5C8XI/crEavewVXJYMiA2V7C0zkChpDeiPRSs+7Ll6NoLPW5Yu8wxIQ
N0tVbtgFy5WC6aK+JTooLkgveXYoLCbgv6Q8VoEHk++Wzx8jlgkQmhrvsaW5ZhM7ExUyYVlHGaIU
NTTw7Gguy65AskPahULu7vEEl3tvwKjNICuZnwuj1YNgy3qqjCDa5J8nEG7fbnKb6RqSLMiI0PqU
9q+QgU2QXwJPlmvyumcX9Bw9KwjmKLmAqhPMb9t/SSn+y4IVsHuss3yIvd143NW2tCSwN25QpYTm
AXLvtkdw1os4jg2yz65fBBH8feeKGeMaXyjQgLJDyYxRQQmuoAUbUIOtwAdbcISqAApHkIWRtgJk
nJUnJ0V+XaPpUB5ITnax1+/CPD6AYnyyq+yeo+yUusZ1rnrfdQuqeB/01PFbckTJ16psU/MEQg/M
H6rGuFMpz537CXy6IJgCzYkP9VwjO2UBXa129Ny3Wj0j+SHay/fy3aFZBlMxHBNbQSQiesgyB9Qr
mn5puV0nVL/tEhHPHBsTtfbu6+K11HQ4BbaF0QYR9RBbfV0tV7WY96Jw3DfxU0So3enNsUXiZIVG
M1MTVSvjUVtqP1QLn5pOAEzdjwAQznbne+Gy1cZ629oOv0ea6W2P+ltbr4FBDd0bPi/UKOVuTeT3
DRWB7aVB0wiBOG44s4xTGRMnFsstiymdeYuS0VYxHlVcfmhaWAuqhBOmYUBQsWxeVxyvyEGaznmQ
0fWsZc/0he0zxYcJWAB1CMMJ76N6jFhZ9MZaGjrYnxK4UPfuAyXLtnNHEDsESpmDjOSU1BNE99vA
SB7DCsip2+9WFMbTkNsAqbtCL0oDKK9+66JR7OqHIUfi0PiC5+lEHcK0iXm4H8nZ7HLiXG8wbGEr
2Js4ITVtex2T5clIzINXhUcZiRLHq5z6gDpWPurIGj0aDfkhr3GBS1iXKAMR0UWvPJ67RTZbmIRp
4C3Y547AmPc4OLyt8ullGd5YM9sjj9Ra0U1Z5gMEOJSg6jeIfp5C9d6JnSPdiiM8iWdzUu6sEVTX
4m7xpPDjxrjAkD8WVgokn5Sns/eORcRUsluBizfTwwg5P0Qg2ipL/MMvnOKAXSh1k+mYXkk23OJD
3/sp2fg6C/1A+vihqtJBM5hs7OCWQiTRvywLptnKsK+sOpjBsmhQzNA5xUfBxakOvpA68ZCaNwj7
luAbtKvLE+9jFL25sJA/+dSdG8uUhGobEecby+DLpJMkOOZi18/KXMG3Y8/GAiBMjJNUgWyl3S/1
p9a86iGglBDyllUFcX+HsjniKzplwPJA1TBY3f4pm8GAaG0gM0ihKCkp50irbh3cHVCki6q0wZDl
/gLlT0uPsdbubsWuWj0rtXta5vYuLU3mRvxR86JjPbsnJBc2pvklypZgYgSM8YOZIVsDZkM1mQVW
dliIA8PJOrRIZhdqepFlidruTkVwqj2pojzhqNdhQY/VVbe6flbYYezB8QcixkhLcspQl8pN0aRq
d5KUxQu333X+gAqv+5DwSuRpt0pS+w4NJ0B/XldjFfQSpgm8M2WLD6TvWA1OESvw76s14IpqhkSa
0GJsFjUnexKzxIAYFHDJ0H845NVEivRFLt1psa6s8SIgnc2t+GFCjFox67d6+qpUjDWI0KzkY00K
rr0+Hs2YhzDGsPTcT1pZwp3LxaCpN7aZMVd+MSAsq1VgJxR9PAwTBMoiSw5m2r0fAWRcsB0D0RGT
NTlu/M4tSwgBnoLKreq692GhKscVAes0NIpAB0i1LYl8Ag4mjExV9r83utMku57T0e8xTZqGVkFK
HCfBuMbr2HntLC6MH6xRvZ1COXHCgNVTn6rRw8/bT1PQs88ZCtN65vhjyJYmvs04Nsvyk/liVMnG
izzIXhjQAvoiA0dXqGU3em/wFiqVt31oltLRfnVyH0uWjTzOCecHmdcNNY/F/ljMqZ+QdRnlo7XY
3Jz9YIEO0fJHI09JctRD1ztB2dgBvhOHWet91fooyXTVeP5CjoGq836BP6tIGzpBuqgHql+h5h8S
vIAgpZA7Js22pHpTCvC0dIKmHo6S3mdDv0sei6QnQLmznNvyDsaYbZYPyuZz1Hs34gAeBr7Uoi1i
7qaB58y6rwpfNlXQ6KckgkI2wVdU2NUNfRvz1bKzDmN9GMzyHnbic5msT0PkvLMN7bWXpgd8sKAK
fEpNIFySnVEEk3q9vH2wR98z9a1K5SuhpLl41asS1oNefQIJzYH72LUK28DIxJmOUopLktGfEKRr
rCHoF40uhhMUm6EcA4XJLGVR7HkoJLHoGAHXFB+BZS8FJsmUNDrxYYo8FxaiYXigSbibIX5EtF47
CNvyMlXLD6497d122rqcWJibwJvIWuohDKEFaqiyrYv8f9ZPvub5A8uuNsJjpI57y0g4AuxAilsF
IXLJtdgRHmE0JeQAr1C4boG7gYT0G7xWmqV7UZ2gTl/JO6YxO4CU2GpTCrnBCGqy86awfZl77hDt
W9aUZ6FVL6XEdvINz90k1oJ/MRCFuNrGlNWKyvarBGJnvJWaQG85QcQuhPjYUbZseVYWJAo5O6U6
mSgHDa14mZmqwmN13ADFW/xEmbCMV8ciz3CbkZ0U856rHPRmQw+J8zrr3+KncpJaaIGilBwhRY3X
KhuHRSEVviLkiO7ogKXIGRKpXoe0ETynRvBqb3AqSsECKU/fsL1AyqcyZ2ejuYtC46poEK2XaK+t
ftHjWZN2AbzH8YiCLRQNqlw2Khz4Rsu8FU1iQy/2rezA69lFssuzK4R1vtgJ1B29C5SFo/hdVH/s
VH3bH22nCuyGY5nnnDKhpDWWrKkvi0dObyn0Id+2lcXeoG0pSbzLVhryZUn1UZ6eq1XHmdJUs34I
qVTEg7pNVI/QaUMbHqFJaEO4f1CE9dcQuf2cU2fFFYonVbMaaeqjQT34M5lpal4j6hmNkvrLPNDH
VXYqK8wckJhewJwQrLVMHzP0fD7a70wEE2M2KTv0Y1ZjY52QPt86xKAV6WTCADjMFS0bOOOarc6D
V7MOC26Exktlo2ZtsGhDMCWxr4/hpkHLQGrPyYreBxUqjqlnOZBKdH4wVQF6xlcOia9wZurOgiFB
u6n0lnPVA3QocJRtP4SBbUa3yreUqmSqyuaVdJ4/cQkqUaL0AbUEkX+q4mlhbC0vPcsA9GxlswBy
gIb2DWAg9hkpcdUpS97UtgT8JYZUDe2PlhkyGNw83bHKdYKZzTU3sR5ZEaNjV7UL+7iSQeXzaxdj
7NACDFRTm2huYUZjXWfyr5gnmhfQnaLPEMaDUbysKuTSOhsCiIqw0kM9tpcROy4ZGMv4NAH9WBBR
6KwKYFUVODzdSnERU/Cwa8+way18GJ6yuaz06MocXS22TRn6mjJUVXsXKXPKNGWJ+7HdYiw9wyfV
thIlo/xywAwK3UiWQbzCkeuO9BUDNR8C6bbcvppSX48onmx7ahydpfekhB90bIlEtM5B6R3TVXbq
xLcaxZcNLdQ+1m2/i0UTHZH8cK13S/9xcJT7QXQYAFmk07HjuSlG/DBi51Ro4xcth2XtVJA9MBHC
W6nI7FPUjg8JPSl9Ku/kWs2m2/XlgLjT8NpYB1hDrHRh34/TWQaSUUJD3JcNNJI6a68h9F4Fg37V
OpobXJrU4fU+9IeyRS2GbZmRksZHgldZjgW6W2AxjOH9gOrtSETeldSb5uSg6OmlVHTy3nIjcqAE
ejcsdUvAa4LUpRsWYKRLWsXntk/2jMcQ4BsIhDBXQqCW3/AmdjQ+Ta53rYmZ9GL8ODHH+vBxNPQ3
dufppzlGI0Bn26t0PIyBsTqD+r6qmfCrc5KnUCXxFajnnduke3PONsXycazVl2YK30pHnel3i+Qw
Wtw4znAnl2VMnl+zZmJ6BRJ8syb3E+1p2Tpl9qra566G5QUmRUrhIbuq9PbS6MsA5KRe5lfSN0ha
DGucNAidndTvjUg/Vil056LlWJMNNNwoa/Nc87uOlSXHqgQHzupeC2ZM0T+UGhrkVJVl5VBCuJRu
88GIhzsLX46pdzduCEouey/FYXdU7jCUvrjK8KQTnHg0FCTXkna57ESy/ekmcrWudZGfGr51s/lB
zYJucC92neA00j9KyiNpRdKXdEzNUx6pV2uqSVGxGbMeoij+0A/dHWgsFWJo+lXTMZGb2nNWGfWm
8ZT71egvq6O+inrl1JpPitO+Wgz3OijlO477O2ltQHxBmOVVwY6gwgBXQAiZDls1h16dmzBfsIIx
nxbtqxwL8Tz6khE5Jmn6bBwkAO5iHa9Q49Q4IxzdjxKeOC10JyXZDcSTanWJtRA8w4QJNY5xYwJh
OLqd4EY5n21rOYf4I6jtp8UL79EBYHt9JQGFTBBnDk+ysed9vxuNGVudbicbeKbY/iMQwTM6SkTf
6UnCGbVJfNngJMxRBryuJNBSmx4XpLeKIin6iFU7IgqGuaUb/mjxXCY9fuhS8BXcMoYgh5AOZUfC
WwwjLZECPWs2yzZDmKoCWNZv2vRrNlBnSC1/MnK4gMsjcfZjFbkvg7neTV6CI9MhtJ7MfJc0p9ZW
glU1H5ZZRYIYU3S2sdjQtpUAuwzUptk346rbFYvQX803uaIQLg6Q+Lrndqmercy8KB9rKz1LKx/Y
2WlmPVKj2keP7RSf9MXgFkA9cyZK9I3NwrkYd53dH+QszO36glJt2kLF5YTmaFPBqebzJqoPSFme
5K56a8Jxbuiug9nckbHcy1lhzHyTdVXYAzvP3aVluMP6VXIHbA13sqmuI2g/4qdb9GnRSVqp9vSB
lHgazh45hd3GPQFOU3EgY8HUCIC2KW58nPSKa23AVd1JC6W3fMnyCxdRg8EBz93uev2paXZyDFps
l9ocHWpe4T5IICYlCAnMbsGzoW4ksUz1V7ZDK6wwDyPlpoLgC7AqfZvyMGf7TB0xpF8+zHpN5yga
3umxwcZczghAR8VJj71NroXx0agL6f1ZmyIEP0DTcUpoUXKKxSHmTmu9z/LoWi/jUcKsUJs/yfHf
sx30nAE99foSuaKCYvUcBS1lgrYmMuBjxpJ6CrDeymk+2LHn26Nz6XLvbAwDbacO+7DuvYoqTa80
W7cf0ESA+OG8HYhpFLfZ+lGSfuu1/dvBZ3SR/jf47FK1H9a/xp7xvu/YM+c/HvrAiHbivkwT3abL
/gf2DHcMzNmoDvNfy6CB9gf2zHM9sD78F3oV7bU/Y894JVJdfyiS/gOyGRiCXxtjhm26+KKLmKmp
/8Q2M2en9SbobWS+BF/NjcgiTKbQq6DO27uwZDGOm5a6rvCqo/5J8VjgMGiciY4BOpba0pz1IkKy
BHgqFelV04Fb3PCa8gENjaNGq0+TCrl3WA6kP6fZeV0CzK7pL/X0DFSkV4SZPSHFUnt70ZGXmnw/
zCdFnCce1eqKLsBOpB2ENabD2BFdi6l57XatL9L2Ug4X+kyPcJ4CaUzELY2YkuCwE2aNFOXlJXH6
wVK5SaIRaTuFNrV6GkjCjrExvtp0VPSE4iVcLWkPSJtgAkIsBXGHliA/pD2BoxabaH0w5uHkVZiL
zYfvDgbyzmUNagoXUkEXcVT5KSQqKdunHlhemFdTR7EipixEtZ1Vf0DeFdwyZUVkSkSgdcbvVTHv
ypwCBdcj3QyhonV5czJjVGLINXVc5UxaqCHSXcKAk99ZrXrQ0h05fbBOxaXSACV78b6mB3STIaFR
IhLr0uxpZxDS1VshDt16aFD19LY+C71Myv0FTRLoS4D1qVLQldFoegG22Ku9fja94m0Cm1f+nmrx
LgVuHGbNKR6G96LHI+0Q4aKJbhD1yOONnCSUG45zGx0VYLQi7yrtprgqYQjC4aYZNAO/gY8tzZ5c
hb4EmefW/OAT5SeEQ98Z+u1QqhjVKcbLv9EyOINnlKMgQlmXmaWdXZRFhJSO364aJ3sLlp+NpaA2
5RSz3yVteanyF8SffAG+Z2iWuEiXQKIcafTkKJosKJsIL7lF6URgzIIVFzy8w+NOs0mijWMNHFxo
9y4S75WI18P7F+n3DMZaaMXktIrvAM4XaAq1wROWUwcXJRb5HBGfX4UYgVLLd/j6Qn9LxNCkLSd8
cOVzicpLM0/ogCs3TQfCCtrQpxxNGA9tmASNGKx5d7i40n+BxM9PUW0QULagzG00ZtJLgsDPDVrP
b3J6RzfRSvrFq+jToPqAWo1cwaKX5w71qxhvMHwQDoXl7Csopm5LvL6WRwhWm7khC6AbHJOfURYT
BX8RRm9jZLFw+FDt7KjaM9z38mJPhk+TzEIbvUF5B8OjIxA77o3L42Wij2D0TzFK6h2/Ela6cN6F
ie6h5yMCEzeJBHR+GvR+WmDfM/o/MxoEoj0gqgZCAhCmd4FeUELhHpImHabiIIMkoppO/R4Cu48f
4zFyoVLyaxEMcIEJ3DTxaaMndLSzWbps1h0+AzhynDu0jDQ0jUQwQOFTFrSOHDGjZMREmyBn0ene
N/F+uVKh+IicMcpJoTrBMOVxMOCCspdvNgj36F9SDzc25HSoOKAZZJc+Ekx4aIltBRyDEXknmTgy
obIIqVE0nQSeL5xL2dRLna0H4qtDiAULUnquQDIO8s9C1VcHSiw4JXTdcsiKvVJ7fjgUJ5EsqBCe
0ifl5mpSjNEp2wins0HmR0Oa6qa3LFJVSFaFSFetSFjBRNp1SFoJl8Kg2yws/NzOjzJFTgMiWCID
UaXqSR5JotB/pMc7I5qloiyx4uJKHFV688FCWitFYsu1ACxAhGD0FwS4XIS4LAS5bHq6KgJdK0Jd
YY+oF1aPyHfVuBvTlpdHegsx/rWBFBBNgbb/XRx19+H/7pKPX9r+w2fCJpoQ/fJf2v63d36PpDxQ
/ED1bQd1HvcHEL/3H1slHBIkkqepCEH+EUgh0g6VHiCMhnK6q9r80x8gfpN3CZ7asVTH0M1/AuJ3
/kKhVNMNQweISZD1K1wyMUxHb0xQFWox7MruG/X2xtylaS+xh+BdMrUmzf+q01MX6kszGYDg61Pm
kIaE9xIgiFp5krLLI/UFIimwwPMgx42j9fF2rFInE6AAHZ1ArbNL0sLZNVdQLKhZ1Oty8y1Z8pzA
QvHlmJczuKzI0+gkru/kbE1lsnMqj+COVrRptHW9GfCg64b+Y3kWkZaYIK1qj4rSiLjY7oacsaWY
h5w4FXiPZTmPgI/YqAX8kYNdk6sSiEFuAzwaNtVlvBrq0+IIuQc5CyAm8koBywj+QV4poBlR/ErK
j9Y4+zUlhtoh1QS5w4VHw0JF4ptuvAQmOGaQZWKgPgWxoZ4q9phJu1Ag20tUJsGaapi+xFpChRe0
SAkTWGIM0TLz2C3TwryNXVN9nO19OcXoPiEN5DFInrlr7rVBOVYtIiXAijT6mgN+f6V3lOin1jj2
CEm/2xyJ1r1IpklcJvYdmwqeTwt/p85QnesflnjZSeAlgaaEcqgkBt30IiRuUTsEvBcIQqMiCmyp
ccrVyaiIA4h8HBIlm7pefUEyGbAlPU/U5lAVLD90bMiirCPSd1FkowS1h/h1ctQeXbdmY0JzAvh6
i6ckdJNYU+7H4qCpgY3F5aaiKbJiHx0eZtLzCVNXQRC5M/F3WZ8E3iJwF4kJp+StJjb0ELRklibi
tgkhXsZYrtRKaNfgqz6raCAN6I1OYE9iUXQBQTK6u0x7EIUGCbTl8UhYe3tUOWedizdyFm6T4aOy
TsfiSbjpJLO5l+1Fc0C+wo4wCeBkEmVAxZkOoUFwGh4EqpLrKhxYkcyrjxKPS5guPyGwxQl3N1Md
QMJJc3ms7ZX9ZH8DFDHp5WfhvbUVfAn4Vwm/5brkWQq7X4zD3Dbb5ClEmJ4UhONoIa/BltJZgWON
LsuFYx4AgPyZ6jnoGv3MqbBZkNqS6F1GS0ZeRl1MxTzrdViFNCWMIGmcu+/x9i0mBtLzXx1/UQgA
+Ej0clhcIJQ4EQmNLKZ+MqzbHCNZKLLbWeYpIyXDYwD9WPHeNtG0rC7Gqj84RtRvBKJkN8tJyR4z
ah0zQBgB3MQjoRX4nCok3WdxpxD89OJBoDmC4Emou+Y2WwqnXuqirKEYQmA+GDDnqjTZiiikoA1l
wUBKprTQwxOei4trzPd5071dkvxtnli4l0/q16IioKuU7sUmxJmX9qVqaSiajpcE5uq8GCZKJZOe
fTCb6M3YW3dhPT4rKfDn5ThFz0MOizpzINNSo6DzGgKFgj/vgqQJZ1Nsx/mbOzrntRuGDYaYLWIS
DuqterYf+uq95RYTxJzmPkTDbhMrCORqw8YLDfiXbnU/mfqmi4vNDJtypi3kQR8xtWSfLtsOUANf
ejZ51EIcFb5pSp6Trc+pCaYNEbwyoCt+yUh4JOAWxqmYBrkjHlIogMUA5MMMAA2KSswQapqWuZcX
O2RDk6GeJWxabOI4b5svxsbooMgyjySOk2haPlOCJ4/2T/HKackJC/SJmsAEgCr7c0bUI1GqOqD8
dLGGfFuheyRvQ9N4hy4aPO76LIGpvNLRIRTCdVxQJRG50ZGZTVzjS5TKegf4QF63Bg53QRXgZit2
uwqN1YUiGGTnUxnkLgku4BIhjMLy2d+ksdgwRB6rgzJNzflAUwzIyhd5c2JbJAREtctLSDFW7m5G
GnZywd8pHy2kTeRXAg1M2AfkylOVfsUUSOAoBlSo3kPvwDOZIJtXitaXJDQd6jDyDonTJTHJyvxk
roav7iTbr+cDFoh70UCTcFuym7ix/WyyjnacHeh/yjfKH8dx7hHxUxIAthBccY62MJ6T0E6CauHp
zhjTsehuKlqKHDb5XrTaJO2SwQWJUNPHkeuTY1E0TMVYaUF4bqRyh1RWT3XCrGEK+3lmbuVFFmg4
Vty+IgAWEm5ISWId2RA6ThDrllxIDC1JmIcGqusqWwQJNL7NRtuvWGnvoiIiBmMjJ6+IrwocFwFM
MRITfRWst/eGvZwlLRG5NpPuUqra9Cp2MjdFfou2n1czl5mNMgslibNHpaTxk50GUuyITuWMHWG6
EaE04VN36NiJY5bYfi1zeZZhV9kkF+O1S3tVUqLRoqjD5ck/SVq0GOmujh7lPuXXa0OKwyXJlJWX
6+BoOIBQ3jVMdKrBhsotOzkNWhCOYmgmU+j7BBFZL7f1PWU+yoeUDSpklJrlgzxlOfVd4odgPkRB
dnAzzmnCAJ4GDWWE2fKtvKaMhp1cm7x/Qdc6QYpYZpGsgD5/Q/SAQiAjCziuDxeESMQMzAb2Dd+X
YjaHnQxfqj0otMSaNjqmLbinNf7s9MZJDdPPrle/IN0VzKU9bKwVLyfO8xfXRYLezN7GGmibVQ+f
YyvT2b3c17eX4Bp0wjHwSUmi66zoGyT60NEJlXOllMM24jhVOzRO6tl+N7jjpVb1A/yRYE5Qd8qt
aUVusqSpCtLQab96Fh/flw3pGwGZxdSeyn2pWIRgjv3iIWdNfP5Vi+03VesiKoyeA7zBR1Plkejx
uz6+mp2rbubM/dhNGUrl5rskdV/Wof+KDyHy+YVzIYoYeGf3VRtjZ1O4IvGzXBddx/An/2yFTb7V
Mbpow4yfOBibpgfT38bL0lbd9hVcebCwdfXBU4evVed6L8Wk23dqWEPEmV57SVm+HnX0jP71uRKW
UX9bc37GzOH5Qz5++Fy1PyVL3976R7KE+7Jpu6oGr+jnbAnJLkq+hmbBoQMH8mO2BJcR2rNme7Al
uJY/ZUuO5wGIhPdMlvOPHK34rF+qzpqucxHkbXAxIB7/SMdo5zXJ544qsSgszNiUli01gJzWKfWn
m4GULhJN3R7hXq1RTwL4tshNRCVL9mqVnGUhd5FcRk9wv2O76nV7k7w2IpOWC4QplP08bQPT6as3
csyxb6UVIDAVdwdRt1Jc4zzdm3O0a9kAOhb9iBCoJGUSmHdY4HlaCdoXiCPpRdVt8jI5qtZyizNH
7LPkK7XwWyYjWU6Su76SPUjq0pmcVzCpMvRTRFpbz+ubevKAu5Sg9AXTHHKOVM71u8b5Tf6a2PQm
Foaja8jGatIXnpGXsMeWCCG6K0RmdS4JMZ7krJrQcJEYMUN02+zuW30+1GhWTBwFUmwB73UT0JYQ
nBYodI/AJERec+cWQvY6gXtKExcGhoTPkmAK9FsA5A6HTp7fiRHNxB4tA9AAqEPtTSVCtI4DUkfV
ahyGPg4sek+rAfBWBc8FXSaDeGkUMTUZkVzCKiJakKtefQR4MxfBW4C/+riJGwAWiDes1XyfqNHe
zkN/XBFTprCuNSnE3fjkpQgqoa0m8lWNju9dnG3NxDqtSOn3ZfegYNierlNgeNqlj4ZtOEVv1dy7
tjNx10JkYGxh4GxKOwlaFKjs2toohrmRr1+scqM4cDXDclMX3ITHBeqLnxXzBiudQIe54a3Ftcxf
lH6AofNhjnrMXVV/Che/NQ0/T4AgFXe2OZ7bJjk1YLUNfBR6ZG8dhHz7FCcAJMbK5pKV/8/deSTX
jW7ZeioVr48b8KZRHeBYHnrRSOogKAfvPWZVY3gTe98+mXpJKVlSZFXvRqRCJkkeePx777W+ZZ1W
wyalId+MaRok2oOdoEDJ0URHkeWrJatVidxIbVjEUHvR7ikskBMaa10e4z0YAps+/tD1OKmeZtIQ
RNSw2BcDWTre8HEmubRENZWb7MhIKgqPfEyU13k472fGnlUzBHreQw5AQ8J4tSQ7QTXNAykN/nRf
xU6NJ1k/V+KC34uamWh2yvkL8RD1i3OUyYGOMUmKgKwpfKFrSZkhBcF344te72YsRV0fiNNh7jJU
ZH8YSqQSF2+Ebt6tvcqcktED62opTGU4IqWS1J1SAieV4mvp5Gcj49TxLsYQIwWJ0vBlMX4C3iLS
Q7Cy8ihQ8gaHRE6Nb6TW4UEaDHbHaNT74NgILenTDfh+55hnCjU5YZMnWSxFbb5RUeq2+k22ZsgI
NM8MKhkOh8V+GiIKGLciOLXOI78lcGrJR2S5nBQbfFJFtWYfB5rYUmI3qXcQUwjNnKDFecWj6Gxn
YholA7S8Wo8LvZI6ty41gHEZWQOd/V4wcETZ7M0OSuCHLqLdijPAM86uJdlqk8pBSjKxan239ogX
RHZOOhgGAU2R/Yy8r155aNF1kXMh9b2YOuQMStdE2HDnjgJ+OxfWUp/F22KqTqSQMAsoCZKqzr0R
Gaz0DjG0+YNMeDKv/BTG0QsNntSPu/HSVPNv65QghB54oDGlWpi6qUTlZkCdove1kXzrqKx2c2he
DXb8fpyQapkLLPBQ22U8H0L0RNWcf2EyzQx0QwWrbesB1YpWjH5PkczyNva28XPVr6z13OY9hlnb
x0/yLrGKx2ZG5rE4w5Ye39dypmvUg+bTBE/cb00LTkVmoBG3jGUXpjuPQnLVjUtT8Z7MLHlJw4gb
q7EezcxMttHgoX1u4ElTlpaUp7nUqS0Fa53CKZwpYTNKWXdZr5mdoX6fD+W51k2gJXKtS1u5pBjW
KYp7GUtQJCcUyyvXaEbxLOSg89iCNeww34wrehDeXfIYlzdSRAkuZNpJSnJK8zC7syjUEynYpXLX
KeFlnJNvyib2HWiEUoPKajU3jJ0FFCOeejBF8AHrk0S/RoWOqE87rPohU529jCeavzBHEq+LceWc
+Zus1qVXGNuBcaLVPcmCW0oCKYElT1rmAEmj+iFox4zWymjyVKVGkF9S4mrgPMtZ29qID8XfY44X
ktAbt1Xg2hDKedPUdDJl2iJTFyktSZjfLfAyh/G9LOlZNp7HTi3AyQZNg84O8UxgR6nJ252RBFII
yIJffg9xDEoZHCfrSfDUQA4PnnHCFENeQMfIiBuQXo4cnnOprqWYGbZypIrbNsfFqbzUtRcMdNsU
Z9kL1Vu2SxjWghOWVX7X3FSVg3iR/g8tK5fWlVKwzuAl4eaL3xqYIGlxyUcILyqJXI4v4EaO1qyx
Rtee5djKzEBoQSMPMN6zZyjQSENtksYaDbaF8LYeqaNf0XozZdbDUZeaV468zH5kniVkoo7WnU0L
L6OVF1l7hZ8hE5eORh/+pP1avgy0/1zagDrtQBmqVbQHR2kT0i6ULZWhm4yESgp3CAy+wMgXBncq
cCwp4NT00V3KrUczTshQrjQnaVKO/U3F41HQQyUtzI38ODlhci4NEpi/l7cy5+KFfEZzpzRFe1TQ
tEhlf6K0AUnlHZdLnCY7izMsNO2C9upkA3f9JDTshAeXbJ1MX6SBUAikkTJTeiJyjFVeqXJ65FQV
M4219sqsxl2fk1ykoLPSQcrBQTbLk1zWJg84pSdFg9dWRLu4ci4q0afRRI7LTzJ6dHhVCAFbjooQ
sAWjZfCGkLHozGJNV+8nbjaDRnVmn79StjKjjS1fKfPHf+9S5E+Gkv6ruU0Qv+Qv/dfypYyq17XI
X9/7vRhx/0UhonssrYVpTBHxlwbG+5cpmXL0/hwDILP7SgNj/gsEsmMBJoL24ZyHSH8VI55hqpQV
Bg1Hg87OPxndaObfixEVPhRDGyLYqId+Ak50FLcFphF4GqnuD99WPQsU1qANLQpmPTTAtKAou422
LvQ7+n3txVd29tAlH14dvds/wAP/UQ7FbZWUffef/+eNmogj5MBhAvrseiIHem1Rb5ZW7VQzi/cG
Uew21JiZ9mVhoToGC/rrj9Le+iyOoCfjOa5o5yc7fEZAeWIuBmLW7dQmQTIBWkjDwOW5ozB0txwY
u85DA/sJLsUGGTGq85c8gWY5EmPJr99sj+zbjygGDXCN5rH39K0N56dTYKpa2qwdOePwZBSk/Wk5
bMibDVY07+WAjtttfQ35i3ID6OI3eBXZ1199tlwer9AAuW5lLouqaD8UILeQzc2kyVR1889xKuyi
68ql7mma1Pk/fAzwwLVox4hG23VFoBFkM5YcVKiIIXsALm1yD4Dvf/mhov56tW/DRNba1CFrNMIL
3dib3r0RPRkGUMNvofmi1OVvPk924u/H8q+d5E5//Xl6XyfO5PF5anqwifOq12+R9mThXB2T6H/3
WT8r1zLaTc6QTggzSYrBW9LNpNBUTxEvvzF9+vUF+pv9OqPDXh3HqlbTYeYuYRFwP8FgdZanlRrS
tr7V2W8+6q2n0avr5IzdePVRtTMtk7JyCGuQWmr2kg2/O3BvPvA8E/wa4kLb4Yr88SwpU7YOecSl
2M3gTkd3I0Ch0nJ8W2FKg84OefKQPPbps/AwBuOR4xkB4PkfHNNXW/HTtUlSYae3OrySfm38skVv
bqvB2Ca+FoM16+vfPGPePIWvPu6nS3OuXatWOj5uhdEmYzXMlTbg0vlpMfe/3jPYgm/dB5at6hxd
VycY9ccj3A5l3XhlE5GukmwaMWMPGP4cNTgzjWD4mOl7hpQm5jPxzyDU9olT2tXeemMYrNJWYIA4
iBTE23XD+NMFg8FQANt6MDzNTu6n827nJtY278pAkrAywHjCYqsyXCy4WeQnio0pzwm7wS+Y5M1B
jJLCbMqLT+PcHbD7pNbdZCyH1tMBKDXoKxsGhvjfV/DumKgLVPLCwTvr4lFcpyQOhekd0AsS8jAJ
o7tfGZQO0yCOSiKbuJJQZYdltEvTR7P8XOkvQztvRgV2Hu6JPCoZYWKEwt+14lgVLJsAjRYM3vUx
M+4ydFktKzkx4DnYWK0yPjgDLqrik2o8imOLoNezmVC+3VHWGw0Hiw3pLcfZsgwJyuh+M8+hb5S0
uZvGbx1wwZg82q7zxd0k19i8MOPQb3ujJC+S5wZ2TRGsm623Ldki6aXrGHtkA+op3CbQi5x7Z2TS
wA+Xf1XUT2KCE6uggepbrlWxPBHleikuIgWIkdkg7uh8tf482FKaYL5PcKUnnzsFKSbGuwyDnZIt
ZzydmfdbG2BeYRrol3i6jDggsKWrDn35wjuWHLc8nI7yISoociIh8BOKESHn1lna2yXr97aFtbD+
AvEfkPnnGMm/MhgHBwuFonbbkWsMejlmy9xVdhMkZDlite2dw5vC6SbqkiulmF/6Be8vLrajMt/a
yvLsDMNhDpk/12l3j86Dlcl8ueTspcohSNX5ecwUTMcaidbUh8j4fJOXdaT1K8+S8skmhf7STgAc
ZU3yoSutj11vlYzQoLf1NAIw+2sYifPkDlNVsbFjqMG1Nw5YQdQqGJYivk0WJfTVhdnKEg8gHjDN
7pSvFZgE9SUjY1QB6OxToONxhM5Yx17CTM+rWMAxBRtyqAF004r5CTBQdDEtObMv+TpdpA22dhtb
CW5FfYBKU0e3rYdbMzUupiZhdGO735yxo7TIXcHT22UQuyMe/DbIVPVmMZd3TVN+BuAx6ViylL4+
KLSILty4pBOahJt8Iv3MXF0aTl7VXUOOqnzNy26s1ltAa5vDriumy6guw01aR6e4XsodyZhtBkhP
91BITl9q/b6flP5oxZl66cbpMZqy5V3Vee/TmRvOKcZ4PwxkZg2Jfr8uuMDSsakCe7HRoEUqNpjY
xcJFFm8OUl+dHhmNR36cK8D5DCNIcITip1LgB1vdEQVf/uTNIXK3wDHBXLtt8w7kz+ijzYx8A2fm
CafzR492MRSa9lsb1fSxIo54gRKkW9eCjcEuBhD9AAw73WeuEHrLXeg2H9q0O3nMtSbtPgJzr7Gu
ra4EvzF+Rf6NQNJkS8Yt6VCbhkNsQrmRf4cW4dvrvZkgqyNnVni7/ooHPnTAd09b+bJKvbdA8Zcg
+cmiDWIQ/UzNK/mBCGoTAP50RAlNgs5D/QyjYmek8zEB+E/YAA/ILeKsoCYOgDCkYA3RKhMTYBEX
oNSPCeEB+dzsXcIEZkIFMtqfKvVrgT55InQA+T+qBx6rhBHolPClnzG8U9Jqm2A9niW4gACDjCCD
GfjaQrDBSMBBRNCBWfg6jfyQ+INaYhASj5PrbjGElYfBagHnECy/Lv5A+1pCn0oCFSqCFRwJWJiX
q4oICb3/rMJnKL383mDyHRHLECq8KlpJalg4cQ2SX1Dn86NauC9VMn8qK+uUeFbNKx7HWu72l7Qa
vmBgXomDSCsZ96POCevyWjoqMicWiaTIHFrbuIwIliDH3p9AXXoETkg9LhKAmCCKmqZjCCF6ihm/
awgItCtpPUgmmvSEzAUzDRBXq1r8knRBGcyCPDiLZtnv8++ljVptRX8m+BiYShkIJ/paMkAPY4RR
nz0MgwJfEvlZgsZhJUJVyFMj8rQI3re67K2eTlevQsGjJ5XpJ6JxIE1IG0faC91oXcqOSURZNulb
Ea12fJQQi2awGdAdFpOBOrMWxD+imZHU0wFW0wqkqbE+dTDh5Z807MvRbhhJHimIIIkli0Tv1tsR
k4OVdI7vlvMn8jc2hTHbsFDMbF9b+HuINhmIOMFvv/q9pJ5QBDTnFBTiUGxiUZwhW31DklLsFtmT
pjw63N9JqqBLklQVRx3uaIjSwfSRI54cwldqo7m2EtR6cU1XlQFIwWLD5w10zcwHL5HXfJzCfD9q
mXlRqkULvn4eeM84J0fUNJ7oahSHP5VIbXQkNzw++m2KCKcXNc4YvdMR55B5Qg4WpiFSQxV/5m4I
UwQl7mUhjVmDDi3MQNzAKZllcf04rva71WBgXDf9+1Lau9FzLs1eW6GLWi0plJTlQN/sMlIJvfFV
W9v1saJtjSqkh8YeVl90wCBY2rcY7QH4a0a704rsulu9dyOW6u2yuo9LHzMSMdxAVzAGNIry5JQ1
gWTE0CbzNezeTTt96wu4c9mnXOOuwwfdYNgtwmSbWMnVwaqG4wQ8/chwMMg7KBiVQxJhuu2Wl1U1
Lnqc0F7abJQu3TJaxW/u4LowdqmBBmkIzC4BTE6SSq0G8hOmdjmlfLoXhlsnhRpDKe+yZOvp6Eb5
vBtJmsyj6WCtSQD2mefIXW/qu6KCVOaBYnRcfH+Wb7QZzTxUMy2zAS0NzMICiGBcrHW5aZQT6sKt
qzK3Q7oQYg/LV+A9Fs81G/eqrR8Ve7l2LH1XGeahMY4O6eNlmOxl2yl3DwyMdjMbUjJM5aVwWLuX
yASHZdjbWV19DN2EVHQHo1wISwVCpSsBaBotvSs0a2+aX+r1Zu2SLZP9QEmMfcZRa8H7ORrRmV0e
WJVBxJyxR7oA7208Lv1K723a2ysKK35eu9DxXZgO0MnLV1D5BZAKneyq4V1c3BZnOo3GLuu7shnR
1Zi7kCDxhXFekxPOazLxJBqHD4tWEBwK6rxIPbZ9GoTxQ+ouO6AVWpGfNx80LEzky6EC8lIvO5iE
JtqIdFSRqKvcK+XGg68p/7tlkCPAS91rjuk0HKsbE2SN2+7juN1MrLhx8W0tozk/D1e04XKce7ff
O0n/oNYmnc1hE5vWkegtn3UP89Voi7/p2oO3ZvGm0rD5sf57MD3t4DHAK5PrJqrRVqpi0/uQDeNF
aSibBFVOxueTWo9RQLnE3vG1j7O7qYDF0AGCcpmqDohx+6NJX1VOYd07O6T5O0fpL3Ql2br68AE1
PCvrZZ+ZD/YIagIucUJJHmUhyUfPrSyggTCW/aEClwbfZ7voDF4hzZXONzXOgzDl0aTmwQCRKavb
zfsWKwTLqQCu43asM8LtWpgREm5gbBweF6FOlAXBsCFX7YDNnRTcYFyuJnI0qCj5BQqSq1Zx4LMS
0aBad5Va7iw18kNCPEZGYURK01pXNhPP0wyKApnqJVeJbrcb8ANsHGm0iRZo870Glds2AzcqUAAW
vmOlAE1ezP6bQU9jdWPs/IIwbxgkLaTAczpm2FHdxg5f3DzI0iKIWITrvIGnhOcj6SCMa2GjrFCj
PF9TeEFLNcNC3Gb38/hzBXw2tG48mBO/LhaNN/pP8HUdhO2Ezrmm/VOtONs4R8c6ARbCwI/0JyFP
CMHZBfkzkqe54AmRss5ilNfi1tdy+mKzQGyiTc9SCFdF4BgrJmNABaqzUfGxC19GQOQ5iFvhPshO
CTKjgBFxRnOTwDWPLa+mdttlwwbAQUBU6dHW/ijy/239Cn82rzlH/73xU0Q4T8lnrApf3+h7861/
9b3JGVR1zi0iF+MHywK5A56YP2kdWH/qc/7yfjr0oukB0xA3VcQ2r0U48tXEGNAoNv5p35uUg793
KfggqkhAy3Rd1Z+uvNLNmmbOF2/nxektuKhrXCwHe1jue8Qxnlc9R1Z33dDynpdTwZBtqq9rJ7sp
OwR0ZXhKlPRrUjCHDLs7x41u9OXGGKcHKG53YT1d2whRhjHd9+VNG5J3kjQPoa4ei4LGA3/2IGxp
vF2JGjnInw1UOjNaST3XL/SgAK8GEOBUTAlpyepBj5OruJsP8oxypplRPQ+70DzSTyZfd7qzV4OZ
lOUv1ZcsO7iWisBH32d9d+G1yqdpLnj2fczn4jpOB9ydxCtZ8b7rw6+JImpPyUEr74ZQf5RmzUJ7
dnFOGS/soZ54Kg2PpWludcJLXfxyiD3u6GYabrXRso4wvZgwQedkhvGVbLx8uBcv18CqbtZBo7Fb
+vj2qPBrXw7wuqQPhE6csjl+gK5Pf4GDzOSMFUhLnGNrDIdeab/qGPa5WoPGTXlyNSCYB8xMy64d
ENkleC3Xg1GxdvUGWBBZ3FSoh6dvmTkB26jIOeMpq/AyiVlxhOa7otSvsqq66qLlmOBFlQ0tZ/O+
QChZJXgePIAEAncJT4WtXxj2DJ+HSCWevtAs9kv3NHodYRRiPBgC5OKBbI/Vr8e2W49Rl2379xP8
YfTXGguFWdO3ifM88rIOSZHJ2Uw8irZu3VidJL5YsLOSbedO+64Bz+YyKB4SVsH1Vdinx5LMaSIU
tp2pQhFTPlNfbFcxFjTgKZ34qozVg1xSJTILXhu3XmJdCi1njNTDAK4PZ+46DZfR0N1lRv5g4+6f
o/JOjafDDisye9lv5ADkTXTlOP0RWuSBJyDSYQPnBieZB26VX3lAGDsKEMdIrxrWBpGB35ErVg5K
GM5HvCyBLHZ4SG+0MGVcT9ci9dXGOimINJZUO5+FRKPlhEo+SzeWgnWa5Um0ANLCmBPjrTHx/mTF
8NDF6SVWcex/cdAxejLG8noxtcexb9HP8uY3j119qRKwpZWSrBgj/hUJJwq3yb0xp+SDPgzH1EVE
ECrPUa+BJ4TPohxdtcUbbAFXwuTtBREiTZv4PY9eq7iBh4NdwRthuUufZbOy2mRteNHYKSXreG1C
OgjTW5ZasMFx3yxfGmROVqJvPaZUJkVGjWzLLKo9jCqf8PR3kWIToJniy6yWfgflziHKMR9Pej0u
ZGtND1OKsEaZnHtMW++Vur02gMf4bPhHsx9R99GKayMWvGSH3Ji5OuCmMAI1N74UNqymTJ3TmxZq
6qjfFCkX1WjRMTN75wsRg0fVHL4Z4frcruMUZEMKCQWZVWLNPRcHMVWja5OCHdbX9phdKzmIRJex
t6/mKv4EsBi+EaXv4hb8FxyeDOCEiO7FXyPKnJTfxTAhYgsF+7lI0UWQLNZHG82e1JtSx4rYuJut
Q/5UlxpHcaMgCRL9vejEFcUl4xmL6lgepbicUR7EtKJda9MMJIIX43U0Y/GBICQqILoaCIRuq8hk
R0HXE3tgIhCP7IOhKycNBkl8rXH/Is69XhiRi8BC5vdUtBdigZRh+7o+qC5tUebeC4JFUcBLVV9j
JJGRfsdBXJx7UWNr8KEAgFWJhwovwVaBpQY9+vinNj1ZTq6KI0Akggioq1uVqZnssdTVzH2PIYW/
iDXEJ9A05q5Mvzqkbp1lEvxV9CRSekvhz2TiOCZYdFHA4VwVVbxoDWTJhi0kEJ25cXb0cP+xGQWa
cTpVGxng94iuZPQvg/1E/Tw2RJAInBcxxrkbQRvEzjB7INAUzcbQ0+pwuKlQnZ1dABgZZEtyjsHC
xkZWeKTqFVXJ2TSKEEACokYd/YEQmmkyRMlzKOkuS3Eh0i4hHejugjOI3vgKkRXz6qx9m5reFwCC
w+kVL+tAS0LsqUuFsYDzG3XvlhX9Y7Ic7NX6/3oYUnSPKMB3F4VtHr9bVFMB9DbFFbPSQxSbWzE7
S+S0OEorsswdIdDSH4Hl7WKnr2s6oWA9kTvIPhj8OJGXaKCvegQ7SFUWCSbFRicekcZmxMvpsvLp
ogevLf+sHfNE3sdbFQFOjxy2RQ8vHooBWSwOKcS5Z2GIaHPE4yGn2cTqJBebmMK9fKIgu1YcZK0b
ubwkLiwy1ZM0j8STIbuIesr31Hxjun/IMpY1BFyHcVin0ZR5vG7G/YRQn70IQUzbiFIKuMzJTbGu
W1FlyK8Wj4ajID9EN6ONYNFSugbe+Z9jym6ReZyPHno8N7o1sOUseB5kO1u0TKLn1x2C7bn6oxZd
EfgUM7yoRuJySCamESSXdoFGR66RzuAr6OWPK1b8OX5iWHaMikd19ibGLgwCJ+LAmFsvkCNIukO9
fOuRS+tE9Z3S6uh+WLzvBrIT5oRcU6auY5UiSx2Mp6lKHzQCZPxrI5+3i528sKWHqPPGE4sFYJCL
CPe5uSuaWOIyHLMrmxYAF9cR28K2qEaAy6DPrafeyK6x33e5fRqaYls51kWdJ5f2yKyjbV1EoB3D
RJCHTfZgoLX0LXVi+VIi2YcLVWjKfcqT/tWK+A0xwxszRpaoCD4M04AwRVDQjxMw1mqt17Sex53t
R5MejIQoeE0WVNTgsogLqQRbzaIb0GxSnvYG+zbQl52ezxvy716AIID47wuQYOg+v/T52+wZvvOv
+oO1JjJ+qhA5D6Ly+M6ewUxtU5ig/3BQ2bjyv77XH1imCUBH6+9QoBi280P9QUmi4Q/QTd1A6f2P
dDdvaVCwGeBbsEj7dL2/6V3Q9sYO04uqWyjg8yDyXrSlgkP8u7gimST/rErQmcMi8sEcTln147XY
dU2rd3Q4qGMgcc8uiFiaktYK49Teq04exFn0m6pe+3u4CEXaq8/8SVWSxmBwejWBA5i98GYiIjH2
O7XxK+9jh/LigzeNUJd/t6dyV/1qT6XieyUesPPVJZAEDVE2PQK6pmNyY1TPJfwtZ76Namhq9W9U
GG+dxdf7Kf//1Sea9MWwnkfxvqieyjWCUvKUax+15vHVBf7G88T43fH8qVZFUmP2UZrGTBKiDaTe
zdS5m4UFhDbWflTR3dErTFtrMKkFLV7ClmEPLfSVrND2HQWQDXMuZwV2OPX48ih3mAEqWY6CFQSr
yezKBi+o8/PalyXNWYAV22wAdOHq21/vypvnyLIIvoOVL3fRj0esiPO4VwuOmLbe1pQOGSHBOSNI
t0baOnxUQgCubN+vP/TN0/TqQ386TdWcIGDp+VBlOcmFYbMoMrRTmtz++nMkS/HvV+CrD/rpPJlr
pGRpzb2WhhXDtTmQOxvZeDA7XxBjq16DYvuQpA+1BsTnQUP4ukhvmvF6CRzBrmfoo2Wg2UUwt4/h
avs9o7khe7HT2rfn/n9ynzLltVVkhizUhbT1+voFsMgm2zr803DxjfwRZPeEWTnsGN25p4JSxrmx
SPn49WFy7TeeSURHSgPIMGzUjD8dJyMac7vIeih1Eykh2UgSjXtYhhR5MRHPdhiIgUmwEQZLEQUl
dQgeqS1Jra9gDXrUM8oamBOGHhZ2LSkn599RZ8sKtERL4rKkgmUTIs5m6Dsp+WZghU+X80JAFGJ6
yjzWVnDdiwTuW0PdwpBNwF70AtYOW1bhCoAYTTl+cJy4LSt4IQO4rOir9Kv8NUwj+johq3aKhJ6l
EU4h2WYXXXd1/z3gBfIkA5eTGPThJuzEViSbUYMgJicGdfdxtuNA4mGX8p0K5f1MWwB6MbPGFARC
Q+RrHNF8Nm+FPGGF6dHEiJ5g5ZpIG85XagTqJEK/Loz0xlSXrQ4fSCwfUq4Zg3NUoCfONlU8qRsY
sgRyIGgB8W1VE7fBn2SIDMMSdZmZ3Dpre679hGkgMSkWWv8MsbZwK2JGoHIgOiJRhCeg9h/nRtuI
3UJwFkZ3Ahe4FbeMmPwzzGYtbZ4F3oxeOggBCt/O7csB65KEr4jxRWJexKUSEX0j1WaXOEHmQRhG
jS3mMdk+lVxfO3+SAJEzQAuMl00F0ObmLhmrowT9DDhTJEVIywkDUe57hUGTkfszI/DeQsuN06Cn
uunB4giHY8EGsQAjEqoB/LY5zsFXMHar08uCS0POv/AuLA1tQrd3mEHmNfb/rKZNzMw0a/deHLPN
Ggk3QcZg12XYOnGRAUIByCyrXr48is6Xr8efY8RBjnlhRiNU6wcO3/k2S1VgvLAgnPag944v2tOp
T4Kpulb1bKuSTsDlFdQHHGeBmRVBitClr4pAvn9ttC242Y3rZTuNrpfhOv7QcRIp18nJOPTFeoiX
ioYZ432WGYqnbizSqJm3+jM0UnNCZ0QqICmk8pKUx03d1JvBSZkTu/txULdMVTcLuoK4yLc9Oe41
FXAKDD2eMXEVtBQQL7VTc7+OEUOqKYBFGXShjlidjW/xUnE/p/PLwthhhMEtrx5qEAYkYeC56272
Crr2ydZwNmN1itf1MIi1yWC1UF05jBe7MQvOa5Sk2vbaDeeX+g1WAXufY1dbnTGQ39uUEWq0EH5R
7XrdRQSyJT1iiwB0C2oTiYMXaGRRa0uxU9sFeJjKOG0JBm52KrCNm69+um6r+kOuMLJU1WseuUWR
cKfiMmQ6PLguDwryy/P+xs2KLfVSGo80Hu297G0EnI2Q6KCz7aOctnjOd7LCmvAcuKkpP7tIeMDS
LAJkQXAOSp+LUf0sz3mt5uizCyIzlrPfc7PK+6AhGl3+nlcG7FlWbY5PGe9lF0Vv7QFaIDcpt9aM
CkSoOpSqXl7tkqLlUa5t2rlEqZ0SB41Jh0Nn1PUePM9O3rQ23xPTYDBrMtZANiv4XoowZJILTDCn
qRfbG7pVwWhyhXL1ZNUagMOXFBNZaWTgBGLbZfXod94L+OXU+VhB3dJRoKRcQV4HUrxAtBwTsIHW
oeJJPRofyuhO0+YgSW9bFE/rwnerFSgTIZIPQfwhdQhDYXhFdmm6Pos1jk2CuYJEp+G9CX1EX9Dj
eAyCOIjNXrUky4TUVVbPXFDyxoq4/uQzKg3l20KKLjKiurvNHAxVrEGr3NzID6pi119qGGe8aKu1
9tv5E8Ekfsg+oYDKdNbg6t1INImc+GTKoajSbRxL1kzQ2y+LEoVtWfiZdZWijSu09xOqiZg9X4si
QJ0VGPVjGVG3ctzlohv1nbp+rsy7KHqw6EtnmHNSfuxCWx5U2ykClWrAQ+QaWgRFXY90YAwxdm47
PUaOhSCvecTLfD57WvTJM1mzm4C0OdK0fPwZhb4kF3Jv8cU00hjhcRgsko5GNd+mM56pcOLS4b7g
6aG6N/JYcWgI4rLjS4inD28iRAefe28kVgVtlm4gW9RFKzmzyFStr0V310wfko8VAADCCFIPPiIQ
YY48b/ddQs5FxfWrla5fIjlIuIxqzoBVu8gcu33rMtlMUCbVxvlhh3lmV8U05caGGK5sZzZzUIbo
nhpnQyBiYHQ2WSQ1LXCuNwXNfeeBVx73q8q/OfxMdwnkwRbqNWsnGhJwLKgwsh59yVXakTRizwy5
QQt7bjChTIjYoIEXWMg5yWZk/rBDCjLjNC5aL4zI3bkY6M7R13B7vEiVhtU4JPKTK4UHfk5+nG3C
JQhuF4+nirgAVFQ8nKWeSLdsRCIwuLS5jV280KpkwDKLcImH3GTrm9XjJuudDU7/rcO7RG68lnMH
wO2pABjgD4YLUhwdBxDux0mUHT0SDx2pR5oRYFTlcccdqu2MpfraTkkU6L3y3OfGVYfYZZeHytcW
NyLGjVHMieGAVSPrU6KZmZxsJyf55mn9ZTylfNLkfQTC+Un6YUv+0OF9lM6U9ElTPJGodncmHskc
ryR11NbBO4k2AMcwDVPkTWI9EhyJdJjE0CXuvYF3aoUXkyQGxXrWaf2L3cnCr1ni29SJZhMWXKf/
ATU08HcKRU5MXCG+T8/ctIy+rQ8GjlC3pq3JyEHFhjhZG1Ey9YNxmfDGRDEJe4sOIFwN6cAKs65p
LjQGE9L9JAxZMgp2PWsAB5fqhHE8x7UakfQhJlbsfXEtplaxt45idE1wvJY4XzOxwKZihrWcG3z5
rAVzAn0RXbXNScxhPUui3sUDyVbbeGs774PsnDTa3ul4bzPEcDV7KiBGE2+uWKikOZnH9Mfx7oo/
EonjRTzepTh71XTyY5y+4gcT45x44aQjJ744gzAfAc2ULe+L/s6eAatiE5OzI9YxEtqIwvIOKj7j
CbtxzRsX9hWfpXtcvJwLEeeleJTFqykdRYErdniYhYHZORc8iRQqDDmDYhOTLnIpBmjKNPQu9kYe
g+3S7caEt2lO4rpOYg3NAalB5C0rDsleXpnGS/3oDjaXEwiuUWeITiubJ9KYkpqA1iCldES6d5D7
m54bgQQvsW4zKp2CCftoxytuEPUhiWDVMPuxgbKP3wmJ39Qtl2SIUxr6amR+LZugXRElFjWuZGOT
9LQ7C+/8uLeLamc7ZeAh6GKh6sv6wivJg4qeCuSo8teyXIPKZrXCXak3D2Pz5CY3vfdE9weVxeJz
XgPUvFQ5rEzbyPfcjcs2IqvdOCwJ5J/7VbS7SrAanp+FH7u52Uw8VLHg7qJUfS7i8M7jshX7oAPM
VzrUJeFwq83I0yEkCRWIEn1dREuDBnKxIK81+zkCjjn+wZcUFo98d0eneHTC/bnU+ndvANIv+kUD
8OXTy//9r5fuDfkB3/dX+w/MioWlykRPAAuEEvR7+8/9l8eTS7dwTQt4Wqr4V+0/4rgcT1ddWMW8
517LDxwDvYKHcQRbA82Lf2S7o4/4t04Bc24sd3TlgLb/5P9Yl5gb18skPcEMei3e9M5X0+sD1PA7
E/MDwit7/lq4H0gCtplxvzpgbzSUNGn6/dwqg2YCNdIFps106sfCv4tW/kuLaC98hDjKN1MYb0mz
yHRnl+f2lqfWLXfJqXexo2W3PXAnpRt/0wewaJn+vBm6Rh/WhFvJgaAr9ONmJApFkWENhA9Xy8Pg
sCqsrenUa1l/wWvU7BEqLxdKyEwV9RjcL+RaZg27Xj+GUR7IOFoNw92IGrd22ptFy1E4pMBAYNml
3bOMvFFak3C1UxbnhlynK176O87vNvWogTnyat+dED1uXKN6qQFxq9rIG6+6zhrvFrzG0bPyz7XL
dN5Cu+4aykk35qM6AaHrWSrlEZKsyuKRGk3IRu6z3taDrqnu6Pyv8dr6y6PRoMvIzfFTQh4RI/DU
piKINCCSMaF79ZEULVJJEQj7qFEK1nOmhcOdQY7b3uP+LAJjDBWfeF2L7wO5YABtwyHlbkkSw2ww
N3clQtZNrzm+SequOvZAP7TmoXdzflpM5lk3QocLy8d0rFnwuP2dm9xGKlFNI169TWUUI2rcr6ON
UCPMufZyRMHGdafjLSh085vSIUfTCjSH05DAaViPdUceNjWrv8zpbi0dV8bSz6lRxZsVa4SDRSKe
SdaLmntvjga/THtGftOzU9yGRZMcZ63crOrwEmO6WNqbhpBzhxmJB5LEpZamVbDtoUAlYOoEOzaM
DHpgcgxpsZOZiUXOHqoQ6/8xd267aaNRFH6VUe+JfLYZqZUKJgdNzk2rqjcWk1BjY2zjAwZeax5h
Xmy+bSAJkJBM3QukXqTY+LDx/3vv9a+9VgARnfaZwEN0s3LTPOsGaYL0A2NnhLjJGKu+6cglfTk2
8QMyYgyPcpZWaSoahQOTJp9ZnJOf+V0PyXY0Q7Mp1kCK5baySddQf6Zm3lWQ4EuojEOP2qaFesqo
guR6rlVaJ4QFbkV5z2wBTEUGVktpzwnmbgl133RoaLK1ruXA0WP5fkHGbMcFUB/ePGOskVjaG7Em
beGBnGuhm6g2qnl5L8D7Rz6bGvSdXZjO7My0K1dLfjj6wKuQmcgxMCqwMy0vfYq+YjHDGu5OYgdZ
AasiOqAmio/0MoLCljQAddvVtRpfTJ3LUfFdj2l8yNPj0Tw8nmFnSL6G4tWMomtsazhafJGevhAf
KuwYEa3Iu6WVQMLHH0krO+W4AC++GraU83wxvTUdv5d7k+MFnNQSUoGtnoQTHGHDexOfmnFAZ34F
GeVGWL4jnDin8UlRld12nMPxhmdgQtyr0FKBLz3Xf6aAe+iaUwKF3Rl346ijrjAeW+zSLujfgLES
Ak6XuPYZbpEbmMBTaJBGy17jGQxyEJRqRgKsl92yBaRIdmGiaahB90jgRHpC/KXhomX0Y5bhFPKO
grInwyyY82FC4hrqtwwx2TTk1Z9q5OtDLPR0N5wacEYKAgcJNvqb/tGxBuYG4dfU+mhVd7xp0sFD
2k6RZqehxIYyGs5utSR3Fcw4AQIo6GkzguaplPR+zXQXCJx1EFwnYSHSpwDQejPCFDqE/TJpfdXl
G1T35EHdeKy5Kh5NpdMZji+97IZAwB3BfUrJ3YKzjfVvY8fvhKFFjzCudAvoYeWQ9hYoCqz/S9eC
rPnrrMXitd0V6TmlUv6SdV7f6/gQ2mc6eaADOAADQXTrRGVPJPV0P+MXc4WzIVwFIXlQmJwXAaI7
uAl4DG9kMahySGCrY+EiiNx0LXZAHpqDt1XgbvCP4JL4Pb11qwgqBzonGbqkQENQO7jQxybpqwea
J+v4JuieGX0Dy6XxzuipYH+iyBCCBWaCCYINSrYkWflaA1wEtguwRBNMcQK2qIIxsvZ6Kv5cQnkQ
SoRkwwaYJN07kvZKMVMJYln8qJfFwTGFPCGtHZJPi/a3Ad5pgnuKMIaIblngoXpwXcZnIRjpWtIh
BjsVWolwJ0QHQ8S2UzLtyrrwyHA1kFdlDoJIIQEF9kQXZDa8WoDTWuC1I3DbxMq7QcZoQzDdANcV
LbDCuPZ58FJQXymSpnr7cgFvRcBaJm/4rXei6stKOev+yLWCwIrCK25Ux4tFeTnMWEa5Qsm7Z2fD
c/QLT3MYMx7MmdJED5CRY1wbnF2UWnJYNiInVsC6oRftjHLI9ekv4qZFsSVvi11S8lc4QZECJFS4
H7aQeyp83ZAI/S7q5RZCzYJ5i8JYgHCzQKclhJkUzfkwap2KqqsEQdTUpYKS31AiCgP9JINlhEFU
xx5FdHRleccJwUFskuHOogD1MWEpTWArlUJbwpRd/DuhMmHh7dNyFCEgCOCjwXdawHui3DhLIu+h
FEJUmRgT14cjhcsmTXrhVSTkKeTJHyKmY11oVYB8VxMhWoWWNITAvQrgYIW0F3YW0/SStdTvHiyt
qdC1DiMlX9UEbr/o92od8ZtykM1vB3kZFfnaJUW21hIMd8mv7bT/QCsF87t5Ovj44T4p40KuwA+S
+HmyLovqG+l9fUX15e47AHobQVE+cGRVPyJ/tyw0MDCIQTqB9DVKYn+1ueVAMKa6MlnZglVOgsnq
Oid8FqHXYrD/9pbB3L/Pxh30H8ZBjHFgkQX3xfMQrJjWy+u6n/3pD5LHn2Y3EFuH2QgEMUDG3ba4
Ycs2KSM2AoE4vIOeBiY3j0zrwwoEHAyTQuR9D8S+ODhUUeg9KhQ0SKpQSGzFoU0DFWuOMNJ5ZESE
5eDioFKKNY2DcYS0JPIaEFg0bJcYaFthoMai6FMcA2UZys9DC8NqXDCe3zNB7HseIPy0qS1Nylt0
d7bHhXNk8LnNGqEFqqQbS8DhgCYIxsUL1hGvTJT74mDT+aSpukoThkLBsfNAwHFaMqAOazysHoTl
A9pogjTBbFRVJwIvTZA2rShEpw3GWvPEDvFB0BS18cSgH6EjZbRNx4bmYTPnbj0IzhHdsip8OFs6
YmpM7CAfCLC6pjODJWiTaRrMCjZ/7QTCxg3OMlSkioy2tor8Ac0Mq5HxG16Zts0aIP90mWl23hXO
EdMn2xBigMXK2/VA3xXvTCZfnyN5ZwJAAgSTh5BLiUvO1ktT4XNTYaJgHqlV2g5yaIDxNh0aJIrI
ylmmDACg8d1AaKQONunmWsnusALBS3MpBN40DjY5g6MZVA8kUoJKbz0Qqm0YNmoEOpGqHZcOLg5k
/L8hiWIOlBUKjRTBVF54Z1B78CoRI09JI5YvqcObKpczV6MkgqKCPpY6g6Ca3B4YzpFNc4houbcV
4/9VF++I1mPxTnt39FCX7cEgf6m6f22HdcW6u31VrYrlGFX5xn5SxC9PPajhBPn/p41ZtC6on21c
F9j1aVZfX93f7pk3zrW+qfWHp8Eg62f3w3m9Yb66ysv+mOKfBuSi/8fnuP+8npaRX5dPT5fz8cPG
xT6bHN84+hseA4/B+PUTXAR+OYi2rn+Z5TW9fvzkrvuLrUMvJ4PfcOj9VnUNI/N5WPbvh/10q7Pj
ESFoev1fkjhPYkRbn0fnCYhpevh3KMI2DNCbnS9Nj79/Yb3h0d8WDmh4gq8gnWWx9fQ8AQpNf983
HK8bXjzj9msc/PvPBlD6VATvv/iXJtlHuHN36l3DmC99bfO1InvcR4N+9uk/AAAA//8=</cx:binary>
              </cx:geoCache>
            </cx:geography>
          </cx:layoutPr>
          <cx:valueColors>
            <cx:minColor>
              <a:schemeClr val="accent5">
                <a:lumMod val="40000"/>
                <a:lumOff val="60000"/>
              </a:schemeClr>
            </cx:minColor>
            <cx:midColor>
              <a:schemeClr val="accent4">
                <a:lumMod val="40000"/>
                <a:lumOff val="60000"/>
              </a:schemeClr>
            </cx:midColor>
            <cx:maxColor>
              <a:schemeClr val="accent2">
                <a:lumMod val="75000"/>
              </a:schemeClr>
            </cx:maxColor>
          </cx:valueColors>
          <cx:valueColorPositions count="3"/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96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3175">
        <a:solidFill>
          <a:schemeClr val="dk1">
            <a:lumMod val="65000"/>
            <a:lumOff val="35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2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12" Type="http://schemas.openxmlformats.org/officeDocument/2006/relationships/chart" Target="../charts/chart1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11" Type="http://schemas.openxmlformats.org/officeDocument/2006/relationships/chart" Target="../charts/chart10.xml"/><Relationship Id="rId5" Type="http://schemas.openxmlformats.org/officeDocument/2006/relationships/chart" Target="../charts/chart4.xml"/><Relationship Id="rId15" Type="http://schemas.openxmlformats.org/officeDocument/2006/relationships/chart" Target="../charts/chart14.xml"/><Relationship Id="rId10" Type="http://schemas.openxmlformats.org/officeDocument/2006/relationships/chart" Target="../charts/chart9.xml"/><Relationship Id="rId4" Type="http://schemas.microsoft.com/office/2014/relationships/chartEx" Target="../charts/chartEx1.xml"/><Relationship Id="rId9" Type="http://schemas.openxmlformats.org/officeDocument/2006/relationships/chart" Target="../charts/chart8.xml"/><Relationship Id="rId1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2</xdr:row>
          <xdr:rowOff>9525</xdr:rowOff>
        </xdr:from>
        <xdr:to>
          <xdr:col>3</xdr:col>
          <xdr:colOff>9525</xdr:colOff>
          <xdr:row>4</xdr:row>
          <xdr:rowOff>19050</xdr:rowOff>
        </xdr:to>
        <xdr:sp macro="" textlink="">
          <xdr:nvSpPr>
            <xdr:cNvPr id="2049" name="spDurac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371475</xdr:colOff>
          <xdr:row>2</xdr:row>
          <xdr:rowOff>0</xdr:rowOff>
        </xdr:from>
        <xdr:to>
          <xdr:col>6</xdr:col>
          <xdr:colOff>0</xdr:colOff>
          <xdr:row>4</xdr:row>
          <xdr:rowOff>9525</xdr:rowOff>
        </xdr:to>
        <xdr:sp macro="" textlink="">
          <xdr:nvSpPr>
            <xdr:cNvPr id="2050" name="spTasaInteracci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F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1</xdr:row>
          <xdr:rowOff>171450</xdr:rowOff>
        </xdr:from>
        <xdr:to>
          <xdr:col>9</xdr:col>
          <xdr:colOff>9525</xdr:colOff>
          <xdr:row>4</xdr:row>
          <xdr:rowOff>0</xdr:rowOff>
        </xdr:to>
        <xdr:sp macro="" textlink="">
          <xdr:nvSpPr>
            <xdr:cNvPr id="2051" name="spProDeContagi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F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179294</xdr:colOff>
          <xdr:row>2</xdr:row>
          <xdr:rowOff>12887</xdr:rowOff>
        </xdr:from>
        <xdr:to>
          <xdr:col>12</xdr:col>
          <xdr:colOff>179294</xdr:colOff>
          <xdr:row>4</xdr:row>
          <xdr:rowOff>31937</xdr:rowOff>
        </xdr:to>
        <xdr:sp macro="" textlink="">
          <xdr:nvSpPr>
            <xdr:cNvPr id="2052" name="spTasaRecuperacio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F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760959</xdr:colOff>
      <xdr:row>1</xdr:row>
      <xdr:rowOff>179934</xdr:rowOff>
    </xdr:from>
    <xdr:to>
      <xdr:col>22</xdr:col>
      <xdr:colOff>22411</xdr:colOff>
      <xdr:row>16</xdr:row>
      <xdr:rowOff>65634</xdr:rowOff>
    </xdr:to>
    <xdr:graphicFrame macro="">
      <xdr:nvGraphicFramePr>
        <xdr:cNvPr id="5" name="Gráfico 3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750794</xdr:colOff>
      <xdr:row>2</xdr:row>
      <xdr:rowOff>3362</xdr:rowOff>
    </xdr:from>
    <xdr:to>
      <xdr:col>28</xdr:col>
      <xdr:colOff>750794</xdr:colOff>
      <xdr:row>16</xdr:row>
      <xdr:rowOff>79562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721939</xdr:colOff>
      <xdr:row>17</xdr:row>
      <xdr:rowOff>188819</xdr:rowOff>
    </xdr:from>
    <xdr:to>
      <xdr:col>22</xdr:col>
      <xdr:colOff>0</xdr:colOff>
      <xdr:row>32</xdr:row>
      <xdr:rowOff>74519</xdr:rowOff>
    </xdr:to>
    <xdr:graphicFrame macro="">
      <xdr:nvGraphicFramePr>
        <xdr:cNvPr id="7" name="Gráfico 2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5602</xdr:colOff>
      <xdr:row>10</xdr:row>
      <xdr:rowOff>16528</xdr:rowOff>
    </xdr:from>
    <xdr:to>
      <xdr:col>15</xdr:col>
      <xdr:colOff>11205</xdr:colOff>
      <xdr:row>26</xdr:row>
      <xdr:rowOff>22411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1" name="Gráfico 1">
              <a:extLst>
                <a:ext uri="{FF2B5EF4-FFF2-40B4-BE49-F238E27FC236}">
                  <a16:creationId xmlns:a16="http://schemas.microsoft.com/office/drawing/2014/main" id="{00000000-0008-0000-0F00-00000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7602" y="1921528"/>
              <a:ext cx="5692028" cy="30538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23</xdr:col>
      <xdr:colOff>10646</xdr:colOff>
      <xdr:row>18</xdr:row>
      <xdr:rowOff>5882</xdr:rowOff>
    </xdr:from>
    <xdr:to>
      <xdr:col>29</xdr:col>
      <xdr:colOff>10646</xdr:colOff>
      <xdr:row>32</xdr:row>
      <xdr:rowOff>82082</xdr:rowOff>
    </xdr:to>
    <xdr:graphicFrame macro="">
      <xdr:nvGraphicFramePr>
        <xdr:cNvPr id="12" name="Gráfico 3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369234</xdr:colOff>
      <xdr:row>33</xdr:row>
      <xdr:rowOff>185177</xdr:rowOff>
    </xdr:from>
    <xdr:to>
      <xdr:col>15</xdr:col>
      <xdr:colOff>10646</xdr:colOff>
      <xdr:row>48</xdr:row>
      <xdr:rowOff>70877</xdr:rowOff>
    </xdr:to>
    <xdr:graphicFrame macro="">
      <xdr:nvGraphicFramePr>
        <xdr:cNvPr id="13" name="Gráfico 1"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761440</xdr:colOff>
      <xdr:row>33</xdr:row>
      <xdr:rowOff>185176</xdr:rowOff>
    </xdr:from>
    <xdr:to>
      <xdr:col>21</xdr:col>
      <xdr:colOff>761440</xdr:colOff>
      <xdr:row>48</xdr:row>
      <xdr:rowOff>70876</xdr:rowOff>
    </xdr:to>
    <xdr:graphicFrame macro="">
      <xdr:nvGraphicFramePr>
        <xdr:cNvPr id="14" name="Gráfico 1">
          <a:extLst>
            <a:ext uri="{FF2B5EF4-FFF2-40B4-BE49-F238E27FC236}">
              <a16:creationId xmlns:a16="http://schemas.microsoft.com/office/drawing/2014/main" id="{00000000-0008-0000-0F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761440</xdr:colOff>
      <xdr:row>34</xdr:row>
      <xdr:rowOff>5882</xdr:rowOff>
    </xdr:from>
    <xdr:to>
      <xdr:col>28</xdr:col>
      <xdr:colOff>761440</xdr:colOff>
      <xdr:row>48</xdr:row>
      <xdr:rowOff>82082</xdr:rowOff>
    </xdr:to>
    <xdr:graphicFrame macro="">
      <xdr:nvGraphicFramePr>
        <xdr:cNvPr id="15" name="Gráfico 1">
          <a:extLst>
            <a:ext uri="{FF2B5EF4-FFF2-40B4-BE49-F238E27FC236}">
              <a16:creationId xmlns:a16="http://schemas.microsoft.com/office/drawing/2014/main" id="{00000000-0008-0000-0F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369233</xdr:colOff>
      <xdr:row>50</xdr:row>
      <xdr:rowOff>5883</xdr:rowOff>
    </xdr:from>
    <xdr:to>
      <xdr:col>15</xdr:col>
      <xdr:colOff>10645</xdr:colOff>
      <xdr:row>64</xdr:row>
      <xdr:rowOff>82083</xdr:rowOff>
    </xdr:to>
    <xdr:graphicFrame macro="">
      <xdr:nvGraphicFramePr>
        <xdr:cNvPr id="16" name="Gráfico 1">
          <a:extLst>
            <a:ext uri="{FF2B5EF4-FFF2-40B4-BE49-F238E27FC236}">
              <a16:creationId xmlns:a16="http://schemas.microsoft.com/office/drawing/2014/main" id="{00000000-0008-0000-0F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761440</xdr:colOff>
      <xdr:row>50</xdr:row>
      <xdr:rowOff>17088</xdr:rowOff>
    </xdr:from>
    <xdr:to>
      <xdr:col>21</xdr:col>
      <xdr:colOff>761440</xdr:colOff>
      <xdr:row>64</xdr:row>
      <xdr:rowOff>93288</xdr:rowOff>
    </xdr:to>
    <xdr:graphicFrame macro="">
      <xdr:nvGraphicFramePr>
        <xdr:cNvPr id="17" name="Gráfico 1">
          <a:extLst>
            <a:ext uri="{FF2B5EF4-FFF2-40B4-BE49-F238E27FC236}">
              <a16:creationId xmlns:a16="http://schemas.microsoft.com/office/drawing/2014/main" id="{00000000-0008-0000-0F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23</xdr:col>
      <xdr:colOff>10646</xdr:colOff>
      <xdr:row>50</xdr:row>
      <xdr:rowOff>5882</xdr:rowOff>
    </xdr:from>
    <xdr:to>
      <xdr:col>29</xdr:col>
      <xdr:colOff>10646</xdr:colOff>
      <xdr:row>64</xdr:row>
      <xdr:rowOff>82082</xdr:rowOff>
    </xdr:to>
    <xdr:graphicFrame macro="">
      <xdr:nvGraphicFramePr>
        <xdr:cNvPr id="18" name="Gráfico 1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358027</xdr:colOff>
      <xdr:row>65</xdr:row>
      <xdr:rowOff>185176</xdr:rowOff>
    </xdr:from>
    <xdr:to>
      <xdr:col>14</xdr:col>
      <xdr:colOff>380439</xdr:colOff>
      <xdr:row>80</xdr:row>
      <xdr:rowOff>70876</xdr:rowOff>
    </xdr:to>
    <xdr:graphicFrame macro="">
      <xdr:nvGraphicFramePr>
        <xdr:cNvPr id="19" name="Gráfico 1">
          <a:extLst>
            <a:ext uri="{FF2B5EF4-FFF2-40B4-BE49-F238E27FC236}">
              <a16:creationId xmlns:a16="http://schemas.microsoft.com/office/drawing/2014/main" id="{00000000-0008-0000-0F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10646</xdr:colOff>
      <xdr:row>65</xdr:row>
      <xdr:rowOff>185178</xdr:rowOff>
    </xdr:from>
    <xdr:to>
      <xdr:col>22</xdr:col>
      <xdr:colOff>10646</xdr:colOff>
      <xdr:row>80</xdr:row>
      <xdr:rowOff>70878</xdr:rowOff>
    </xdr:to>
    <xdr:graphicFrame macro="">
      <xdr:nvGraphicFramePr>
        <xdr:cNvPr id="20" name="Gráfico 1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23</xdr:col>
      <xdr:colOff>10646</xdr:colOff>
      <xdr:row>66</xdr:row>
      <xdr:rowOff>5882</xdr:rowOff>
    </xdr:from>
    <xdr:to>
      <xdr:col>29</xdr:col>
      <xdr:colOff>10646</xdr:colOff>
      <xdr:row>80</xdr:row>
      <xdr:rowOff>82082</xdr:rowOff>
    </xdr:to>
    <xdr:graphicFrame macro="">
      <xdr:nvGraphicFramePr>
        <xdr:cNvPr id="21" name="Gráfico 1">
          <a:extLst>
            <a:ext uri="{FF2B5EF4-FFF2-40B4-BE49-F238E27FC236}">
              <a16:creationId xmlns:a16="http://schemas.microsoft.com/office/drawing/2014/main" id="{00000000-0008-0000-0F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16</xdr:col>
      <xdr:colOff>10646</xdr:colOff>
      <xdr:row>81</xdr:row>
      <xdr:rowOff>173971</xdr:rowOff>
    </xdr:from>
    <xdr:to>
      <xdr:col>22</xdr:col>
      <xdr:colOff>10646</xdr:colOff>
      <xdr:row>96</xdr:row>
      <xdr:rowOff>59671</xdr:rowOff>
    </xdr:to>
    <xdr:graphicFrame macro="">
      <xdr:nvGraphicFramePr>
        <xdr:cNvPr id="22" name="Gráfico 1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E1A036-7EA1-43B6-A330-E9E7EE03C51C}" name="Tabla13" displayName="Tabla13" ref="B3:D17" totalsRowShown="0" tableBorderDxfId="3">
  <autoFilter ref="B3:D17" xr:uid="{54D8BFC4-572E-44B1-8A50-C308F39322F3}"/>
  <tableColumns count="3">
    <tableColumn id="1" xr3:uid="{761B78A1-62EE-469C-B51F-D948B62B7FA2}" name="Pais" dataDxfId="2"/>
    <tableColumn id="2" xr3:uid="{3A8343EE-FCFC-4481-B24D-ADA367AB0616}" name="Depto" dataDxfId="1"/>
    <tableColumn id="3" xr3:uid="{53106F40-FCF0-45DB-B039-68B29592C849}" name="Contagiados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N762"/>
  <sheetViews>
    <sheetView showGridLines="0" zoomScaleNormal="100" workbookViewId="0">
      <selection activeCell="N3" sqref="N3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4" t="s">
        <v>26</v>
      </c>
      <c r="E2" s="35"/>
      <c r="F2" s="35"/>
      <c r="G2" s="36"/>
      <c r="I2" s="34" t="s">
        <v>27</v>
      </c>
      <c r="J2" s="35"/>
      <c r="K2" s="36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319503</v>
      </c>
    </row>
    <row r="4" spans="2:14" x14ac:dyDescent="0.25">
      <c r="B4" s="10">
        <v>0</v>
      </c>
      <c r="C4" s="11">
        <v>43891</v>
      </c>
      <c r="D4" s="12">
        <f>N3</f>
        <v>319503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319502.86800041312</v>
      </c>
      <c r="E5" s="12">
        <f>E4+I5-J5-K5</f>
        <v>1.098666253526299</v>
      </c>
      <c r="F5" s="12">
        <f>F4+J5</f>
        <v>2.9666666666666664E-2</v>
      </c>
      <c r="G5" s="12">
        <f>G4+K5</f>
        <v>3.6666666666666701E-3</v>
      </c>
      <c r="H5" s="9"/>
      <c r="I5" s="12">
        <f>E4*N$6*D4/SUM(D4:F4)*N$7</f>
        <v>0.13199958685963242</v>
      </c>
      <c r="J5" s="12">
        <f>E4*N$8/N$5</f>
        <v>2.9666666666666664E-2</v>
      </c>
      <c r="K5" s="12">
        <f>E4*N$9/N$5</f>
        <v>3.6666666666666701E-3</v>
      </c>
      <c r="M5" s="2" t="s">
        <v>7</v>
      </c>
      <c r="N5" s="18">
        <f>Datos!G3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319502.7229769798</v>
      </c>
      <c r="E6" s="12">
        <f t="shared" ref="E6:E69" si="1">E5+I6-J6-K6</f>
        <v>1.2070674783867619</v>
      </c>
      <c r="F6" s="12">
        <f t="shared" ref="F6:F69" si="2">F5+J6</f>
        <v>6.2260432187946871E-2</v>
      </c>
      <c r="G6" s="12">
        <f t="shared" ref="G6:G69" si="3">G5+K6</f>
        <v>7.6951095962631035E-3</v>
      </c>
      <c r="H6" s="9"/>
      <c r="I6" s="12">
        <f t="shared" ref="I6:I69" si="4">E5*N$6*D5/SUM(D5:F5)*N$7</f>
        <v>0.14502343331133957</v>
      </c>
      <c r="J6" s="12">
        <f t="shared" ref="J6:J69" si="5">E5*N$8/N$5</f>
        <v>3.2593765521280203E-2</v>
      </c>
      <c r="K6" s="12">
        <f t="shared" ref="K6:K69" si="6">E5*N$9/N$5</f>
        <v>4.028442929596433E-3</v>
      </c>
      <c r="M6" s="2" t="s">
        <v>8</v>
      </c>
      <c r="N6" s="3">
        <f>Datos!G4</f>
        <v>2</v>
      </c>
    </row>
    <row r="7" spans="2:14" x14ac:dyDescent="0.25">
      <c r="B7" s="10">
        <v>3</v>
      </c>
      <c r="C7" s="11">
        <v>43894</v>
      </c>
      <c r="D7" s="12">
        <f t="shared" si="0"/>
        <v>319502.56364470563</v>
      </c>
      <c r="E7" s="12">
        <f t="shared" si="1"/>
        <v>1.3261641699219273</v>
      </c>
      <c r="F7" s="12">
        <f t="shared" si="2"/>
        <v>9.8070100713420802E-2</v>
      </c>
      <c r="G7" s="12">
        <f t="shared" si="3"/>
        <v>1.2121023683681235E-2</v>
      </c>
      <c r="H7" s="9"/>
      <c r="I7" s="12">
        <f t="shared" si="4"/>
        <v>0.15933227414805731</v>
      </c>
      <c r="J7" s="12">
        <f t="shared" si="5"/>
        <v>3.5809668525473931E-2</v>
      </c>
      <c r="K7" s="12">
        <f t="shared" si="6"/>
        <v>4.4259140874181304E-3</v>
      </c>
      <c r="M7" s="2" t="s">
        <v>9</v>
      </c>
      <c r="N7" s="4">
        <f>Datos!G5</f>
        <v>6.6000000000000003E-2</v>
      </c>
    </row>
    <row r="8" spans="2:14" x14ac:dyDescent="0.25">
      <c r="B8" s="10">
        <v>4</v>
      </c>
      <c r="C8" s="11">
        <v>43895</v>
      </c>
      <c r="D8" s="12">
        <f t="shared" si="0"/>
        <v>319502.38859181554</v>
      </c>
      <c r="E8" s="12">
        <f t="shared" si="1"/>
        <v>1.4570115876943657</v>
      </c>
      <c r="F8" s="12">
        <f t="shared" si="2"/>
        <v>0.13741297108777131</v>
      </c>
      <c r="G8" s="12">
        <f t="shared" si="3"/>
        <v>1.6983625640061638E-2</v>
      </c>
      <c r="H8" s="9"/>
      <c r="I8" s="12">
        <f t="shared" si="4"/>
        <v>0.1750528901031693</v>
      </c>
      <c r="J8" s="12">
        <f t="shared" si="5"/>
        <v>3.9342870374350504E-2</v>
      </c>
      <c r="K8" s="12">
        <f t="shared" si="6"/>
        <v>4.8626019563804039E-3</v>
      </c>
      <c r="M8" s="2" t="s">
        <v>10</v>
      </c>
      <c r="N8" s="5">
        <f>Datos!G6</f>
        <v>0.8899999999999999</v>
      </c>
    </row>
    <row r="9" spans="2:14" x14ac:dyDescent="0.25">
      <c r="B9" s="10">
        <v>5</v>
      </c>
      <c r="C9" s="11">
        <v>43896</v>
      </c>
      <c r="D9" s="12">
        <f t="shared" si="0"/>
        <v>319502.19626724574</v>
      </c>
      <c r="E9" s="12">
        <f t="shared" si="1"/>
        <v>1.6007691045824792</v>
      </c>
      <c r="F9" s="12">
        <f t="shared" si="2"/>
        <v>0.18063764818937084</v>
      </c>
      <c r="G9" s="12">
        <f t="shared" si="3"/>
        <v>2.232600146160765E-2</v>
      </c>
      <c r="H9" s="9"/>
      <c r="I9" s="12">
        <f t="shared" si="4"/>
        <v>0.1923245698112592</v>
      </c>
      <c r="J9" s="12">
        <f t="shared" si="5"/>
        <v>4.322467710159951E-2</v>
      </c>
      <c r="K9" s="12">
        <f t="shared" si="6"/>
        <v>5.3423758215460117E-3</v>
      </c>
      <c r="M9" s="2" t="s">
        <v>11</v>
      </c>
      <c r="N9" s="5">
        <f>Datos!G7</f>
        <v>0.1100000000000001</v>
      </c>
    </row>
    <row r="10" spans="2:14" x14ac:dyDescent="0.25">
      <c r="B10" s="10">
        <v>6</v>
      </c>
      <c r="C10" s="11">
        <v>43897</v>
      </c>
      <c r="D10" s="12">
        <f t="shared" si="0"/>
        <v>319501.98496690206</v>
      </c>
      <c r="E10" s="12">
        <f t="shared" si="1"/>
        <v>1.7587104781148313</v>
      </c>
      <c r="F10" s="12">
        <f t="shared" si="2"/>
        <v>0.22812713162531773</v>
      </c>
      <c r="G10" s="12">
        <f t="shared" si="3"/>
        <v>2.819548817841008E-2</v>
      </c>
      <c r="H10" s="9"/>
      <c r="I10" s="12">
        <f t="shared" si="4"/>
        <v>0.2113003436851012</v>
      </c>
      <c r="J10" s="12">
        <f t="shared" si="5"/>
        <v>4.7489483435946875E-2</v>
      </c>
      <c r="K10" s="12">
        <f t="shared" si="6"/>
        <v>5.8694867168024292E-3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319501.75281856256</v>
      </c>
      <c r="E11" s="12">
        <f t="shared" si="1"/>
        <v>1.9322351349971649</v>
      </c>
      <c r="F11" s="12">
        <f t="shared" si="2"/>
        <v>0.28030220914272441</v>
      </c>
      <c r="G11" s="12">
        <f t="shared" si="3"/>
        <v>3.464409326483113E-2</v>
      </c>
      <c r="H11" s="9"/>
      <c r="I11" s="12">
        <f t="shared" si="4"/>
        <v>0.2321483394861612</v>
      </c>
      <c r="J11" s="12">
        <f t="shared" si="5"/>
        <v>5.2175077517406659E-2</v>
      </c>
      <c r="K11" s="12">
        <f t="shared" si="6"/>
        <v>6.4486050864210531E-3</v>
      </c>
      <c r="M11" s="2" t="s">
        <v>12</v>
      </c>
      <c r="N11" s="7">
        <f>SUM(I5:I204)+E4</f>
        <v>310650.68666875025</v>
      </c>
    </row>
    <row r="12" spans="2:14" x14ac:dyDescent="0.25">
      <c r="B12" s="10">
        <v>8</v>
      </c>
      <c r="C12" s="11">
        <v>43899</v>
      </c>
      <c r="D12" s="12">
        <f t="shared" si="0"/>
        <v>319501.49776529096</v>
      </c>
      <c r="E12" s="12">
        <f t="shared" si="1"/>
        <v>2.1228805687494603</v>
      </c>
      <c r="F12" s="12">
        <f t="shared" si="2"/>
        <v>0.33762518481430698</v>
      </c>
      <c r="G12" s="12">
        <f t="shared" si="3"/>
        <v>4.1728955426487406E-2</v>
      </c>
      <c r="H12" s="9"/>
      <c r="I12" s="12">
        <f t="shared" si="4"/>
        <v>0.25505327158553426</v>
      </c>
      <c r="J12" s="12">
        <f t="shared" si="5"/>
        <v>5.7322975671582552E-2</v>
      </c>
      <c r="K12" s="12">
        <f t="shared" si="6"/>
        <v>7.0848621616562777E-3</v>
      </c>
      <c r="M12" s="2" t="s">
        <v>13</v>
      </c>
      <c r="N12" s="7">
        <f>SUM(J5:J204)</f>
        <v>240349.28927602962</v>
      </c>
    </row>
    <row r="13" spans="2:14" x14ac:dyDescent="0.25">
      <c r="B13" s="10">
        <v>9</v>
      </c>
      <c r="C13" s="11">
        <v>43900</v>
      </c>
      <c r="D13" s="12">
        <f t="shared" si="0"/>
        <v>319501.21754721389</v>
      </c>
      <c r="E13" s="12">
        <f t="shared" si="1"/>
        <v>2.3323359602183156</v>
      </c>
      <c r="F13" s="12">
        <f t="shared" si="2"/>
        <v>0.40060397502054096</v>
      </c>
      <c r="G13" s="12">
        <f t="shared" si="3"/>
        <v>4.9512850845235434E-2</v>
      </c>
      <c r="H13" s="9"/>
      <c r="I13" s="12">
        <f t="shared" si="4"/>
        <v>0.28021807709383711</v>
      </c>
      <c r="J13" s="12">
        <f t="shared" si="5"/>
        <v>6.2978790206233981E-2</v>
      </c>
      <c r="K13" s="12">
        <f t="shared" si="6"/>
        <v>7.7838954187480274E-3</v>
      </c>
      <c r="M13" s="2" t="s">
        <v>14</v>
      </c>
      <c r="N13" s="7">
        <f>SUM(K5:K204)</f>
        <v>29706.091932992462</v>
      </c>
    </row>
    <row r="14" spans="2:14" x14ac:dyDescent="0.25">
      <c r="B14" s="10">
        <v>10</v>
      </c>
      <c r="C14" s="11">
        <v>43901</v>
      </c>
      <c r="D14" s="12">
        <f t="shared" si="0"/>
        <v>319500.90968150058</v>
      </c>
      <c r="E14" s="12">
        <f t="shared" si="1"/>
        <v>2.5624571415473478</v>
      </c>
      <c r="F14" s="12">
        <f t="shared" si="2"/>
        <v>0.46979660850701765</v>
      </c>
      <c r="G14" s="12">
        <f t="shared" si="3"/>
        <v>5.806474936603593E-2</v>
      </c>
      <c r="H14" s="9"/>
      <c r="I14" s="12">
        <f t="shared" si="4"/>
        <v>0.30786571333630952</v>
      </c>
      <c r="J14" s="12">
        <f t="shared" si="5"/>
        <v>6.9192633486476696E-2</v>
      </c>
      <c r="K14" s="12">
        <f t="shared" si="6"/>
        <v>8.551898520800497E-3</v>
      </c>
      <c r="M14" s="2" t="s">
        <v>15</v>
      </c>
      <c r="N14" s="7">
        <f>SUM(D4:G4)-N11</f>
        <v>8853.3133312497521</v>
      </c>
    </row>
    <row r="15" spans="2:14" x14ac:dyDescent="0.25">
      <c r="B15" s="10">
        <v>11</v>
      </c>
      <c r="C15" s="11">
        <v>43902</v>
      </c>
      <c r="D15" s="12">
        <f t="shared" si="0"/>
        <v>319500.57144036802</v>
      </c>
      <c r="E15" s="12">
        <f t="shared" si="1"/>
        <v>2.8152830360704031</v>
      </c>
      <c r="F15" s="12">
        <f t="shared" si="2"/>
        <v>0.54581617037292229</v>
      </c>
      <c r="G15" s="12">
        <f t="shared" si="3"/>
        <v>6.7460425551709544E-2</v>
      </c>
      <c r="H15" s="9"/>
      <c r="I15" s="12">
        <f t="shared" si="4"/>
        <v>0.33824113257463345</v>
      </c>
      <c r="J15" s="12">
        <f t="shared" si="5"/>
        <v>7.6019561865904653E-2</v>
      </c>
      <c r="K15" s="12">
        <f t="shared" si="6"/>
        <v>9.3956761856736157E-3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319500.19982691656</v>
      </c>
      <c r="E16" s="12">
        <f t="shared" si="1"/>
        <v>3.093053719643613</v>
      </c>
      <c r="F16" s="12">
        <f t="shared" si="2"/>
        <v>0.62933623377634418</v>
      </c>
      <c r="G16" s="12">
        <f t="shared" si="3"/>
        <v>7.7783130017301028E-2</v>
      </c>
      <c r="H16" s="9"/>
      <c r="I16" s="12">
        <f t="shared" si="4"/>
        <v>0.37161345144222341</v>
      </c>
      <c r="J16" s="12">
        <f t="shared" si="5"/>
        <v>8.352006340342194E-2</v>
      </c>
      <c r="K16" s="12">
        <f t="shared" si="6"/>
        <v>1.0322704465591487E-2</v>
      </c>
      <c r="M16" s="2" t="s">
        <v>16</v>
      </c>
      <c r="N16" s="7">
        <f>MAX(E4:E204)</f>
        <v>132050.47282941666</v>
      </c>
    </row>
    <row r="17" spans="2:14" x14ac:dyDescent="0.25">
      <c r="B17" s="10">
        <v>13</v>
      </c>
      <c r="C17" s="11">
        <v>43904</v>
      </c>
      <c r="D17" s="12">
        <f t="shared" si="0"/>
        <v>319499.79154858226</v>
      </c>
      <c r="E17" s="12">
        <f t="shared" si="1"/>
        <v>3.3982302632674819</v>
      </c>
      <c r="F17" s="12">
        <f t="shared" si="2"/>
        <v>0.72109682745910475</v>
      </c>
      <c r="G17" s="12">
        <f t="shared" si="3"/>
        <v>8.9124326989327624E-2</v>
      </c>
      <c r="H17" s="9"/>
      <c r="I17" s="12">
        <f t="shared" si="4"/>
        <v>0.40827833427865584</v>
      </c>
      <c r="J17" s="12">
        <f t="shared" si="5"/>
        <v>9.1760593682760516E-2</v>
      </c>
      <c r="K17" s="12">
        <f t="shared" si="6"/>
        <v>1.1341196972026591E-2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319499.3429879708</v>
      </c>
      <c r="E18" s="12">
        <f t="shared" si="1"/>
        <v>3.7335165325950563</v>
      </c>
      <c r="F18" s="12">
        <f t="shared" si="2"/>
        <v>0.82191099193604</v>
      </c>
      <c r="G18" s="12">
        <f t="shared" si="3"/>
        <v>0.1015845046213084</v>
      </c>
      <c r="H18" s="9"/>
      <c r="I18" s="12">
        <f t="shared" si="4"/>
        <v>0.44856061143649045</v>
      </c>
      <c r="J18" s="12">
        <f t="shared" si="5"/>
        <v>0.10081416447693529</v>
      </c>
      <c r="K18" s="12">
        <f t="shared" si="6"/>
        <v>1.246017763198078E-2</v>
      </c>
      <c r="M18" s="2" t="s">
        <v>17</v>
      </c>
      <c r="N18" s="7">
        <f>MAX(I5:I204)</f>
        <v>7120.236237813574</v>
      </c>
    </row>
    <row r="19" spans="2:14" x14ac:dyDescent="0.25">
      <c r="B19" s="10">
        <v>15</v>
      </c>
      <c r="C19" s="11">
        <v>43906</v>
      </c>
      <c r="D19" s="12">
        <f t="shared" si="0"/>
        <v>319498.85017081507</v>
      </c>
      <c r="E19" s="12">
        <f t="shared" si="1"/>
        <v>4.1018831372150073</v>
      </c>
      <c r="F19" s="12">
        <f t="shared" si="2"/>
        <v>0.93267198240302662</v>
      </c>
      <c r="G19" s="12">
        <f t="shared" si="3"/>
        <v>0.11527406524082362</v>
      </c>
      <c r="H19" s="9"/>
      <c r="I19" s="12">
        <f t="shared" si="4"/>
        <v>0.4928171557064529</v>
      </c>
      <c r="J19" s="12">
        <f t="shared" si="5"/>
        <v>0.11076099046698666</v>
      </c>
      <c r="K19" s="12">
        <f t="shared" si="6"/>
        <v>1.3689560619515219E-2</v>
      </c>
      <c r="M19" s="2" t="s">
        <v>18</v>
      </c>
      <c r="N19" s="7">
        <f>MAX(J5:J204)</f>
        <v>3917.4973606060271</v>
      </c>
    </row>
    <row r="20" spans="2:14" x14ac:dyDescent="0.25">
      <c r="B20" s="10">
        <v>16</v>
      </c>
      <c r="C20" s="11">
        <v>43907</v>
      </c>
      <c r="D20" s="12">
        <f t="shared" si="0"/>
        <v>319498.30873077281</v>
      </c>
      <c r="E20" s="12">
        <f t="shared" si="1"/>
        <v>4.5065937415906534</v>
      </c>
      <c r="F20" s="12">
        <f t="shared" si="2"/>
        <v>1.0543611821404051</v>
      </c>
      <c r="G20" s="12">
        <f t="shared" si="3"/>
        <v>0.13031430341061198</v>
      </c>
      <c r="H20" s="9"/>
      <c r="I20" s="12">
        <f t="shared" si="4"/>
        <v>0.54144004228281306</v>
      </c>
      <c r="J20" s="12">
        <f t="shared" si="5"/>
        <v>0.12168919973737855</v>
      </c>
      <c r="K20" s="12">
        <f t="shared" si="6"/>
        <v>1.5040238169788374E-2</v>
      </c>
      <c r="M20" s="2" t="s">
        <v>19</v>
      </c>
      <c r="N20" s="7">
        <f>MAX(K5:K204)</f>
        <v>484.18506704119483</v>
      </c>
    </row>
    <row r="21" spans="2:14" x14ac:dyDescent="0.25">
      <c r="B21" s="10">
        <v>17</v>
      </c>
      <c r="C21" s="11">
        <v>43908</v>
      </c>
      <c r="D21" s="12">
        <f t="shared" si="0"/>
        <v>319497.7138707526</v>
      </c>
      <c r="E21" s="12">
        <f t="shared" si="1"/>
        <v>4.9512339703938917</v>
      </c>
      <c r="F21" s="12">
        <f t="shared" si="2"/>
        <v>1.1880567964742612</v>
      </c>
      <c r="G21" s="12">
        <f t="shared" si="3"/>
        <v>0.14683848046311104</v>
      </c>
      <c r="H21" s="9"/>
      <c r="I21" s="12">
        <f t="shared" si="4"/>
        <v>0.59486002018959339</v>
      </c>
      <c r="J21" s="12">
        <f t="shared" si="5"/>
        <v>0.13369561433385604</v>
      </c>
      <c r="K21" s="12">
        <f t="shared" si="6"/>
        <v>1.6524177052499076E-2</v>
      </c>
    </row>
    <row r="22" spans="2:14" x14ac:dyDescent="0.25">
      <c r="B22" s="10">
        <v>18</v>
      </c>
      <c r="C22" s="11">
        <v>43909</v>
      </c>
      <c r="D22" s="12">
        <f t="shared" si="0"/>
        <v>319497.06032042677</v>
      </c>
      <c r="E22" s="12">
        <f t="shared" si="1"/>
        <v>5.4397431638790437</v>
      </c>
      <c r="F22" s="12">
        <f t="shared" si="2"/>
        <v>1.3349434042626134</v>
      </c>
      <c r="G22" s="12">
        <f t="shared" si="3"/>
        <v>0.16499300502122199</v>
      </c>
      <c r="H22" s="9"/>
      <c r="I22" s="12">
        <f t="shared" si="4"/>
        <v>0.65355032583161532</v>
      </c>
      <c r="J22" s="12">
        <f t="shared" si="5"/>
        <v>0.14688660778835208</v>
      </c>
      <c r="K22" s="12">
        <f t="shared" si="6"/>
        <v>1.8154524558110952E-2</v>
      </c>
    </row>
    <row r="23" spans="2:14" x14ac:dyDescent="0.25">
      <c r="B23" s="10">
        <v>19</v>
      </c>
      <c r="C23" s="11">
        <v>43910</v>
      </c>
      <c r="D23" s="12">
        <f t="shared" si="0"/>
        <v>319496.34228955442</v>
      </c>
      <c r="E23" s="12">
        <f t="shared" si="1"/>
        <v>5.9764492640958178</v>
      </c>
      <c r="F23" s="12">
        <f t="shared" si="2"/>
        <v>1.4963224514576916</v>
      </c>
      <c r="G23" s="12">
        <f t="shared" si="3"/>
        <v>0.18493872995544516</v>
      </c>
      <c r="H23" s="9"/>
      <c r="I23" s="12">
        <f t="shared" si="4"/>
        <v>0.71803087234607499</v>
      </c>
      <c r="J23" s="12">
        <f t="shared" si="5"/>
        <v>0.16137904719507828</v>
      </c>
      <c r="K23" s="12">
        <f t="shared" si="6"/>
        <v>1.9945724934223179E-2</v>
      </c>
    </row>
    <row r="24" spans="2:14" x14ac:dyDescent="0.25">
      <c r="B24" s="10">
        <v>20</v>
      </c>
      <c r="C24" s="11">
        <v>43911</v>
      </c>
      <c r="D24" s="12">
        <f t="shared" si="0"/>
        <v>319495.55341670266</v>
      </c>
      <c r="E24" s="12">
        <f t="shared" si="1"/>
        <v>6.5661071403622779</v>
      </c>
      <c r="F24" s="12">
        <f t="shared" si="2"/>
        <v>1.6736237796258675</v>
      </c>
      <c r="G24" s="12">
        <f t="shared" si="3"/>
        <v>0.20685237725712985</v>
      </c>
      <c r="H24" s="9"/>
      <c r="I24" s="12">
        <f t="shared" si="4"/>
        <v>0.78887285173632093</v>
      </c>
      <c r="J24" s="12">
        <f t="shared" si="5"/>
        <v>0.17730132816817593</v>
      </c>
      <c r="K24" s="12">
        <f t="shared" si="6"/>
        <v>2.1913647301684682E-2</v>
      </c>
    </row>
    <row r="25" spans="2:14" x14ac:dyDescent="0.25">
      <c r="B25" s="10">
        <v>21</v>
      </c>
      <c r="C25" s="11">
        <v>43912</v>
      </c>
      <c r="D25" s="12">
        <f t="shared" si="0"/>
        <v>319494.68671291228</v>
      </c>
      <c r="E25" s="12">
        <f t="shared" si="1"/>
        <v>7.2139406927484115</v>
      </c>
      <c r="F25" s="12">
        <f t="shared" si="2"/>
        <v>1.868418291456615</v>
      </c>
      <c r="G25" s="12">
        <f t="shared" si="3"/>
        <v>0.23092810343845821</v>
      </c>
      <c r="H25" s="9"/>
      <c r="I25" s="12">
        <f t="shared" si="4"/>
        <v>0.86670379039820944</v>
      </c>
      <c r="J25" s="12">
        <f t="shared" si="5"/>
        <v>0.19479451183074756</v>
      </c>
      <c r="K25" s="12">
        <f t="shared" si="6"/>
        <v>2.4075726181328375E-2</v>
      </c>
    </row>
    <row r="26" spans="2:14" x14ac:dyDescent="0.25">
      <c r="B26" s="10">
        <v>22</v>
      </c>
      <c r="C26" s="11">
        <v>43913</v>
      </c>
      <c r="D26" s="12">
        <f t="shared" si="0"/>
        <v>319493.73449980962</v>
      </c>
      <c r="E26" s="12">
        <f t="shared" si="1"/>
        <v>7.9256891056221166</v>
      </c>
      <c r="F26" s="12">
        <f t="shared" si="2"/>
        <v>2.0824318653414844</v>
      </c>
      <c r="G26" s="12">
        <f t="shared" si="3"/>
        <v>0.25737921931186908</v>
      </c>
      <c r="H26" s="9"/>
      <c r="I26" s="12">
        <f t="shared" si="4"/>
        <v>0.95221310263198611</v>
      </c>
      <c r="J26" s="12">
        <f t="shared" si="5"/>
        <v>0.21401357388486952</v>
      </c>
      <c r="K26" s="12">
        <f t="shared" si="6"/>
        <v>2.6451115873410865E-2</v>
      </c>
    </row>
    <row r="27" spans="2:14" x14ac:dyDescent="0.25">
      <c r="B27" s="10">
        <v>23</v>
      </c>
      <c r="C27" s="11">
        <v>43914</v>
      </c>
      <c r="D27" s="12">
        <f t="shared" si="0"/>
        <v>319492.68834161852</v>
      </c>
      <c r="E27" s="12">
        <f t="shared" si="1"/>
        <v>8.7076576598711775</v>
      </c>
      <c r="F27" s="12">
        <f t="shared" si="2"/>
        <v>2.3175606421416073</v>
      </c>
      <c r="G27" s="12">
        <f t="shared" si="3"/>
        <v>0.28644007936581689</v>
      </c>
      <c r="H27" s="9"/>
      <c r="I27" s="12">
        <f t="shared" si="4"/>
        <v>1.0461581911031304</v>
      </c>
      <c r="J27" s="12">
        <f t="shared" si="5"/>
        <v>0.23512877680012279</v>
      </c>
      <c r="K27" s="12">
        <f t="shared" si="6"/>
        <v>2.9060860053947788E-2</v>
      </c>
    </row>
    <row r="28" spans="2:14" x14ac:dyDescent="0.25">
      <c r="B28" s="10">
        <v>24</v>
      </c>
      <c r="C28" s="11">
        <v>43915</v>
      </c>
      <c r="D28" s="12">
        <f t="shared" si="0"/>
        <v>319491.53897047049</v>
      </c>
      <c r="E28" s="12">
        <f t="shared" si="1"/>
        <v>9.5667735525533644</v>
      </c>
      <c r="F28" s="12">
        <f t="shared" si="2"/>
        <v>2.5758878193844521</v>
      </c>
      <c r="G28" s="12">
        <f t="shared" si="3"/>
        <v>0.31836815745201125</v>
      </c>
      <c r="H28" s="9"/>
      <c r="I28" s="12">
        <f t="shared" si="4"/>
        <v>1.1493711480112274</v>
      </c>
      <c r="J28" s="12">
        <f t="shared" si="5"/>
        <v>0.25832717724284493</v>
      </c>
      <c r="K28" s="12">
        <f t="shared" si="6"/>
        <v>3.1928078086194342E-2</v>
      </c>
    </row>
    <row r="29" spans="2:14" x14ac:dyDescent="0.25">
      <c r="B29" s="10">
        <v>25</v>
      </c>
      <c r="C29" s="11">
        <v>43916</v>
      </c>
      <c r="D29" s="12">
        <f t="shared" si="0"/>
        <v>319490.27620435448</v>
      </c>
      <c r="E29" s="12">
        <f t="shared" si="1"/>
        <v>10.510647216788994</v>
      </c>
      <c r="F29" s="12">
        <f t="shared" si="2"/>
        <v>2.8597021014435353</v>
      </c>
      <c r="G29" s="12">
        <f t="shared" si="3"/>
        <v>0.35344632714470692</v>
      </c>
      <c r="H29" s="9"/>
      <c r="I29" s="12">
        <f t="shared" si="4"/>
        <v>1.2627661159874097</v>
      </c>
      <c r="J29" s="12">
        <f t="shared" si="5"/>
        <v>0.2838142820590831</v>
      </c>
      <c r="K29" s="12">
        <f t="shared" si="6"/>
        <v>3.5078169692695699E-2</v>
      </c>
    </row>
    <row r="30" spans="2:14" x14ac:dyDescent="0.25">
      <c r="B30" s="10">
        <v>26</v>
      </c>
      <c r="C30" s="11">
        <v>43917</v>
      </c>
      <c r="D30" s="12">
        <f t="shared" si="0"/>
        <v>319488.88885698095</v>
      </c>
      <c r="E30" s="12">
        <f t="shared" si="1"/>
        <v>11.547639683075355</v>
      </c>
      <c r="F30" s="12">
        <f t="shared" si="2"/>
        <v>3.1715179688749422</v>
      </c>
      <c r="G30" s="12">
        <f t="shared" si="3"/>
        <v>0.39198536693959996</v>
      </c>
      <c r="H30" s="9"/>
      <c r="I30" s="12">
        <f t="shared" si="4"/>
        <v>1.3873473735126591</v>
      </c>
      <c r="J30" s="12">
        <f t="shared" si="5"/>
        <v>0.31181586743140682</v>
      </c>
      <c r="K30" s="12">
        <f t="shared" si="6"/>
        <v>3.8539039794893017E-2</v>
      </c>
    </row>
    <row r="31" spans="2:14" x14ac:dyDescent="0.25">
      <c r="B31" s="10">
        <v>27</v>
      </c>
      <c r="C31" s="11">
        <v>43918</v>
      </c>
      <c r="D31" s="12">
        <f t="shared" si="0"/>
        <v>319487.36463876499</v>
      </c>
      <c r="E31" s="12">
        <f t="shared" si="1"/>
        <v>12.686936576286001</v>
      </c>
      <c r="F31" s="12">
        <f t="shared" si="2"/>
        <v>3.5140979461395112</v>
      </c>
      <c r="G31" s="12">
        <f t="shared" si="3"/>
        <v>0.43432671244420962</v>
      </c>
      <c r="H31" s="9"/>
      <c r="I31" s="12">
        <f t="shared" si="4"/>
        <v>1.5242182159798257</v>
      </c>
      <c r="J31" s="12">
        <f t="shared" si="5"/>
        <v>0.34257997726456879</v>
      </c>
      <c r="K31" s="12">
        <f t="shared" si="6"/>
        <v>4.2341345504609669E-2</v>
      </c>
    </row>
    <row r="32" spans="2:14" x14ac:dyDescent="0.25">
      <c r="B32" s="10">
        <v>28</v>
      </c>
      <c r="C32" s="11">
        <v>43919</v>
      </c>
      <c r="D32" s="12">
        <f t="shared" si="0"/>
        <v>319485.6900480545</v>
      </c>
      <c r="E32" s="12">
        <f t="shared" si="1"/>
        <v>13.938629400874309</v>
      </c>
      <c r="F32" s="12">
        <f t="shared" si="2"/>
        <v>3.8904770645693292</v>
      </c>
      <c r="G32" s="12">
        <f t="shared" si="3"/>
        <v>0.48084547989059168</v>
      </c>
      <c r="H32" s="9"/>
      <c r="I32" s="12">
        <f t="shared" si="4"/>
        <v>1.6745907104645077</v>
      </c>
      <c r="J32" s="12">
        <f t="shared" si="5"/>
        <v>0.37637911842981797</v>
      </c>
      <c r="K32" s="12">
        <f t="shared" si="6"/>
        <v>4.6518767446382045E-2</v>
      </c>
    </row>
    <row r="33" spans="2:11" x14ac:dyDescent="0.25">
      <c r="B33" s="10">
        <v>29</v>
      </c>
      <c r="C33" s="11">
        <v>43920</v>
      </c>
      <c r="D33" s="12">
        <f t="shared" si="0"/>
        <v>319483.85025164462</v>
      </c>
      <c r="E33" s="12">
        <f t="shared" si="1"/>
        <v>15.31380483072682</v>
      </c>
      <c r="F33" s="12">
        <f t="shared" si="2"/>
        <v>4.3039897367952671</v>
      </c>
      <c r="G33" s="12">
        <f t="shared" si="3"/>
        <v>0.53195378769379753</v>
      </c>
      <c r="H33" s="9"/>
      <c r="I33" s="12">
        <f t="shared" si="4"/>
        <v>1.8397964098816559</v>
      </c>
      <c r="J33" s="12">
        <f t="shared" si="5"/>
        <v>0.41351267222593779</v>
      </c>
      <c r="K33" s="12">
        <f t="shared" si="6"/>
        <v>5.1108307803205841E-2</v>
      </c>
    </row>
    <row r="34" spans="2:11" x14ac:dyDescent="0.25">
      <c r="B34" s="10">
        <v>30</v>
      </c>
      <c r="C34" s="13">
        <v>43921</v>
      </c>
      <c r="D34" s="12">
        <f t="shared" si="0"/>
        <v>319481.82895352406</v>
      </c>
      <c r="E34" s="12">
        <f t="shared" si="1"/>
        <v>16.824642790251339</v>
      </c>
      <c r="F34" s="12">
        <f t="shared" si="2"/>
        <v>4.7582992801068293</v>
      </c>
      <c r="G34" s="12">
        <f t="shared" si="3"/>
        <v>0.58810440540646258</v>
      </c>
      <c r="H34" s="9"/>
      <c r="I34" s="12">
        <f t="shared" si="4"/>
        <v>2.0212981205487459</v>
      </c>
      <c r="J34" s="12">
        <f t="shared" si="5"/>
        <v>0.45430954331156226</v>
      </c>
      <c r="K34" s="12">
        <f t="shared" si="6"/>
        <v>5.6150617712665059E-2</v>
      </c>
    </row>
    <row r="35" spans="2:11" x14ac:dyDescent="0.25">
      <c r="B35" s="10">
        <v>31</v>
      </c>
      <c r="C35" s="11">
        <v>43922</v>
      </c>
      <c r="D35" s="12">
        <f t="shared" si="0"/>
        <v>319479.60825069773</v>
      </c>
      <c r="E35" s="12">
        <f t="shared" si="1"/>
        <v>18.484524190230591</v>
      </c>
      <c r="F35" s="12">
        <f t="shared" si="2"/>
        <v>5.257430349550952</v>
      </c>
      <c r="G35" s="12">
        <f t="shared" si="3"/>
        <v>0.64979476230405087</v>
      </c>
      <c r="H35" s="9"/>
      <c r="I35" s="12">
        <f t="shared" si="4"/>
        <v>2.2207028263209621</v>
      </c>
      <c r="J35" s="12">
        <f t="shared" si="5"/>
        <v>0.499131069444123</v>
      </c>
      <c r="K35" s="12">
        <f t="shared" si="6"/>
        <v>6.1690356897588297E-2</v>
      </c>
    </row>
    <row r="36" spans="2:11" x14ac:dyDescent="0.25">
      <c r="B36" s="10">
        <v>32</v>
      </c>
      <c r="C36" s="11">
        <v>43923</v>
      </c>
      <c r="D36" s="12">
        <f t="shared" si="0"/>
        <v>319477.16847481526</v>
      </c>
      <c r="E36" s="12">
        <f t="shared" si="1"/>
        <v>20.308149266373</v>
      </c>
      <c r="F36" s="12">
        <f t="shared" si="2"/>
        <v>5.8058045671944596</v>
      </c>
      <c r="G36" s="12">
        <f t="shared" si="3"/>
        <v>0.71757135100156311</v>
      </c>
      <c r="H36" s="9"/>
      <c r="I36" s="12">
        <f t="shared" si="4"/>
        <v>2.4397758824834268</v>
      </c>
      <c r="J36" s="12">
        <f t="shared" si="5"/>
        <v>0.54837421764350747</v>
      </c>
      <c r="K36" s="12">
        <f t="shared" si="6"/>
        <v>6.7776588697512227E-2</v>
      </c>
    </row>
    <row r="37" spans="2:11" x14ac:dyDescent="0.25">
      <c r="B37" s="10">
        <v>33</v>
      </c>
      <c r="C37" s="11">
        <v>43924</v>
      </c>
      <c r="D37" s="12">
        <f t="shared" si="0"/>
        <v>319474.48801821168</v>
      </c>
      <c r="E37" s="12">
        <f t="shared" si="1"/>
        <v>22.311667561054584</v>
      </c>
      <c r="F37" s="12">
        <f t="shared" si="2"/>
        <v>6.4082796620968585</v>
      </c>
      <c r="G37" s="12">
        <f t="shared" si="3"/>
        <v>0.79203456497826419</v>
      </c>
      <c r="H37" s="9"/>
      <c r="I37" s="12">
        <f t="shared" si="4"/>
        <v>2.6804566035606849</v>
      </c>
      <c r="J37" s="12">
        <f t="shared" si="5"/>
        <v>0.60247509490239892</v>
      </c>
      <c r="K37" s="12">
        <f t="shared" si="6"/>
        <v>7.4463213976701068E-2</v>
      </c>
    </row>
    <row r="38" spans="2:11" x14ac:dyDescent="0.25">
      <c r="B38" s="10">
        <v>34</v>
      </c>
      <c r="C38" s="11">
        <v>43925</v>
      </c>
      <c r="D38" s="12">
        <f t="shared" si="0"/>
        <v>319471.54314283043</v>
      </c>
      <c r="E38" s="12">
        <f t="shared" si="1"/>
        <v>24.512820690241426</v>
      </c>
      <c r="F38" s="12">
        <f t="shared" si="2"/>
        <v>7.0701924664081446</v>
      </c>
      <c r="G38" s="12">
        <f t="shared" si="3"/>
        <v>0.87384401270213108</v>
      </c>
      <c r="H38" s="9"/>
      <c r="I38" s="12">
        <f t="shared" si="4"/>
        <v>2.944875381221995</v>
      </c>
      <c r="J38" s="12">
        <f t="shared" si="5"/>
        <v>0.66191280431128585</v>
      </c>
      <c r="K38" s="12">
        <f t="shared" si="6"/>
        <v>8.1809447723866877E-2</v>
      </c>
    </row>
    <row r="39" spans="2:11" x14ac:dyDescent="0.25">
      <c r="B39" s="10">
        <v>35</v>
      </c>
      <c r="C39" s="11">
        <v>43926</v>
      </c>
      <c r="D39" s="12">
        <f t="shared" si="0"/>
        <v>319468.30777034879</v>
      </c>
      <c r="E39" s="12">
        <f t="shared" si="1"/>
        <v>26.931099148850517</v>
      </c>
      <c r="F39" s="12">
        <f t="shared" si="2"/>
        <v>7.7974061468853071</v>
      </c>
      <c r="G39" s="12">
        <f t="shared" si="3"/>
        <v>0.96372435523301636</v>
      </c>
      <c r="H39" s="9"/>
      <c r="I39" s="12">
        <f t="shared" si="4"/>
        <v>3.2353724816171425</v>
      </c>
      <c r="J39" s="12">
        <f t="shared" si="5"/>
        <v>0.72721368047716217</v>
      </c>
      <c r="K39" s="12">
        <f t="shared" si="6"/>
        <v>8.988034253088531E-2</v>
      </c>
    </row>
    <row r="40" spans="2:11" x14ac:dyDescent="0.25">
      <c r="B40" s="10">
        <v>36</v>
      </c>
      <c r="C40" s="11">
        <v>43927</v>
      </c>
      <c r="D40" s="12">
        <f t="shared" si="0"/>
        <v>319464.75325166294</v>
      </c>
      <c r="E40" s="12">
        <f t="shared" si="1"/>
        <v>29.587914529762642</v>
      </c>
      <c r="F40" s="12">
        <f t="shared" si="2"/>
        <v>8.5963620883012055</v>
      </c>
      <c r="G40" s="12">
        <f t="shared" si="3"/>
        <v>1.0624717187788018</v>
      </c>
      <c r="H40" s="9"/>
      <c r="I40" s="12">
        <f t="shared" si="4"/>
        <v>3.5545186858738083</v>
      </c>
      <c r="J40" s="12">
        <f t="shared" si="5"/>
        <v>0.79895594141589865</v>
      </c>
      <c r="K40" s="12">
        <f t="shared" si="6"/>
        <v>9.8747363545785324E-2</v>
      </c>
    </row>
    <row r="41" spans="2:11" x14ac:dyDescent="0.25">
      <c r="B41" s="10">
        <v>37</v>
      </c>
      <c r="C41" s="11">
        <v>43928</v>
      </c>
      <c r="D41" s="12">
        <f t="shared" si="0"/>
        <v>319460.84811370971</v>
      </c>
      <c r="E41" s="12">
        <f t="shared" si="1"/>
        <v>32.506788665338426</v>
      </c>
      <c r="F41" s="12">
        <f t="shared" si="2"/>
        <v>9.4741368860174973</v>
      </c>
      <c r="G41" s="12">
        <f t="shared" si="3"/>
        <v>1.1709607387212648</v>
      </c>
      <c r="H41" s="9"/>
      <c r="I41" s="12">
        <f t="shared" si="4"/>
        <v>3.9051379532345352</v>
      </c>
      <c r="J41" s="12">
        <f t="shared" si="5"/>
        <v>0.87777479771629163</v>
      </c>
      <c r="K41" s="12">
        <f t="shared" si="6"/>
        <v>0.10848901994246311</v>
      </c>
    </row>
    <row r="42" spans="2:11" x14ac:dyDescent="0.25">
      <c r="B42" s="10">
        <v>38</v>
      </c>
      <c r="C42" s="11">
        <v>43929</v>
      </c>
      <c r="D42" s="12">
        <f t="shared" si="0"/>
        <v>319456.55778140621</v>
      </c>
      <c r="E42" s="12">
        <f t="shared" si="1"/>
        <v>35.713561346688216</v>
      </c>
      <c r="F42" s="12">
        <f t="shared" si="2"/>
        <v>10.43850494975587</v>
      </c>
      <c r="G42" s="12">
        <f t="shared" si="3"/>
        <v>1.2901522971608392</v>
      </c>
      <c r="H42" s="9"/>
      <c r="I42" s="12">
        <f t="shared" si="4"/>
        <v>4.2903323035277392</v>
      </c>
      <c r="J42" s="12">
        <f t="shared" si="5"/>
        <v>0.96436806373837325</v>
      </c>
      <c r="K42" s="12">
        <f t="shared" si="6"/>
        <v>0.11919155843957434</v>
      </c>
    </row>
    <row r="43" spans="2:11" x14ac:dyDescent="0.25">
      <c r="B43" s="10">
        <v>39</v>
      </c>
      <c r="C43" s="11">
        <v>43930</v>
      </c>
      <c r="D43" s="12">
        <f t="shared" si="0"/>
        <v>319451.84427227173</v>
      </c>
      <c r="E43" s="12">
        <f t="shared" si="1"/>
        <v>39.236618436279393</v>
      </c>
      <c r="F43" s="12">
        <f t="shared" si="2"/>
        <v>11.498007269707621</v>
      </c>
      <c r="G43" s="12">
        <f t="shared" si="3"/>
        <v>1.4211020220986961</v>
      </c>
      <c r="H43" s="9"/>
      <c r="I43" s="12">
        <f t="shared" si="4"/>
        <v>4.7135091344807822</v>
      </c>
      <c r="J43" s="12">
        <f t="shared" si="5"/>
        <v>1.0595023199517504</v>
      </c>
      <c r="K43" s="12">
        <f t="shared" si="6"/>
        <v>0.13094972493785692</v>
      </c>
    </row>
    <row r="44" spans="2:11" x14ac:dyDescent="0.25">
      <c r="B44" s="10">
        <v>40</v>
      </c>
      <c r="C44" s="11">
        <v>43931</v>
      </c>
      <c r="D44" s="12">
        <f t="shared" si="0"/>
        <v>319446.66586106177</v>
      </c>
      <c r="E44" s="12">
        <f t="shared" si="1"/>
        <v>43.107142365000435</v>
      </c>
      <c r="F44" s="12">
        <f t="shared" si="2"/>
        <v>12.662026949983909</v>
      </c>
      <c r="G44" s="12">
        <f t="shared" si="3"/>
        <v>1.5649696230317207</v>
      </c>
      <c r="H44" s="9"/>
      <c r="I44" s="12">
        <f t="shared" si="4"/>
        <v>5.178411209930359</v>
      </c>
      <c r="J44" s="12">
        <f t="shared" si="5"/>
        <v>1.1640196802762885</v>
      </c>
      <c r="K44" s="12">
        <f t="shared" si="6"/>
        <v>0.14386760093302456</v>
      </c>
    </row>
    <row r="45" spans="2:11" x14ac:dyDescent="0.25">
      <c r="B45" s="10">
        <v>41</v>
      </c>
      <c r="C45" s="11">
        <v>43932</v>
      </c>
      <c r="D45" s="12">
        <f t="shared" si="0"/>
        <v>319440.97671148437</v>
      </c>
      <c r="E45" s="12">
        <f t="shared" si="1"/>
        <v>47.359387196912728</v>
      </c>
      <c r="F45" s="12">
        <f t="shared" si="2"/>
        <v>13.940872173478922</v>
      </c>
      <c r="G45" s="12">
        <f t="shared" si="3"/>
        <v>1.7230291450367226</v>
      </c>
      <c r="H45" s="9"/>
      <c r="I45" s="12">
        <f t="shared" si="4"/>
        <v>5.6891495774123095</v>
      </c>
      <c r="J45" s="12">
        <f t="shared" si="5"/>
        <v>1.2788452234950127</v>
      </c>
      <c r="K45" s="12">
        <f t="shared" si="6"/>
        <v>0.15805952200500173</v>
      </c>
    </row>
    <row r="46" spans="2:11" x14ac:dyDescent="0.25">
      <c r="B46" s="10">
        <v>42</v>
      </c>
      <c r="C46" s="11">
        <v>43933</v>
      </c>
      <c r="D46" s="12">
        <f t="shared" si="0"/>
        <v>319434.72647178627</v>
      </c>
      <c r="E46" s="12">
        <f t="shared" si="1"/>
        <v>52.030980655089948</v>
      </c>
      <c r="F46" s="12">
        <f t="shared" si="2"/>
        <v>15.345867326987333</v>
      </c>
      <c r="G46" s="12">
        <f t="shared" si="3"/>
        <v>1.8966802314254028</v>
      </c>
      <c r="H46" s="9"/>
      <c r="I46" s="12">
        <f t="shared" si="4"/>
        <v>6.2502396980743127</v>
      </c>
      <c r="J46" s="12">
        <f t="shared" si="5"/>
        <v>1.4049951535084106</v>
      </c>
      <c r="K46" s="12">
        <f t="shared" si="6"/>
        <v>0.17365108638868015</v>
      </c>
    </row>
    <row r="47" spans="2:11" x14ac:dyDescent="0.25">
      <c r="B47" s="10">
        <v>43</v>
      </c>
      <c r="C47" s="11">
        <v>43934</v>
      </c>
      <c r="D47" s="12">
        <f t="shared" si="0"/>
        <v>319427.85983068775</v>
      </c>
      <c r="E47" s="12">
        <f t="shared" si="1"/>
        <v>57.163255731768608</v>
      </c>
      <c r="F47" s="12">
        <f t="shared" si="2"/>
        <v>16.889453086421668</v>
      </c>
      <c r="G47" s="12">
        <f t="shared" si="3"/>
        <v>2.0874604938273995</v>
      </c>
      <c r="H47" s="9"/>
      <c r="I47" s="12">
        <f t="shared" si="4"/>
        <v>6.8666410985149922</v>
      </c>
      <c r="J47" s="12">
        <f t="shared" si="5"/>
        <v>1.543585759434335</v>
      </c>
      <c r="K47" s="12">
        <f t="shared" si="6"/>
        <v>0.19078026240199666</v>
      </c>
    </row>
    <row r="48" spans="2:11" x14ac:dyDescent="0.25">
      <c r="B48" s="10">
        <v>44</v>
      </c>
      <c r="C48" s="11">
        <v>43935</v>
      </c>
      <c r="D48" s="12">
        <f t="shared" si="0"/>
        <v>319420.31602980458</v>
      </c>
      <c r="E48" s="12">
        <f t="shared" si="1"/>
        <v>62.801614757227341</v>
      </c>
      <c r="F48" s="12">
        <f t="shared" si="2"/>
        <v>18.58529633979747</v>
      </c>
      <c r="G48" s="12">
        <f t="shared" si="3"/>
        <v>2.2970590981772179</v>
      </c>
      <c r="H48" s="9"/>
      <c r="I48" s="12">
        <f t="shared" si="4"/>
        <v>7.5438008831843533</v>
      </c>
      <c r="J48" s="12">
        <f t="shared" si="5"/>
        <v>1.6958432533758019</v>
      </c>
      <c r="K48" s="12">
        <f t="shared" si="6"/>
        <v>0.20959860434981842</v>
      </c>
    </row>
    <row r="49" spans="2:11" x14ac:dyDescent="0.25">
      <c r="B49" s="10">
        <v>45</v>
      </c>
      <c r="C49" s="11">
        <v>43936</v>
      </c>
      <c r="D49" s="12">
        <f t="shared" si="0"/>
        <v>319412.028328327</v>
      </c>
      <c r="E49" s="12">
        <f t="shared" si="1"/>
        <v>68.99592907621701</v>
      </c>
      <c r="F49" s="12">
        <f t="shared" si="2"/>
        <v>20.448410910928548</v>
      </c>
      <c r="G49" s="12">
        <f t="shared" si="3"/>
        <v>2.5273316856203851</v>
      </c>
      <c r="H49" s="9"/>
      <c r="I49" s="12">
        <f t="shared" si="4"/>
        <v>8.2877014775639193</v>
      </c>
      <c r="J49" s="12">
        <f t="shared" si="5"/>
        <v>1.8631145711310777</v>
      </c>
      <c r="K49" s="12">
        <f t="shared" si="6"/>
        <v>0.23027258744316714</v>
      </c>
    </row>
    <row r="50" spans="2:11" x14ac:dyDescent="0.25">
      <c r="B50" s="10">
        <v>46</v>
      </c>
      <c r="C50" s="11">
        <v>43937</v>
      </c>
      <c r="D50" s="12">
        <f t="shared" si="0"/>
        <v>319402.92341532034</v>
      </c>
      <c r="E50" s="12">
        <f t="shared" si="1"/>
        <v>75.800977780344738</v>
      </c>
      <c r="F50" s="12">
        <f t="shared" si="2"/>
        <v>22.495290140189653</v>
      </c>
      <c r="G50" s="12">
        <f t="shared" si="3"/>
        <v>2.7803167588998479</v>
      </c>
      <c r="H50" s="9"/>
      <c r="I50" s="12">
        <f t="shared" si="4"/>
        <v>9.1049130066682924</v>
      </c>
      <c r="J50" s="12">
        <f t="shared" si="5"/>
        <v>2.0468792292611044</v>
      </c>
      <c r="K50" s="12">
        <f t="shared" si="6"/>
        <v>0.25298507327946257</v>
      </c>
    </row>
    <row r="51" spans="2:11" x14ac:dyDescent="0.25">
      <c r="B51" s="10">
        <v>47</v>
      </c>
      <c r="C51" s="11">
        <v>43938</v>
      </c>
      <c r="D51" s="12">
        <f t="shared" si="0"/>
        <v>319392.92076456966</v>
      </c>
      <c r="E51" s="12">
        <f t="shared" si="1"/>
        <v>83.276929271665708</v>
      </c>
      <c r="F51" s="12">
        <f t="shared" si="2"/>
        <v>24.744052481006548</v>
      </c>
      <c r="G51" s="12">
        <f t="shared" si="3"/>
        <v>3.0582536774277789</v>
      </c>
      <c r="H51" s="9"/>
      <c r="I51" s="12">
        <f t="shared" si="4"/>
        <v>10.002650750665786</v>
      </c>
      <c r="J51" s="12">
        <f t="shared" si="5"/>
        <v>2.248762340816894</v>
      </c>
      <c r="K51" s="12">
        <f t="shared" si="6"/>
        <v>0.27793691852793095</v>
      </c>
    </row>
    <row r="52" spans="2:11" x14ac:dyDescent="0.25">
      <c r="B52" s="10">
        <v>48</v>
      </c>
      <c r="C52" s="11">
        <v>43939</v>
      </c>
      <c r="D52" s="12">
        <f t="shared" si="0"/>
        <v>319381.93192640983</v>
      </c>
      <c r="E52" s="12">
        <f t="shared" si="1"/>
        <v>91.489869789078028</v>
      </c>
      <c r="F52" s="12">
        <f t="shared" si="2"/>
        <v>27.214601382732631</v>
      </c>
      <c r="G52" s="12">
        <f t="shared" si="3"/>
        <v>3.3636024180905535</v>
      </c>
      <c r="H52" s="9"/>
      <c r="I52" s="12">
        <f t="shared" si="4"/>
        <v>10.988838159801171</v>
      </c>
      <c r="J52" s="12">
        <f t="shared" si="5"/>
        <v>2.4705489017260822</v>
      </c>
      <c r="K52" s="12">
        <f t="shared" si="6"/>
        <v>0.30534874066277451</v>
      </c>
    </row>
    <row r="53" spans="2:11" x14ac:dyDescent="0.25">
      <c r="B53" s="10">
        <v>49</v>
      </c>
      <c r="C53" s="11">
        <v>43940</v>
      </c>
      <c r="D53" s="12">
        <f t="shared" si="0"/>
        <v>319369.8597504553</v>
      </c>
      <c r="E53" s="12">
        <f t="shared" si="1"/>
        <v>100.51238341728988</v>
      </c>
      <c r="F53" s="12">
        <f t="shared" si="2"/>
        <v>29.928800853141947</v>
      </c>
      <c r="G53" s="12">
        <f t="shared" si="3"/>
        <v>3.6990652739838401</v>
      </c>
      <c r="H53" s="9"/>
      <c r="I53" s="12">
        <f t="shared" si="4"/>
        <v>12.072175954514444</v>
      </c>
      <c r="J53" s="12">
        <f t="shared" si="5"/>
        <v>2.7141994704093144</v>
      </c>
      <c r="K53" s="12">
        <f t="shared" si="6"/>
        <v>0.33546285589328639</v>
      </c>
    </row>
    <row r="54" spans="2:11" x14ac:dyDescent="0.25">
      <c r="B54" s="10">
        <v>50</v>
      </c>
      <c r="C54" s="11">
        <v>43941</v>
      </c>
      <c r="D54" s="12">
        <f t="shared" si="0"/>
        <v>319356.59753257141</v>
      </c>
      <c r="E54" s="12">
        <f t="shared" si="1"/>
        <v>110.42418852059376</v>
      </c>
      <c r="F54" s="12">
        <f t="shared" si="2"/>
        <v>32.910668227854877</v>
      </c>
      <c r="G54" s="12">
        <f t="shared" si="3"/>
        <v>4.0676106798472365</v>
      </c>
      <c r="H54" s="9"/>
      <c r="I54" s="12">
        <f t="shared" si="4"/>
        <v>13.262217883880213</v>
      </c>
      <c r="J54" s="12">
        <f t="shared" si="5"/>
        <v>2.9818673747129329</v>
      </c>
      <c r="K54" s="12">
        <f t="shared" si="6"/>
        <v>0.36854540586339657</v>
      </c>
    </row>
    <row r="55" spans="2:11" x14ac:dyDescent="0.25">
      <c r="B55" s="10">
        <v>51</v>
      </c>
      <c r="C55" s="11">
        <v>43942</v>
      </c>
      <c r="D55" s="12">
        <f t="shared" si="0"/>
        <v>319342.02807880496</v>
      </c>
      <c r="E55" s="12">
        <f t="shared" si="1"/>
        <v>121.3128360030006</v>
      </c>
      <c r="F55" s="12">
        <f t="shared" si="2"/>
        <v>36.186585820632494</v>
      </c>
      <c r="G55" s="12">
        <f t="shared" si="3"/>
        <v>4.4724993710894143</v>
      </c>
      <c r="H55" s="9"/>
      <c r="I55" s="12">
        <f t="shared" si="4"/>
        <v>14.569453766426633</v>
      </c>
      <c r="J55" s="12">
        <f t="shared" si="5"/>
        <v>3.2759175927776147</v>
      </c>
      <c r="K55" s="12">
        <f t="shared" si="6"/>
        <v>0.40488869124217752</v>
      </c>
    </row>
    <row r="56" spans="2:11" x14ac:dyDescent="0.25">
      <c r="B56" s="10">
        <v>52</v>
      </c>
      <c r="C56" s="11">
        <v>43943</v>
      </c>
      <c r="D56" s="12">
        <f t="shared" si="0"/>
        <v>319326.02267831273</v>
      </c>
      <c r="E56" s="12">
        <f t="shared" si="1"/>
        <v>133.27447529510312</v>
      </c>
      <c r="F56" s="12">
        <f t="shared" si="2"/>
        <v>39.78553328872151</v>
      </c>
      <c r="G56" s="12">
        <f t="shared" si="3"/>
        <v>4.9173131031004171</v>
      </c>
      <c r="H56" s="9"/>
      <c r="I56" s="12">
        <f t="shared" si="4"/>
        <v>16.005400492202533</v>
      </c>
      <c r="J56" s="12">
        <f t="shared" si="5"/>
        <v>3.5989474680890172</v>
      </c>
      <c r="K56" s="12">
        <f t="shared" si="6"/>
        <v>0.4448137320110026</v>
      </c>
    </row>
    <row r="57" spans="2:11" x14ac:dyDescent="0.25">
      <c r="B57" s="10">
        <v>53</v>
      </c>
      <c r="C57" s="11">
        <v>43944</v>
      </c>
      <c r="D57" s="12">
        <f t="shared" si="0"/>
        <v>319308.43997658894</v>
      </c>
      <c r="E57" s="12">
        <f t="shared" si="1"/>
        <v>146.41469450905944</v>
      </c>
      <c r="F57" s="12">
        <f t="shared" si="2"/>
        <v>43.739342722476238</v>
      </c>
      <c r="G57" s="12">
        <f t="shared" si="3"/>
        <v>5.4059861791824622</v>
      </c>
      <c r="H57" s="9"/>
      <c r="I57" s="12">
        <f t="shared" si="4"/>
        <v>17.582701723793104</v>
      </c>
      <c r="J57" s="12">
        <f t="shared" si="5"/>
        <v>3.9538094337547256</v>
      </c>
      <c r="K57" s="12">
        <f t="shared" si="6"/>
        <v>0.48867307608204519</v>
      </c>
    </row>
    <row r="58" spans="2:11" x14ac:dyDescent="0.25">
      <c r="B58" s="10">
        <v>54</v>
      </c>
      <c r="C58" s="11">
        <v>43945</v>
      </c>
      <c r="D58" s="12">
        <f t="shared" si="0"/>
        <v>319289.12473949196</v>
      </c>
      <c r="E58" s="12">
        <f t="shared" si="1"/>
        <v>160.8494417890449</v>
      </c>
      <c r="F58" s="12">
        <f t="shared" si="2"/>
        <v>48.08297865957833</v>
      </c>
      <c r="G58" s="12">
        <f t="shared" si="3"/>
        <v>5.942840059049014</v>
      </c>
      <c r="H58" s="9"/>
      <c r="I58" s="12">
        <f t="shared" si="4"/>
        <v>19.315237096954135</v>
      </c>
      <c r="J58" s="12">
        <f t="shared" si="5"/>
        <v>4.3436359371020963</v>
      </c>
      <c r="K58" s="12">
        <f t="shared" si="6"/>
        <v>0.53685387986655175</v>
      </c>
    </row>
    <row r="59" spans="2:11" x14ac:dyDescent="0.25">
      <c r="B59" s="10">
        <v>55</v>
      </c>
      <c r="C59" s="11">
        <v>43946</v>
      </c>
      <c r="D59" s="12">
        <f t="shared" si="0"/>
        <v>319267.90649770322</v>
      </c>
      <c r="E59" s="12">
        <f t="shared" si="1"/>
        <v>176.70603551812138</v>
      </c>
      <c r="F59" s="12">
        <f t="shared" si="2"/>
        <v>52.854845432653327</v>
      </c>
      <c r="G59" s="12">
        <f t="shared" si="3"/>
        <v>6.5326213456088462</v>
      </c>
      <c r="H59" s="9"/>
      <c r="I59" s="12">
        <f t="shared" si="4"/>
        <v>21.218241788711296</v>
      </c>
      <c r="J59" s="12">
        <f t="shared" si="5"/>
        <v>4.7718667730749988</v>
      </c>
      <c r="K59" s="12">
        <f t="shared" si="6"/>
        <v>0.58978128655983186</v>
      </c>
    </row>
    <row r="60" spans="2:11" x14ac:dyDescent="0.25">
      <c r="B60" s="10">
        <v>56</v>
      </c>
      <c r="C60" s="11">
        <v>43947</v>
      </c>
      <c r="D60" s="12">
        <f t="shared" si="0"/>
        <v>319244.59806031105</v>
      </c>
      <c r="E60" s="12">
        <f t="shared" si="1"/>
        <v>194.12427172634727</v>
      </c>
      <c r="F60" s="12">
        <f t="shared" si="2"/>
        <v>58.097124486357593</v>
      </c>
      <c r="G60" s="12">
        <f t="shared" si="3"/>
        <v>7.1805434758419588</v>
      </c>
      <c r="H60" s="9"/>
      <c r="I60" s="12">
        <f t="shared" si="4"/>
        <v>23.30843739216326</v>
      </c>
      <c r="J60" s="12">
        <f t="shared" si="5"/>
        <v>5.2422790537042667</v>
      </c>
      <c r="K60" s="12">
        <f t="shared" si="6"/>
        <v>0.64792213023311229</v>
      </c>
    </row>
    <row r="61" spans="2:11" x14ac:dyDescent="0.25">
      <c r="B61" s="10">
        <v>57</v>
      </c>
      <c r="C61" s="11">
        <v>43948</v>
      </c>
      <c r="D61" s="12">
        <f t="shared" si="0"/>
        <v>319218.99388519826</v>
      </c>
      <c r="E61" s="12">
        <f t="shared" si="1"/>
        <v>213.25763778156559</v>
      </c>
      <c r="F61" s="12">
        <f t="shared" si="2"/>
        <v>63.856144547572562</v>
      </c>
      <c r="G61" s="12">
        <f t="shared" si="3"/>
        <v>7.8923324721718995</v>
      </c>
      <c r="H61" s="9"/>
      <c r="I61" s="12">
        <f t="shared" si="4"/>
        <v>25.604175112763258</v>
      </c>
      <c r="J61" s="12">
        <f t="shared" si="5"/>
        <v>5.7590200612149687</v>
      </c>
      <c r="K61" s="12">
        <f t="shared" si="6"/>
        <v>0.71178899632994053</v>
      </c>
    </row>
    <row r="62" spans="2:11" x14ac:dyDescent="0.25">
      <c r="B62" s="10">
        <v>58</v>
      </c>
      <c r="C62" s="11">
        <v>43949</v>
      </c>
      <c r="D62" s="12">
        <f t="shared" si="0"/>
        <v>319190.8682928179</v>
      </c>
      <c r="E62" s="12">
        <f t="shared" si="1"/>
        <v>234.27464223587012</v>
      </c>
      <c r="F62" s="12">
        <f t="shared" si="2"/>
        <v>70.182787801759005</v>
      </c>
      <c r="G62" s="12">
        <f t="shared" si="3"/>
        <v>8.6742771440376405</v>
      </c>
      <c r="H62" s="9"/>
      <c r="I62" s="12">
        <f t="shared" si="4"/>
        <v>28.125592380356707</v>
      </c>
      <c r="J62" s="12">
        <f t="shared" si="5"/>
        <v>6.3266432541864459</v>
      </c>
      <c r="K62" s="12">
        <f t="shared" si="6"/>
        <v>0.78194467186574124</v>
      </c>
    </row>
    <row r="63" spans="2:11" x14ac:dyDescent="0.25">
      <c r="B63" s="10">
        <v>59</v>
      </c>
      <c r="C63" s="11">
        <v>43950</v>
      </c>
      <c r="D63" s="12">
        <f t="shared" si="0"/>
        <v>319159.97350876348</v>
      </c>
      <c r="E63" s="12">
        <f t="shared" si="1"/>
        <v>257.3602715490872</v>
      </c>
      <c r="F63" s="12">
        <f t="shared" si="2"/>
        <v>77.13293552142315</v>
      </c>
      <c r="G63" s="12">
        <f t="shared" si="3"/>
        <v>9.5332841655691656</v>
      </c>
      <c r="H63" s="9"/>
      <c r="I63" s="12">
        <f t="shared" si="4"/>
        <v>30.894784054412725</v>
      </c>
      <c r="J63" s="12">
        <f t="shared" si="5"/>
        <v>6.9501477196641464</v>
      </c>
      <c r="K63" s="12">
        <f t="shared" si="6"/>
        <v>0.85900702153152453</v>
      </c>
    </row>
    <row r="64" spans="2:11" x14ac:dyDescent="0.25">
      <c r="B64" s="10">
        <v>60</v>
      </c>
      <c r="C64" s="13">
        <v>43951</v>
      </c>
      <c r="D64" s="12">
        <f t="shared" si="0"/>
        <v>319126.03751927725</v>
      </c>
      <c r="E64" s="12">
        <f t="shared" si="1"/>
        <v>282.71758531700914</v>
      </c>
      <c r="F64" s="12">
        <f t="shared" si="2"/>
        <v>84.767956910712741</v>
      </c>
      <c r="G64" s="12">
        <f t="shared" si="3"/>
        <v>10.476938494582486</v>
      </c>
      <c r="H64" s="9"/>
      <c r="I64" s="12">
        <f t="shared" si="4"/>
        <v>33.935989486224862</v>
      </c>
      <c r="J64" s="12">
        <f t="shared" si="5"/>
        <v>7.6350213892895864</v>
      </c>
      <c r="K64" s="12">
        <f t="shared" si="6"/>
        <v>0.94365432901332058</v>
      </c>
    </row>
    <row r="65" spans="2:11" x14ac:dyDescent="0.25">
      <c r="B65" s="10">
        <v>61</v>
      </c>
      <c r="C65" s="11">
        <v>43952</v>
      </c>
      <c r="D65" s="12">
        <f t="shared" si="0"/>
        <v>319088.76172248658</v>
      </c>
      <c r="E65" s="12">
        <f t="shared" si="1"/>
        <v>310.56946259712208</v>
      </c>
      <c r="F65" s="12">
        <f t="shared" si="2"/>
        <v>93.155245275117352</v>
      </c>
      <c r="G65" s="12">
        <f t="shared" si="3"/>
        <v>11.513569640744853</v>
      </c>
      <c r="H65" s="9"/>
      <c r="I65" s="12">
        <f t="shared" si="4"/>
        <v>37.275796790679905</v>
      </c>
      <c r="J65" s="12">
        <f t="shared" si="5"/>
        <v>8.3872883644046041</v>
      </c>
      <c r="K65" s="12">
        <f t="shared" si="6"/>
        <v>1.0366311461623678</v>
      </c>
    </row>
    <row r="66" spans="2:11" x14ac:dyDescent="0.25">
      <c r="B66" s="10">
        <v>62</v>
      </c>
      <c r="C66" s="11">
        <v>43953</v>
      </c>
      <c r="D66" s="12">
        <f t="shared" si="0"/>
        <v>319047.81835671602</v>
      </c>
      <c r="E66" s="12">
        <f t="shared" si="1"/>
        <v>341.16051294776361</v>
      </c>
      <c r="F66" s="12">
        <f t="shared" si="2"/>
        <v>102.36880599883197</v>
      </c>
      <c r="G66" s="12">
        <f t="shared" si="3"/>
        <v>12.652324336934301</v>
      </c>
      <c r="H66" s="9"/>
      <c r="I66" s="12">
        <f t="shared" si="4"/>
        <v>40.943365770545611</v>
      </c>
      <c r="J66" s="12">
        <f t="shared" si="5"/>
        <v>9.21356072371462</v>
      </c>
      <c r="K66" s="12">
        <f t="shared" si="6"/>
        <v>1.1387546961894486</v>
      </c>
    </row>
    <row r="67" spans="2:11" x14ac:dyDescent="0.25">
      <c r="B67" s="10">
        <v>63</v>
      </c>
      <c r="C67" s="11">
        <v>43954</v>
      </c>
      <c r="D67" s="12">
        <f t="shared" si="0"/>
        <v>319002.84768568916</v>
      </c>
      <c r="E67" s="12">
        <f t="shared" si="1"/>
        <v>374.75916687632724</v>
      </c>
      <c r="F67" s="12">
        <f t="shared" si="2"/>
        <v>112.48990121628229</v>
      </c>
      <c r="G67" s="12">
        <f t="shared" si="3"/>
        <v>13.903246217742769</v>
      </c>
      <c r="H67" s="9"/>
      <c r="I67" s="12">
        <f t="shared" si="4"/>
        <v>44.970671026822401</v>
      </c>
      <c r="J67" s="12">
        <f t="shared" si="5"/>
        <v>10.121095217450319</v>
      </c>
      <c r="K67" s="12">
        <f t="shared" si="6"/>
        <v>1.2509218808084677</v>
      </c>
    </row>
    <row r="68" spans="2:11" x14ac:dyDescent="0.25">
      <c r="B68" s="10">
        <v>64</v>
      </c>
      <c r="C68" s="11">
        <v>43955</v>
      </c>
      <c r="D68" s="12">
        <f t="shared" si="0"/>
        <v>318953.45491881133</v>
      </c>
      <c r="E68" s="12">
        <f t="shared" si="1"/>
        <v>411.65996152496905</v>
      </c>
      <c r="F68" s="12">
        <f t="shared" si="2"/>
        <v>123.60775650028</v>
      </c>
      <c r="G68" s="12">
        <f t="shared" si="3"/>
        <v>15.27736316295597</v>
      </c>
      <c r="H68" s="9"/>
      <c r="I68" s="12">
        <f t="shared" si="4"/>
        <v>49.392766877852715</v>
      </c>
      <c r="J68" s="12">
        <f t="shared" si="5"/>
        <v>11.117855283997706</v>
      </c>
      <c r="K68" s="12">
        <f t="shared" si="6"/>
        <v>1.3741169452132012</v>
      </c>
    </row>
    <row r="69" spans="2:11" x14ac:dyDescent="0.25">
      <c r="B69" s="10">
        <v>65</v>
      </c>
      <c r="C69" s="11">
        <v>43956</v>
      </c>
      <c r="D69" s="12">
        <f t="shared" si="0"/>
        <v>318899.20684301591</v>
      </c>
      <c r="E69" s="12">
        <f t="shared" si="1"/>
        <v>452.18603860286703</v>
      </c>
      <c r="F69" s="12">
        <f t="shared" si="2"/>
        <v>135.82033535885409</v>
      </c>
      <c r="G69" s="12">
        <f t="shared" si="3"/>
        <v>16.786783021880858</v>
      </c>
      <c r="H69" s="9"/>
      <c r="I69" s="12">
        <f t="shared" si="4"/>
        <v>54.24807579539695</v>
      </c>
      <c r="J69" s="12">
        <f t="shared" si="5"/>
        <v>12.212578858574082</v>
      </c>
      <c r="K69" s="12">
        <f t="shared" si="6"/>
        <v>1.5094198589248877</v>
      </c>
    </row>
    <row r="70" spans="2:11" x14ac:dyDescent="0.25">
      <c r="B70" s="10">
        <v>66</v>
      </c>
      <c r="C70" s="11">
        <v>43957</v>
      </c>
      <c r="D70" s="12">
        <f t="shared" ref="D70:D133" si="7">D69-I70</f>
        <v>318839.62814087095</v>
      </c>
      <c r="E70" s="12">
        <f t="shared" ref="E70:E133" si="8">E69+I70-J70-K70</f>
        <v>496.69187279441815</v>
      </c>
      <c r="F70" s="12">
        <f t="shared" ref="F70:F133" si="9">F69+J70</f>
        <v>149.23518783740582</v>
      </c>
      <c r="G70" s="12">
        <f t="shared" ref="G70:G133" si="10">G69+K70</f>
        <v>18.44479849675804</v>
      </c>
      <c r="H70" s="9"/>
      <c r="I70" s="12">
        <f t="shared" ref="I70:I133" si="11">E69*N$6*D69/SUM(D69:F69)*N$7</f>
        <v>59.578702144980035</v>
      </c>
      <c r="J70" s="12">
        <f t="shared" ref="J70:J133" si="12">E69*N$8/N$5</f>
        <v>13.414852478551721</v>
      </c>
      <c r="K70" s="12">
        <f t="shared" ref="K70:K133" si="13">E69*N$9/N$5</f>
        <v>1.6580154748771807</v>
      </c>
    </row>
    <row r="71" spans="2:11" x14ac:dyDescent="0.25">
      <c r="B71" s="10">
        <v>67</v>
      </c>
      <c r="C71" s="11">
        <v>43958</v>
      </c>
      <c r="D71" s="12">
        <f t="shared" si="7"/>
        <v>318774.19736778399</v>
      </c>
      <c r="E71" s="12">
        <f t="shared" si="8"/>
        <v>545.56625012156815</v>
      </c>
      <c r="F71" s="12">
        <f t="shared" si="9"/>
        <v>163.97038006364022</v>
      </c>
      <c r="G71" s="12">
        <f t="shared" si="10"/>
        <v>20.266002030337575</v>
      </c>
      <c r="H71" s="9"/>
      <c r="I71" s="12">
        <f t="shared" si="11"/>
        <v>65.430773086963853</v>
      </c>
      <c r="J71" s="12">
        <f t="shared" si="12"/>
        <v>14.735192226234403</v>
      </c>
      <c r="K71" s="12">
        <f t="shared" si="13"/>
        <v>1.8212035335795349</v>
      </c>
    </row>
    <row r="72" spans="2:11" x14ac:dyDescent="0.25">
      <c r="B72" s="10">
        <v>68</v>
      </c>
      <c r="C72" s="11">
        <v>43959</v>
      </c>
      <c r="D72" s="12">
        <f t="shared" si="7"/>
        <v>318702.34255923436</v>
      </c>
      <c r="E72" s="12">
        <f t="shared" si="8"/>
        <v>599.23551700045118</v>
      </c>
      <c r="F72" s="12">
        <f t="shared" si="9"/>
        <v>180.15551215058008</v>
      </c>
      <c r="G72" s="12">
        <f t="shared" si="10"/>
        <v>22.266411614116659</v>
      </c>
      <c r="H72" s="9"/>
      <c r="I72" s="12">
        <f t="shared" si="11"/>
        <v>71.85480854960187</v>
      </c>
      <c r="J72" s="12">
        <f t="shared" si="12"/>
        <v>16.185132086939852</v>
      </c>
      <c r="K72" s="12">
        <f t="shared" si="13"/>
        <v>2.000409583779085</v>
      </c>
    </row>
    <row r="73" spans="2:11" x14ac:dyDescent="0.25">
      <c r="B73" s="10">
        <v>69</v>
      </c>
      <c r="C73" s="11">
        <v>43960</v>
      </c>
      <c r="D73" s="12">
        <f t="shared" si="7"/>
        <v>318623.43643701402</v>
      </c>
      <c r="E73" s="12">
        <f t="shared" si="8"/>
        <v>658.16712198741197</v>
      </c>
      <c r="F73" s="12">
        <f t="shared" si="9"/>
        <v>197.93283248826015</v>
      </c>
      <c r="G73" s="12">
        <f t="shared" si="10"/>
        <v>24.463608509784983</v>
      </c>
      <c r="H73" s="9"/>
      <c r="I73" s="12">
        <f t="shared" si="11"/>
        <v>78.906122220309143</v>
      </c>
      <c r="J73" s="12">
        <f t="shared" si="12"/>
        <v>17.777320337680052</v>
      </c>
      <c r="K73" s="12">
        <f t="shared" si="13"/>
        <v>2.1971968956683225</v>
      </c>
    </row>
    <row r="74" spans="2:11" x14ac:dyDescent="0.25">
      <c r="B74" s="10">
        <v>70</v>
      </c>
      <c r="C74" s="11">
        <v>43961</v>
      </c>
      <c r="D74" s="12">
        <f t="shared" si="7"/>
        <v>318536.79118150426</v>
      </c>
      <c r="E74" s="12">
        <f t="shared" si="8"/>
        <v>722.87347343095053</v>
      </c>
      <c r="F74" s="12">
        <f t="shared" si="9"/>
        <v>217.45845710722003</v>
      </c>
      <c r="G74" s="12">
        <f t="shared" si="10"/>
        <v>26.876887957072164</v>
      </c>
      <c r="H74" s="9"/>
      <c r="I74" s="12">
        <f t="shared" si="11"/>
        <v>86.64525550978567</v>
      </c>
      <c r="J74" s="12">
        <f t="shared" si="12"/>
        <v>19.525624618959888</v>
      </c>
      <c r="K74" s="12">
        <f t="shared" si="13"/>
        <v>2.4132794472871795</v>
      </c>
    </row>
    <row r="75" spans="2:11" x14ac:dyDescent="0.25">
      <c r="B75" s="10">
        <v>71</v>
      </c>
      <c r="C75" s="11">
        <v>43962</v>
      </c>
      <c r="D75" s="12">
        <f t="shared" si="7"/>
        <v>318441.65273508709</v>
      </c>
      <c r="E75" s="12">
        <f t="shared" si="8"/>
        <v>793.91613740044465</v>
      </c>
      <c r="F75" s="12">
        <f t="shared" si="9"/>
        <v>238.90370348567157</v>
      </c>
      <c r="G75" s="12">
        <f t="shared" si="10"/>
        <v>29.527424026318986</v>
      </c>
      <c r="H75" s="9"/>
      <c r="I75" s="12">
        <f t="shared" si="11"/>
        <v>95.138446417192583</v>
      </c>
      <c r="J75" s="12">
        <f t="shared" si="12"/>
        <v>21.445246378451532</v>
      </c>
      <c r="K75" s="12">
        <f t="shared" si="13"/>
        <v>2.6505360692468209</v>
      </c>
    </row>
    <row r="76" spans="2:11" x14ac:dyDescent="0.25">
      <c r="B76" s="10">
        <v>72</v>
      </c>
      <c r="C76" s="11">
        <v>43963</v>
      </c>
      <c r="D76" s="12">
        <f t="shared" si="7"/>
        <v>318337.19459993386</v>
      </c>
      <c r="E76" s="12">
        <f t="shared" si="8"/>
        <v>871.91040130698332</v>
      </c>
      <c r="F76" s="12">
        <f t="shared" si="9"/>
        <v>262.45654889521808</v>
      </c>
      <c r="G76" s="12">
        <f t="shared" si="10"/>
        <v>32.438449863453954</v>
      </c>
      <c r="H76" s="9"/>
      <c r="I76" s="12">
        <f t="shared" si="11"/>
        <v>104.45813515322017</v>
      </c>
      <c r="J76" s="12">
        <f t="shared" si="12"/>
        <v>23.552845409546524</v>
      </c>
      <c r="K76" s="12">
        <f t="shared" si="13"/>
        <v>2.9110258371349662</v>
      </c>
    </row>
    <row r="77" spans="2:11" x14ac:dyDescent="0.25">
      <c r="B77" s="10">
        <v>73</v>
      </c>
      <c r="C77" s="11">
        <v>43964</v>
      </c>
      <c r="D77" s="12">
        <f t="shared" si="7"/>
        <v>318222.51109168446</v>
      </c>
      <c r="E77" s="12">
        <f t="shared" si="8"/>
        <v>957.53022951281469</v>
      </c>
      <c r="F77" s="12">
        <f t="shared" si="9"/>
        <v>288.32322413399191</v>
      </c>
      <c r="G77" s="12">
        <f t="shared" si="10"/>
        <v>35.635454668246226</v>
      </c>
      <c r="H77" s="9"/>
      <c r="I77" s="12">
        <f t="shared" si="11"/>
        <v>114.68350824939748</v>
      </c>
      <c r="J77" s="12">
        <f t="shared" si="12"/>
        <v>25.866675238773837</v>
      </c>
      <c r="K77" s="12">
        <f t="shared" si="13"/>
        <v>3.1970048047922748</v>
      </c>
    </row>
    <row r="78" spans="2:11" x14ac:dyDescent="0.25">
      <c r="B78" s="10">
        <v>74</v>
      </c>
      <c r="C78" s="11">
        <v>43965</v>
      </c>
      <c r="D78" s="12">
        <f t="shared" si="7"/>
        <v>318096.61000900279</v>
      </c>
      <c r="E78" s="12">
        <f t="shared" si="8"/>
        <v>1051.51363787737</v>
      </c>
      <c r="F78" s="12">
        <f t="shared" si="9"/>
        <v>316.72995427620543</v>
      </c>
      <c r="G78" s="12">
        <f t="shared" si="10"/>
        <v>39.146398843126548</v>
      </c>
      <c r="H78" s="9"/>
      <c r="I78" s="12">
        <f t="shared" si="11"/>
        <v>125.90108268164906</v>
      </c>
      <c r="J78" s="12">
        <f t="shared" si="12"/>
        <v>28.406730142213501</v>
      </c>
      <c r="K78" s="12">
        <f t="shared" si="13"/>
        <v>3.5109441748803234</v>
      </c>
    </row>
    <row r="79" spans="2:11" x14ac:dyDescent="0.25">
      <c r="B79" s="10">
        <v>75</v>
      </c>
      <c r="C79" s="11">
        <v>43966</v>
      </c>
      <c r="D79" s="12">
        <f t="shared" si="7"/>
        <v>317958.40467775654</v>
      </c>
      <c r="E79" s="12">
        <f t="shared" si="8"/>
        <v>1154.6685145277224</v>
      </c>
      <c r="F79" s="12">
        <f t="shared" si="9"/>
        <v>347.92485886656743</v>
      </c>
      <c r="G79" s="12">
        <f t="shared" si="10"/>
        <v>43.001948848676911</v>
      </c>
      <c r="H79" s="9"/>
      <c r="I79" s="12">
        <f t="shared" si="11"/>
        <v>138.20533124626499</v>
      </c>
      <c r="J79" s="12">
        <f t="shared" si="12"/>
        <v>31.194904590361975</v>
      </c>
      <c r="K79" s="12">
        <f t="shared" si="13"/>
        <v>3.8555500055503602</v>
      </c>
    </row>
    <row r="80" spans="2:11" x14ac:dyDescent="0.25">
      <c r="B80" s="10">
        <v>76</v>
      </c>
      <c r="C80" s="11">
        <v>43967</v>
      </c>
      <c r="D80" s="12">
        <f t="shared" si="7"/>
        <v>317806.70532773051</v>
      </c>
      <c r="E80" s="12">
        <f t="shared" si="8"/>
        <v>1267.8789140695212</v>
      </c>
      <c r="F80" s="12">
        <f t="shared" si="9"/>
        <v>382.18002479755654</v>
      </c>
      <c r="G80" s="12">
        <f t="shared" si="10"/>
        <v>47.235733401945232</v>
      </c>
      <c r="H80" s="9"/>
      <c r="I80" s="12">
        <f t="shared" si="11"/>
        <v>151.69935002605618</v>
      </c>
      <c r="J80" s="12">
        <f t="shared" si="12"/>
        <v>34.255165930989094</v>
      </c>
      <c r="K80" s="12">
        <f t="shared" si="13"/>
        <v>4.2337845532683192</v>
      </c>
    </row>
    <row r="81" spans="2:11" x14ac:dyDescent="0.25">
      <c r="B81" s="10">
        <v>77</v>
      </c>
      <c r="C81" s="11">
        <v>43968</v>
      </c>
      <c r="D81" s="12">
        <f t="shared" si="7"/>
        <v>317640.20975948195</v>
      </c>
      <c r="E81" s="12">
        <f t="shared" si="8"/>
        <v>1392.111851849091</v>
      </c>
      <c r="F81" s="12">
        <f t="shared" si="9"/>
        <v>419.79376591495236</v>
      </c>
      <c r="G81" s="12">
        <f t="shared" si="10"/>
        <v>51.884622753533478</v>
      </c>
      <c r="H81" s="9"/>
      <c r="I81" s="12">
        <f t="shared" si="11"/>
        <v>166.49556824855381</v>
      </c>
      <c r="J81" s="12">
        <f t="shared" si="12"/>
        <v>37.61374111739579</v>
      </c>
      <c r="K81" s="12">
        <f t="shared" si="13"/>
        <v>4.6488893515882488</v>
      </c>
    </row>
    <row r="82" spans="2:11" x14ac:dyDescent="0.25">
      <c r="B82" s="10">
        <v>78</v>
      </c>
      <c r="C82" s="11">
        <v>43969</v>
      </c>
      <c r="D82" s="12">
        <f t="shared" si="7"/>
        <v>317457.49325934472</v>
      </c>
      <c r="E82" s="12">
        <f t="shared" si="8"/>
        <v>1528.4246235913381</v>
      </c>
      <c r="F82" s="12">
        <f t="shared" si="9"/>
        <v>461.09308418647538</v>
      </c>
      <c r="G82" s="12">
        <f t="shared" si="10"/>
        <v>56.989032876980147</v>
      </c>
      <c r="H82" s="9"/>
      <c r="I82" s="12">
        <f t="shared" si="11"/>
        <v>182.71650013721697</v>
      </c>
      <c r="J82" s="12">
        <f t="shared" si="12"/>
        <v>41.299318271523028</v>
      </c>
      <c r="K82" s="12">
        <f t="shared" si="13"/>
        <v>5.1044101234466712</v>
      </c>
    </row>
    <row r="83" spans="2:11" x14ac:dyDescent="0.25">
      <c r="B83" s="10">
        <v>79</v>
      </c>
      <c r="C83" s="11">
        <v>43970</v>
      </c>
      <c r="D83" s="12">
        <f t="shared" si="7"/>
        <v>317256.99772188853</v>
      </c>
      <c r="E83" s="12">
        <f t="shared" si="8"/>
        <v>1677.9726735945051</v>
      </c>
      <c r="F83" s="12">
        <f t="shared" si="9"/>
        <v>506.43634801968506</v>
      </c>
      <c r="G83" s="12">
        <f t="shared" si="10"/>
        <v>62.593256496815059</v>
      </c>
      <c r="H83" s="9"/>
      <c r="I83" s="12">
        <f t="shared" si="11"/>
        <v>200.49553745621176</v>
      </c>
      <c r="J83" s="12">
        <f t="shared" si="12"/>
        <v>45.34326383320969</v>
      </c>
      <c r="K83" s="12">
        <f t="shared" si="13"/>
        <v>5.6042236198349116</v>
      </c>
    </row>
    <row r="84" spans="2:11" x14ac:dyDescent="0.25">
      <c r="B84" s="10">
        <v>80</v>
      </c>
      <c r="C84" s="11">
        <v>43971</v>
      </c>
      <c r="D84" s="12">
        <f t="shared" si="7"/>
        <v>317037.01994157932</v>
      </c>
      <c r="E84" s="12">
        <f t="shared" si="8"/>
        <v>1842.0180314505521</v>
      </c>
      <c r="F84" s="12">
        <f t="shared" si="9"/>
        <v>556.21620400298866</v>
      </c>
      <c r="G84" s="12">
        <f t="shared" si="10"/>
        <v>68.745822966661578</v>
      </c>
      <c r="H84" s="9"/>
      <c r="I84" s="12">
        <f t="shared" si="11"/>
        <v>219.97778030919719</v>
      </c>
      <c r="J84" s="12">
        <f t="shared" si="12"/>
        <v>49.779855983303641</v>
      </c>
      <c r="K84" s="12">
        <f t="shared" si="13"/>
        <v>6.1525664698465237</v>
      </c>
    </row>
    <row r="85" spans="2:11" x14ac:dyDescent="0.25">
      <c r="B85" s="10">
        <v>81</v>
      </c>
      <c r="C85" s="11">
        <v>43972</v>
      </c>
      <c r="D85" s="12">
        <f t="shared" si="7"/>
        <v>316795.69903925312</v>
      </c>
      <c r="E85" s="12">
        <f t="shared" si="8"/>
        <v>2021.9383327284154</v>
      </c>
      <c r="F85" s="12">
        <f t="shared" si="9"/>
        <v>610.86273893602174</v>
      </c>
      <c r="G85" s="12">
        <f t="shared" si="10"/>
        <v>75.499889081980271</v>
      </c>
      <c r="H85" s="9"/>
      <c r="I85" s="12">
        <f t="shared" si="11"/>
        <v>241.32090232621479</v>
      </c>
      <c r="J85" s="12">
        <f t="shared" si="12"/>
        <v>54.646534933033045</v>
      </c>
      <c r="K85" s="12">
        <f t="shared" si="13"/>
        <v>6.7540661153186967</v>
      </c>
    </row>
    <row r="86" spans="2:11" x14ac:dyDescent="0.25">
      <c r="B86" s="10">
        <v>82</v>
      </c>
      <c r="C86" s="11">
        <v>43973</v>
      </c>
      <c r="D86" s="12">
        <f t="shared" si="7"/>
        <v>316531.0029946462</v>
      </c>
      <c r="E86" s="12">
        <f t="shared" si="8"/>
        <v>2219.2364329110728</v>
      </c>
      <c r="F86" s="12">
        <f t="shared" si="9"/>
        <v>670.8469094736314</v>
      </c>
      <c r="G86" s="12">
        <f t="shared" si="10"/>
        <v>82.913662968651138</v>
      </c>
      <c r="H86" s="9"/>
      <c r="I86" s="12">
        <f t="shared" si="11"/>
        <v>264.69604460693807</v>
      </c>
      <c r="J86" s="12">
        <f t="shared" si="12"/>
        <v>59.98417053760965</v>
      </c>
      <c r="K86" s="12">
        <f t="shared" si="13"/>
        <v>7.4137738866708629</v>
      </c>
    </row>
    <row r="87" spans="2:11" x14ac:dyDescent="0.25">
      <c r="B87" s="10">
        <v>83</v>
      </c>
      <c r="C87" s="11">
        <v>43974</v>
      </c>
      <c r="D87" s="12">
        <f t="shared" si="7"/>
        <v>316240.71426402353</v>
      </c>
      <c r="E87" s="12">
        <f t="shared" si="8"/>
        <v>2435.550615770042</v>
      </c>
      <c r="F87" s="12">
        <f t="shared" si="9"/>
        <v>736.68425698332658</v>
      </c>
      <c r="G87" s="12">
        <f t="shared" si="10"/>
        <v>91.050863222658407</v>
      </c>
      <c r="H87" s="9"/>
      <c r="I87" s="12">
        <f t="shared" si="11"/>
        <v>290.28873062267184</v>
      </c>
      <c r="J87" s="12">
        <f t="shared" si="12"/>
        <v>65.837347509695149</v>
      </c>
      <c r="K87" s="12">
        <f t="shared" si="13"/>
        <v>8.1372002540072739</v>
      </c>
    </row>
    <row r="88" spans="2:11" x14ac:dyDescent="0.25">
      <c r="B88" s="10">
        <v>84</v>
      </c>
      <c r="C88" s="11">
        <v>43975</v>
      </c>
      <c r="D88" s="12">
        <f t="shared" si="7"/>
        <v>315922.41447237786</v>
      </c>
      <c r="E88" s="12">
        <f t="shared" si="8"/>
        <v>2672.6653868900398</v>
      </c>
      <c r="F88" s="12">
        <f t="shared" si="9"/>
        <v>808.93892525117121</v>
      </c>
      <c r="G88" s="12">
        <f t="shared" si="10"/>
        <v>99.981215480481907</v>
      </c>
      <c r="H88" s="9"/>
      <c r="I88" s="12">
        <f t="shared" si="11"/>
        <v>318.29979164566555</v>
      </c>
      <c r="J88" s="12">
        <f t="shared" si="12"/>
        <v>72.254668267844579</v>
      </c>
      <c r="K88" s="12">
        <f t="shared" si="13"/>
        <v>8.9303522578234951</v>
      </c>
    </row>
    <row r="89" spans="2:11" x14ac:dyDescent="0.25">
      <c r="B89" s="10">
        <v>85</v>
      </c>
      <c r="C89" s="11">
        <v>43976</v>
      </c>
      <c r="D89" s="12">
        <f t="shared" si="7"/>
        <v>315573.46818328061</v>
      </c>
      <c r="E89" s="12">
        <f t="shared" si="8"/>
        <v>2932.5228297576118</v>
      </c>
      <c r="F89" s="12">
        <f t="shared" si="9"/>
        <v>888.2279983955757</v>
      </c>
      <c r="G89" s="12">
        <f t="shared" si="10"/>
        <v>109.78098856574539</v>
      </c>
      <c r="H89" s="9"/>
      <c r="I89" s="12">
        <f t="shared" si="11"/>
        <v>348.94628909723986</v>
      </c>
      <c r="J89" s="12">
        <f t="shared" si="12"/>
        <v>79.289073144404512</v>
      </c>
      <c r="K89" s="12">
        <f t="shared" si="13"/>
        <v>9.7997730852634888</v>
      </c>
    </row>
    <row r="90" spans="2:11" x14ac:dyDescent="0.25">
      <c r="B90" s="10">
        <v>86</v>
      </c>
      <c r="C90" s="11">
        <v>43977</v>
      </c>
      <c r="D90" s="12">
        <f t="shared" si="7"/>
        <v>315191.00576687668</v>
      </c>
      <c r="E90" s="12">
        <f t="shared" si="8"/>
        <v>3217.2344851695934</v>
      </c>
      <c r="F90" s="12">
        <f t="shared" si="9"/>
        <v>975.22617567838483</v>
      </c>
      <c r="G90" s="12">
        <f t="shared" si="10"/>
        <v>120.53357227485664</v>
      </c>
      <c r="H90" s="9"/>
      <c r="I90" s="12">
        <f t="shared" si="11"/>
        <v>382.4624164039019</v>
      </c>
      <c r="J90" s="12">
        <f t="shared" si="12"/>
        <v>86.998177282809138</v>
      </c>
      <c r="K90" s="12">
        <f t="shared" si="13"/>
        <v>10.752583709111253</v>
      </c>
    </row>
    <row r="91" spans="2:11" x14ac:dyDescent="0.25">
      <c r="B91" s="10">
        <v>87</v>
      </c>
      <c r="C91" s="11">
        <v>43978</v>
      </c>
      <c r="D91" s="12">
        <f t="shared" si="7"/>
        <v>314771.90540844115</v>
      </c>
      <c r="E91" s="12">
        <f t="shared" si="8"/>
        <v>3529.0936940994652</v>
      </c>
      <c r="F91" s="12">
        <f t="shared" si="9"/>
        <v>1070.6707987384161</v>
      </c>
      <c r="G91" s="12">
        <f t="shared" si="10"/>
        <v>132.3300987204785</v>
      </c>
      <c r="H91" s="9"/>
      <c r="I91" s="12">
        <f t="shared" si="11"/>
        <v>419.10035843552504</v>
      </c>
      <c r="J91" s="12">
        <f t="shared" si="12"/>
        <v>95.444623060031262</v>
      </c>
      <c r="K91" s="12">
        <f t="shared" si="13"/>
        <v>11.796526445621852</v>
      </c>
    </row>
    <row r="92" spans="2:11" x14ac:dyDescent="0.25">
      <c r="B92" s="10">
        <v>88</v>
      </c>
      <c r="C92" s="11">
        <v>43979</v>
      </c>
      <c r="D92" s="12">
        <f t="shared" si="7"/>
        <v>314312.77432716021</v>
      </c>
      <c r="E92" s="12">
        <f t="shared" si="8"/>
        <v>3870.5883189104165</v>
      </c>
      <c r="F92" s="12">
        <f t="shared" si="9"/>
        <v>1175.3672449967003</v>
      </c>
      <c r="G92" s="12">
        <f t="shared" si="10"/>
        <v>145.27010893217656</v>
      </c>
      <c r="H92" s="9"/>
      <c r="I92" s="12">
        <f t="shared" si="11"/>
        <v>459.13108128093353</v>
      </c>
      <c r="J92" s="12">
        <f t="shared" si="12"/>
        <v>104.69644625828413</v>
      </c>
      <c r="K92" s="12">
        <f t="shared" si="13"/>
        <v>12.94001021169805</v>
      </c>
    </row>
    <row r="93" spans="2:11" x14ac:dyDescent="0.25">
      <c r="B93" s="10">
        <v>89</v>
      </c>
      <c r="C93" s="11">
        <v>43980</v>
      </c>
      <c r="D93" s="12">
        <f t="shared" si="7"/>
        <v>313809.92930825712</v>
      </c>
      <c r="E93" s="12">
        <f t="shared" si="8"/>
        <v>4244.4137271831705</v>
      </c>
      <c r="F93" s="12">
        <f t="shared" si="9"/>
        <v>1290.1946984577094</v>
      </c>
      <c r="G93" s="12">
        <f t="shared" si="10"/>
        <v>159.46226610151476</v>
      </c>
      <c r="H93" s="9"/>
      <c r="I93" s="12">
        <f t="shared" si="11"/>
        <v>502.84501890310162</v>
      </c>
      <c r="J93" s="12">
        <f t="shared" si="12"/>
        <v>114.82745346100901</v>
      </c>
      <c r="K93" s="12">
        <f t="shared" si="13"/>
        <v>14.192157169338206</v>
      </c>
    </row>
    <row r="94" spans="2:11" x14ac:dyDescent="0.25">
      <c r="B94" s="10">
        <v>90</v>
      </c>
      <c r="C94" s="11">
        <v>43981</v>
      </c>
      <c r="D94" s="12">
        <f t="shared" si="7"/>
        <v>313259.37669223407</v>
      </c>
      <c r="E94" s="12">
        <f t="shared" si="8"/>
        <v>4653.4858856334495</v>
      </c>
      <c r="F94" s="12">
        <f t="shared" si="9"/>
        <v>1416.1123056974768</v>
      </c>
      <c r="G94" s="12">
        <f t="shared" si="10"/>
        <v>175.02511643451973</v>
      </c>
      <c r="H94" s="9"/>
      <c r="I94" s="12">
        <f t="shared" si="11"/>
        <v>550.552616023052</v>
      </c>
      <c r="J94" s="12">
        <f t="shared" si="12"/>
        <v>125.91760723976738</v>
      </c>
      <c r="K94" s="12">
        <f t="shared" si="13"/>
        <v>15.562850333004972</v>
      </c>
    </row>
    <row r="95" spans="2:11" x14ac:dyDescent="0.25">
      <c r="B95" s="10">
        <v>91</v>
      </c>
      <c r="C95" s="13">
        <v>43982</v>
      </c>
      <c r="D95" s="12">
        <f t="shared" si="7"/>
        <v>312656.7920138989</v>
      </c>
      <c r="E95" s="12">
        <f t="shared" si="8"/>
        <v>5100.9543677808388</v>
      </c>
      <c r="F95" s="12">
        <f t="shared" si="9"/>
        <v>1554.1657203046025</v>
      </c>
      <c r="G95" s="12">
        <f t="shared" si="10"/>
        <v>192.08789801517574</v>
      </c>
      <c r="H95" s="9"/>
      <c r="I95" s="12">
        <f t="shared" si="11"/>
        <v>602.58467833517113</v>
      </c>
      <c r="J95" s="12">
        <f t="shared" si="12"/>
        <v>138.05341460712563</v>
      </c>
      <c r="K95" s="12">
        <f t="shared" si="13"/>
        <v>17.062781580655997</v>
      </c>
    </row>
    <row r="96" spans="2:11" x14ac:dyDescent="0.25">
      <c r="B96" s="10">
        <v>92</v>
      </c>
      <c r="C96" s="11">
        <v>43983</v>
      </c>
      <c r="D96" s="12">
        <f t="shared" si="7"/>
        <v>311997.49954209285</v>
      </c>
      <c r="E96" s="12">
        <f t="shared" si="8"/>
        <v>5590.2150273275265</v>
      </c>
      <c r="F96" s="12">
        <f t="shared" si="9"/>
        <v>1705.494033215434</v>
      </c>
      <c r="G96" s="12">
        <f t="shared" si="10"/>
        <v>210.7913973637055</v>
      </c>
      <c r="H96" s="9"/>
      <c r="I96" s="12">
        <f t="shared" si="11"/>
        <v>659.2924718060483</v>
      </c>
      <c r="J96" s="12">
        <f t="shared" si="12"/>
        <v>151.32831291083156</v>
      </c>
      <c r="K96" s="12">
        <f t="shared" si="13"/>
        <v>18.70349934852976</v>
      </c>
    </row>
    <row r="97" spans="2:11" x14ac:dyDescent="0.25">
      <c r="B97" s="10">
        <v>93</v>
      </c>
      <c r="C97" s="11">
        <v>43984</v>
      </c>
      <c r="D97" s="12">
        <f t="shared" si="7"/>
        <v>311276.45203975425</v>
      </c>
      <c r="E97" s="12">
        <f t="shared" si="8"/>
        <v>6124.9220287551971</v>
      </c>
      <c r="F97" s="12">
        <f t="shared" si="9"/>
        <v>1871.3370790261506</v>
      </c>
      <c r="G97" s="12">
        <f t="shared" si="10"/>
        <v>231.28885246390644</v>
      </c>
      <c r="H97" s="9"/>
      <c r="I97" s="12">
        <f t="shared" si="11"/>
        <v>721.04750233858806</v>
      </c>
      <c r="J97" s="12">
        <f t="shared" si="12"/>
        <v>165.84304581071657</v>
      </c>
      <c r="K97" s="12">
        <f t="shared" si="13"/>
        <v>20.497455100200948</v>
      </c>
    </row>
    <row r="98" spans="2:11" x14ac:dyDescent="0.25">
      <c r="B98" s="10">
        <v>94</v>
      </c>
      <c r="C98" s="11">
        <v>43985</v>
      </c>
      <c r="D98" s="12">
        <f t="shared" si="7"/>
        <v>310488.21114422404</v>
      </c>
      <c r="E98" s="12">
        <f t="shared" si="8"/>
        <v>6708.998856660256</v>
      </c>
      <c r="F98" s="12">
        <f t="shared" si="9"/>
        <v>2053.0430992125548</v>
      </c>
      <c r="G98" s="12">
        <f t="shared" si="10"/>
        <v>253.74689990267552</v>
      </c>
      <c r="H98" s="9"/>
      <c r="I98" s="12">
        <f t="shared" si="11"/>
        <v>788.24089553023271</v>
      </c>
      <c r="J98" s="12">
        <f t="shared" si="12"/>
        <v>181.70602018640417</v>
      </c>
      <c r="K98" s="12">
        <f t="shared" si="13"/>
        <v>22.458047438769075</v>
      </c>
    </row>
    <row r="99" spans="2:11" x14ac:dyDescent="0.25">
      <c r="B99" s="10">
        <v>95</v>
      </c>
      <c r="C99" s="11">
        <v>43986</v>
      </c>
      <c r="D99" s="12">
        <f t="shared" si="7"/>
        <v>309626.92886049335</v>
      </c>
      <c r="E99" s="12">
        <f t="shared" si="8"/>
        <v>7346.6478451689218</v>
      </c>
      <c r="F99" s="12">
        <f t="shared" si="9"/>
        <v>2252.0767319601423</v>
      </c>
      <c r="G99" s="12">
        <f t="shared" si="10"/>
        <v>278.34656237709646</v>
      </c>
      <c r="H99" s="9"/>
      <c r="I99" s="12">
        <f t="shared" si="11"/>
        <v>861.2822837306752</v>
      </c>
      <c r="J99" s="12">
        <f t="shared" si="12"/>
        <v>199.03363274758757</v>
      </c>
      <c r="K99" s="12">
        <f t="shared" si="13"/>
        <v>24.59966247442096</v>
      </c>
    </row>
    <row r="100" spans="2:11" x14ac:dyDescent="0.25">
      <c r="B100" s="10">
        <v>96</v>
      </c>
      <c r="C100" s="11">
        <v>43987</v>
      </c>
      <c r="D100" s="12">
        <f t="shared" si="7"/>
        <v>308686.33076616883</v>
      </c>
      <c r="E100" s="12">
        <f t="shared" si="8"/>
        <v>8042.3576779878395</v>
      </c>
      <c r="F100" s="12">
        <f t="shared" si="9"/>
        <v>2470.0272847001538</v>
      </c>
      <c r="G100" s="12">
        <f t="shared" si="10"/>
        <v>305.28427114271585</v>
      </c>
      <c r="H100" s="9"/>
      <c r="I100" s="12">
        <f t="shared" si="11"/>
        <v>940.59809432454824</v>
      </c>
      <c r="J100" s="12">
        <f t="shared" si="12"/>
        <v>217.95055274001135</v>
      </c>
      <c r="K100" s="12">
        <f t="shared" si="13"/>
        <v>26.937708765619401</v>
      </c>
    </row>
    <row r="101" spans="2:11" x14ac:dyDescent="0.25">
      <c r="B101" s="10">
        <v>97</v>
      </c>
      <c r="C101" s="11">
        <v>43988</v>
      </c>
      <c r="D101" s="12">
        <f t="shared" si="7"/>
        <v>307659.70164669096</v>
      </c>
      <c r="E101" s="12">
        <f t="shared" si="8"/>
        <v>8800.9082081994675</v>
      </c>
      <c r="F101" s="12">
        <f t="shared" si="9"/>
        <v>2708.6172291471262</v>
      </c>
      <c r="G101" s="12">
        <f t="shared" si="10"/>
        <v>334.77291596200462</v>
      </c>
      <c r="H101" s="9"/>
      <c r="I101" s="12">
        <f t="shared" si="11"/>
        <v>1026.6291194778892</v>
      </c>
      <c r="J101" s="12">
        <f t="shared" si="12"/>
        <v>238.58994444697254</v>
      </c>
      <c r="K101" s="12">
        <f t="shared" si="13"/>
        <v>29.488644819288769</v>
      </c>
    </row>
    <row r="102" spans="2:11" x14ac:dyDescent="0.25">
      <c r="B102" s="10">
        <v>98</v>
      </c>
      <c r="C102" s="11">
        <v>43989</v>
      </c>
      <c r="D102" s="12">
        <f t="shared" si="7"/>
        <v>306539.87441267289</v>
      </c>
      <c r="E102" s="12">
        <f t="shared" si="8"/>
        <v>9627.3718352775522</v>
      </c>
      <c r="F102" s="12">
        <f t="shared" si="9"/>
        <v>2969.7108393237104</v>
      </c>
      <c r="G102" s="12">
        <f t="shared" si="10"/>
        <v>367.04291272540269</v>
      </c>
      <c r="H102" s="9"/>
      <c r="I102" s="12">
        <f t="shared" si="11"/>
        <v>1119.8272340180672</v>
      </c>
      <c r="J102" s="12">
        <f t="shared" si="12"/>
        <v>261.09361017658415</v>
      </c>
      <c r="K102" s="12">
        <f t="shared" si="13"/>
        <v>32.269996763398076</v>
      </c>
    </row>
    <row r="103" spans="2:11" x14ac:dyDescent="0.25">
      <c r="B103" s="10">
        <v>99</v>
      </c>
      <c r="C103" s="11">
        <v>43990</v>
      </c>
      <c r="D103" s="12">
        <f t="shared" si="7"/>
        <v>305319.2232972635</v>
      </c>
      <c r="E103" s="12">
        <f t="shared" si="8"/>
        <v>10527.110556177662</v>
      </c>
      <c r="F103" s="12">
        <f t="shared" si="9"/>
        <v>3255.3228704369444</v>
      </c>
      <c r="G103" s="12">
        <f t="shared" si="10"/>
        <v>402.34327612142039</v>
      </c>
      <c r="H103" s="9"/>
      <c r="I103" s="12">
        <f t="shared" si="11"/>
        <v>1220.651115409363</v>
      </c>
      <c r="J103" s="12">
        <f t="shared" si="12"/>
        <v>285.61203111323397</v>
      </c>
      <c r="K103" s="12">
        <f t="shared" si="13"/>
        <v>35.300363396017723</v>
      </c>
    </row>
    <row r="104" spans="2:11" x14ac:dyDescent="0.25">
      <c r="B104" s="10">
        <v>100</v>
      </c>
      <c r="C104" s="11">
        <v>43991</v>
      </c>
      <c r="D104" s="12">
        <f t="shared" si="7"/>
        <v>303989.66248831031</v>
      </c>
      <c r="E104" s="12">
        <f t="shared" si="8"/>
        <v>11505.767679924953</v>
      </c>
      <c r="F104" s="12">
        <f t="shared" si="9"/>
        <v>3567.6271502702152</v>
      </c>
      <c r="G104" s="12">
        <f t="shared" si="10"/>
        <v>440.94268149407185</v>
      </c>
      <c r="H104" s="9"/>
      <c r="I104" s="12">
        <f t="shared" si="11"/>
        <v>1329.560808953212</v>
      </c>
      <c r="J104" s="12">
        <f t="shared" si="12"/>
        <v>312.30427983327064</v>
      </c>
      <c r="K104" s="12">
        <f t="shared" si="13"/>
        <v>38.599405372651468</v>
      </c>
    </row>
    <row r="105" spans="2:11" x14ac:dyDescent="0.25">
      <c r="B105" s="10">
        <v>101</v>
      </c>
      <c r="C105" s="11">
        <v>43992</v>
      </c>
      <c r="D105" s="12">
        <f t="shared" si="7"/>
        <v>302542.65151459514</v>
      </c>
      <c r="E105" s="12">
        <f t="shared" si="8"/>
        <v>12569.253064309283</v>
      </c>
      <c r="F105" s="12">
        <f t="shared" si="9"/>
        <v>3908.9649247746556</v>
      </c>
      <c r="G105" s="12">
        <f t="shared" si="10"/>
        <v>483.13049632046341</v>
      </c>
      <c r="H105" s="9"/>
      <c r="I105" s="12">
        <f t="shared" si="11"/>
        <v>1447.0109737151618</v>
      </c>
      <c r="J105" s="12">
        <f t="shared" si="12"/>
        <v>341.33777450444023</v>
      </c>
      <c r="K105" s="12">
        <f t="shared" si="13"/>
        <v>42.187814826391531</v>
      </c>
    </row>
    <row r="106" spans="2:11" x14ac:dyDescent="0.25">
      <c r="B106" s="10">
        <v>102</v>
      </c>
      <c r="C106" s="11">
        <v>43993</v>
      </c>
      <c r="D106" s="12">
        <f t="shared" si="7"/>
        <v>300969.20887263684</v>
      </c>
      <c r="E106" s="12">
        <f t="shared" si="8"/>
        <v>13723.720604123926</v>
      </c>
      <c r="F106" s="12">
        <f t="shared" si="9"/>
        <v>4281.8527656824981</v>
      </c>
      <c r="G106" s="12">
        <f t="shared" si="10"/>
        <v>529.21775755626413</v>
      </c>
      <c r="H106" s="9"/>
      <c r="I106" s="12">
        <f t="shared" si="11"/>
        <v>1573.4426419582865</v>
      </c>
      <c r="J106" s="12">
        <f t="shared" si="12"/>
        <v>372.88784090784208</v>
      </c>
      <c r="K106" s="12">
        <f t="shared" si="13"/>
        <v>46.087261235800746</v>
      </c>
    </row>
    <row r="107" spans="2:11" x14ac:dyDescent="0.25">
      <c r="B107" s="10">
        <v>103</v>
      </c>
      <c r="C107" s="11">
        <v>43994</v>
      </c>
      <c r="D107" s="12">
        <f t="shared" si="7"/>
        <v>299259.93554348941</v>
      </c>
      <c r="E107" s="12">
        <f t="shared" si="8"/>
        <v>14975.53657980057</v>
      </c>
      <c r="F107" s="12">
        <f t="shared" si="9"/>
        <v>4688.9898102715078</v>
      </c>
      <c r="G107" s="12">
        <f t="shared" si="10"/>
        <v>579.53806643805194</v>
      </c>
      <c r="H107" s="9"/>
      <c r="I107" s="12">
        <f t="shared" si="11"/>
        <v>1709.2733291474422</v>
      </c>
      <c r="J107" s="12">
        <f t="shared" si="12"/>
        <v>407.13704458900975</v>
      </c>
      <c r="K107" s="12">
        <f t="shared" si="13"/>
        <v>50.320308881787774</v>
      </c>
    </row>
    <row r="108" spans="2:11" x14ac:dyDescent="0.25">
      <c r="B108" s="10">
        <v>104</v>
      </c>
      <c r="C108" s="11">
        <v>43995</v>
      </c>
      <c r="D108" s="12">
        <f t="shared" si="7"/>
        <v>297405.05019808596</v>
      </c>
      <c r="E108" s="12">
        <f t="shared" si="8"/>
        <v>16331.237372543983</v>
      </c>
      <c r="F108" s="12">
        <f t="shared" si="9"/>
        <v>5133.2640621389246</v>
      </c>
      <c r="G108" s="12">
        <f t="shared" si="10"/>
        <v>634.44836723065407</v>
      </c>
      <c r="H108" s="9"/>
      <c r="I108" s="12">
        <f t="shared" si="11"/>
        <v>1854.8853454034318</v>
      </c>
      <c r="J108" s="12">
        <f t="shared" si="12"/>
        <v>444.27425186741687</v>
      </c>
      <c r="K108" s="12">
        <f t="shared" si="13"/>
        <v>54.910300792602136</v>
      </c>
    </row>
    <row r="109" spans="2:11" x14ac:dyDescent="0.25">
      <c r="B109" s="10">
        <v>105</v>
      </c>
      <c r="C109" s="11">
        <v>43996</v>
      </c>
      <c r="D109" s="12">
        <f t="shared" si="7"/>
        <v>295394.43801252771</v>
      </c>
      <c r="E109" s="12">
        <f t="shared" si="8"/>
        <v>17797.474979017417</v>
      </c>
      <c r="F109" s="12">
        <f t="shared" si="9"/>
        <v>5617.7574375243958</v>
      </c>
      <c r="G109" s="12">
        <f t="shared" si="10"/>
        <v>694.32957092998208</v>
      </c>
      <c r="H109" s="9"/>
      <c r="I109" s="12">
        <f t="shared" si="11"/>
        <v>2010.6121855582344</v>
      </c>
      <c r="J109" s="12">
        <f t="shared" si="12"/>
        <v>484.49337538547144</v>
      </c>
      <c r="K109" s="12">
        <f t="shared" si="13"/>
        <v>59.88120369932799</v>
      </c>
    </row>
    <row r="110" spans="2:11" x14ac:dyDescent="0.25">
      <c r="B110" s="10">
        <v>106</v>
      </c>
      <c r="C110" s="11">
        <v>43997</v>
      </c>
      <c r="D110" s="12">
        <f t="shared" si="7"/>
        <v>293217.71509557252</v>
      </c>
      <c r="E110" s="12">
        <f t="shared" si="8"/>
        <v>19380.948730005373</v>
      </c>
      <c r="F110" s="12">
        <f t="shared" si="9"/>
        <v>6145.7491952352457</v>
      </c>
      <c r="G110" s="12">
        <f t="shared" si="10"/>
        <v>759.58697918637938</v>
      </c>
      <c r="H110" s="9"/>
      <c r="I110" s="12">
        <f t="shared" si="11"/>
        <v>2176.7229169552038</v>
      </c>
      <c r="J110" s="12">
        <f t="shared" si="12"/>
        <v>527.99175771085004</v>
      </c>
      <c r="K110" s="12">
        <f t="shared" si="13"/>
        <v>65.257408256397255</v>
      </c>
    </row>
    <row r="111" spans="2:11" x14ac:dyDescent="0.25">
      <c r="B111" s="10">
        <v>107</v>
      </c>
      <c r="C111" s="11">
        <v>43998</v>
      </c>
      <c r="D111" s="12">
        <f t="shared" si="7"/>
        <v>290864.31055026187</v>
      </c>
      <c r="E111" s="12">
        <f t="shared" si="8"/>
        <v>21088.3216509825</v>
      </c>
      <c r="F111" s="12">
        <f t="shared" si="9"/>
        <v>6720.7173408920717</v>
      </c>
      <c r="G111" s="12">
        <f t="shared" si="10"/>
        <v>830.65045786306587</v>
      </c>
      <c r="H111" s="9"/>
      <c r="I111" s="12">
        <f t="shared" si="11"/>
        <v>2353.4045453106382</v>
      </c>
      <c r="J111" s="12">
        <f t="shared" si="12"/>
        <v>574.9681456568261</v>
      </c>
      <c r="K111" s="12">
        <f t="shared" si="13"/>
        <v>71.063478676686429</v>
      </c>
    </row>
    <row r="112" spans="2:11" x14ac:dyDescent="0.25">
      <c r="B112" s="10">
        <v>108</v>
      </c>
      <c r="C112" s="11">
        <v>43999</v>
      </c>
      <c r="D112" s="12">
        <f t="shared" si="7"/>
        <v>288323.56812753831</v>
      </c>
      <c r="E112" s="12">
        <f t="shared" si="8"/>
        <v>22926.120018673326</v>
      </c>
      <c r="F112" s="12">
        <f t="shared" si="9"/>
        <v>7346.3375498712194</v>
      </c>
      <c r="G112" s="12">
        <f t="shared" si="10"/>
        <v>907.97430391666842</v>
      </c>
      <c r="H112" s="9"/>
      <c r="I112" s="12">
        <f t="shared" si="11"/>
        <v>2540.7424227235756</v>
      </c>
      <c r="J112" s="12">
        <f t="shared" si="12"/>
        <v>625.62020897914749</v>
      </c>
      <c r="K112" s="12">
        <f t="shared" si="13"/>
        <v>77.32384605360258</v>
      </c>
    </row>
    <row r="113" spans="2:11" x14ac:dyDescent="0.25">
      <c r="B113" s="10">
        <v>109</v>
      </c>
      <c r="C113" s="11">
        <v>44000</v>
      </c>
      <c r="D113" s="12">
        <f t="shared" si="7"/>
        <v>285584.86925622821</v>
      </c>
      <c r="E113" s="12">
        <f t="shared" si="8"/>
        <v>24900.614889360957</v>
      </c>
      <c r="F113" s="12">
        <f t="shared" si="9"/>
        <v>8026.4791104251944</v>
      </c>
      <c r="G113" s="12">
        <f t="shared" si="10"/>
        <v>992.03674398513738</v>
      </c>
      <c r="H113" s="9"/>
      <c r="I113" s="12">
        <f t="shared" si="11"/>
        <v>2738.6988713100768</v>
      </c>
      <c r="J113" s="12">
        <f t="shared" si="12"/>
        <v>680.1415605539753</v>
      </c>
      <c r="K113" s="12">
        <f t="shared" si="13"/>
        <v>84.062440068468931</v>
      </c>
    </row>
    <row r="114" spans="2:11" x14ac:dyDescent="0.25">
      <c r="B114" s="10">
        <v>110</v>
      </c>
      <c r="C114" s="11">
        <v>44001</v>
      </c>
      <c r="D114" s="12">
        <f t="shared" si="7"/>
        <v>282637.77892315405</v>
      </c>
      <c r="E114" s="12">
        <f t="shared" si="8"/>
        <v>27017.684726123091</v>
      </c>
      <c r="F114" s="12">
        <f t="shared" si="9"/>
        <v>8765.1973521429027</v>
      </c>
      <c r="G114" s="12">
        <f t="shared" si="10"/>
        <v>1083.3389985794611</v>
      </c>
      <c r="H114" s="9"/>
      <c r="I114" s="12">
        <f t="shared" si="11"/>
        <v>2947.090333074168</v>
      </c>
      <c r="J114" s="12">
        <f t="shared" si="12"/>
        <v>738.71824171770834</v>
      </c>
      <c r="K114" s="12">
        <f t="shared" si="13"/>
        <v>91.302254594323585</v>
      </c>
    </row>
    <row r="115" spans="2:11" x14ac:dyDescent="0.25">
      <c r="B115" s="10">
        <v>111</v>
      </c>
      <c r="C115" s="11">
        <v>44002</v>
      </c>
      <c r="D115" s="12">
        <f t="shared" si="7"/>
        <v>279472.21540105692</v>
      </c>
      <c r="E115" s="12">
        <f t="shared" si="8"/>
        <v>29282.658757349425</v>
      </c>
      <c r="F115" s="12">
        <f t="shared" si="9"/>
        <v>9566.7219990178874</v>
      </c>
      <c r="G115" s="12">
        <f t="shared" si="10"/>
        <v>1182.4038425752458</v>
      </c>
      <c r="H115" s="9"/>
      <c r="I115" s="12">
        <f t="shared" si="11"/>
        <v>3165.5635220971062</v>
      </c>
      <c r="J115" s="12">
        <f t="shared" si="12"/>
        <v>801.52464687498491</v>
      </c>
      <c r="K115" s="12">
        <f t="shared" si="13"/>
        <v>99.064843995784756</v>
      </c>
    </row>
    <row r="116" spans="2:11" x14ac:dyDescent="0.25">
      <c r="B116" s="10">
        <v>112</v>
      </c>
      <c r="C116" s="11">
        <v>44003</v>
      </c>
      <c r="D116" s="12">
        <f t="shared" si="7"/>
        <v>276078.64415386855</v>
      </c>
      <c r="E116" s="12">
        <f t="shared" si="8"/>
        <v>31700.141379292829</v>
      </c>
      <c r="F116" s="12">
        <f t="shared" si="9"/>
        <v>10435.44087548592</v>
      </c>
      <c r="G116" s="12">
        <f t="shared" si="10"/>
        <v>1289.7735913521938</v>
      </c>
      <c r="H116" s="9"/>
      <c r="I116" s="12">
        <f t="shared" si="11"/>
        <v>3393.5712471883862</v>
      </c>
      <c r="J116" s="12">
        <f t="shared" si="12"/>
        <v>868.71887646803282</v>
      </c>
      <c r="K116" s="12">
        <f t="shared" si="13"/>
        <v>107.36974877694799</v>
      </c>
    </row>
    <row r="117" spans="2:11" x14ac:dyDescent="0.25">
      <c r="B117" s="10">
        <v>113</v>
      </c>
      <c r="C117" s="11">
        <v>44004</v>
      </c>
      <c r="D117" s="12">
        <f t="shared" si="7"/>
        <v>272448.29536703596</v>
      </c>
      <c r="E117" s="12">
        <f t="shared" si="8"/>
        <v>34273.818786815667</v>
      </c>
      <c r="F117" s="12">
        <f t="shared" si="9"/>
        <v>11375.878403071607</v>
      </c>
      <c r="G117" s="12">
        <f t="shared" si="10"/>
        <v>1406.0074430762675</v>
      </c>
      <c r="H117" s="9"/>
      <c r="I117" s="12">
        <f t="shared" si="11"/>
        <v>3630.3487868325974</v>
      </c>
      <c r="J117" s="12">
        <f t="shared" si="12"/>
        <v>940.43752758568712</v>
      </c>
      <c r="K117" s="12">
        <f t="shared" si="13"/>
        <v>116.2338517240738</v>
      </c>
    </row>
    <row r="118" spans="2:11" x14ac:dyDescent="0.25">
      <c r="B118" s="10">
        <v>114</v>
      </c>
      <c r="C118" s="11">
        <v>44005</v>
      </c>
      <c r="D118" s="12">
        <f t="shared" si="7"/>
        <v>268573.40344255435</v>
      </c>
      <c r="E118" s="12">
        <f t="shared" si="8"/>
        <v>37006.250085070096</v>
      </c>
      <c r="F118" s="12">
        <f t="shared" si="9"/>
        <v>12392.668360413805</v>
      </c>
      <c r="G118" s="12">
        <f t="shared" si="10"/>
        <v>1531.6781119612583</v>
      </c>
      <c r="H118" s="9"/>
      <c r="I118" s="12">
        <f t="shared" si="11"/>
        <v>3874.8919244816125</v>
      </c>
      <c r="J118" s="12">
        <f t="shared" si="12"/>
        <v>1016.789957342198</v>
      </c>
      <c r="K118" s="12">
        <f t="shared" si="13"/>
        <v>125.67066888499089</v>
      </c>
    </row>
    <row r="119" spans="2:11" x14ac:dyDescent="0.25">
      <c r="B119" s="10">
        <v>115</v>
      </c>
      <c r="C119" s="11">
        <v>44006</v>
      </c>
      <c r="D119" s="12">
        <f t="shared" si="7"/>
        <v>264447.46546563477</v>
      </c>
      <c r="E119" s="12">
        <f t="shared" si="8"/>
        <v>39898.646392487339</v>
      </c>
      <c r="F119" s="12">
        <f t="shared" si="9"/>
        <v>13490.520446270884</v>
      </c>
      <c r="G119" s="12">
        <f t="shared" si="10"/>
        <v>1667.3676956065156</v>
      </c>
      <c r="H119" s="9"/>
      <c r="I119" s="12">
        <f t="shared" si="11"/>
        <v>4125.9379769195803</v>
      </c>
      <c r="J119" s="12">
        <f t="shared" si="12"/>
        <v>1097.8520858570796</v>
      </c>
      <c r="K119" s="12">
        <f t="shared" si="13"/>
        <v>135.68958364525713</v>
      </c>
    </row>
    <row r="120" spans="2:11" x14ac:dyDescent="0.25">
      <c r="B120" s="10">
        <v>116</v>
      </c>
      <c r="C120" s="11">
        <v>44007</v>
      </c>
      <c r="D120" s="12">
        <f t="shared" si="7"/>
        <v>260065.51411361271</v>
      </c>
      <c r="E120" s="12">
        <f t="shared" si="8"/>
        <v>42950.642864759837</v>
      </c>
      <c r="F120" s="12">
        <f t="shared" si="9"/>
        <v>14674.180289248008</v>
      </c>
      <c r="G120" s="12">
        <f t="shared" si="10"/>
        <v>1813.6627323789694</v>
      </c>
      <c r="H120" s="9"/>
      <c r="I120" s="12">
        <f t="shared" si="11"/>
        <v>4381.9513520220771</v>
      </c>
      <c r="J120" s="12">
        <f t="shared" si="12"/>
        <v>1183.6598429771243</v>
      </c>
      <c r="K120" s="12">
        <f t="shared" si="13"/>
        <v>146.29503677245373</v>
      </c>
    </row>
    <row r="121" spans="2:11" x14ac:dyDescent="0.25">
      <c r="B121" s="10">
        <v>117</v>
      </c>
      <c r="C121" s="11">
        <v>44008</v>
      </c>
      <c r="D121" s="12">
        <f t="shared" si="7"/>
        <v>255424.39878390211</v>
      </c>
      <c r="E121" s="12">
        <f t="shared" si="8"/>
        <v>46160.070098978431</v>
      </c>
      <c r="F121" s="12">
        <f t="shared" si="9"/>
        <v>15948.382694235883</v>
      </c>
      <c r="G121" s="12">
        <f t="shared" si="10"/>
        <v>1971.1484228830889</v>
      </c>
      <c r="H121" s="9"/>
      <c r="I121" s="12">
        <f t="shared" si="11"/>
        <v>4641.1153297105857</v>
      </c>
      <c r="J121" s="12">
        <f t="shared" si="12"/>
        <v>1274.2024049878751</v>
      </c>
      <c r="K121" s="12">
        <f t="shared" si="13"/>
        <v>157.48569050411956</v>
      </c>
    </row>
    <row r="122" spans="2:11" x14ac:dyDescent="0.25">
      <c r="B122" s="10">
        <v>118</v>
      </c>
      <c r="C122" s="11">
        <v>44009</v>
      </c>
      <c r="D122" s="12">
        <f t="shared" si="7"/>
        <v>250523.06694234052</v>
      </c>
      <c r="E122" s="12">
        <f t="shared" si="8"/>
        <v>49522.732937240755</v>
      </c>
      <c r="F122" s="12">
        <f t="shared" si="9"/>
        <v>17317.798107172242</v>
      </c>
      <c r="G122" s="12">
        <f t="shared" si="10"/>
        <v>2140.40201324601</v>
      </c>
      <c r="H122" s="9"/>
      <c r="I122" s="12">
        <f t="shared" si="11"/>
        <v>4901.3318415615977</v>
      </c>
      <c r="J122" s="12">
        <f t="shared" si="12"/>
        <v>1369.4154129363599</v>
      </c>
      <c r="K122" s="12">
        <f t="shared" si="13"/>
        <v>169.25359036292105</v>
      </c>
    </row>
    <row r="123" spans="2:11" x14ac:dyDescent="0.25">
      <c r="B123" s="10">
        <v>119</v>
      </c>
      <c r="C123" s="11">
        <v>44010</v>
      </c>
      <c r="D123" s="12">
        <f t="shared" si="7"/>
        <v>245362.83594448524</v>
      </c>
      <c r="E123" s="12">
        <f t="shared" si="8"/>
        <v>53032.206170521356</v>
      </c>
      <c r="F123" s="12">
        <f t="shared" si="9"/>
        <v>18786.972517643717</v>
      </c>
      <c r="G123" s="12">
        <f t="shared" si="10"/>
        <v>2321.9853673492262</v>
      </c>
      <c r="H123" s="9"/>
      <c r="I123" s="12">
        <f t="shared" si="11"/>
        <v>5160.2309978552912</v>
      </c>
      <c r="J123" s="12">
        <f t="shared" si="12"/>
        <v>1469.1744104714755</v>
      </c>
      <c r="K123" s="12">
        <f t="shared" si="13"/>
        <v>181.58335410321627</v>
      </c>
    </row>
    <row r="124" spans="2:11" x14ac:dyDescent="0.25">
      <c r="B124" s="10">
        <v>120</v>
      </c>
      <c r="C124" s="11">
        <v>44011</v>
      </c>
      <c r="D124" s="12">
        <f t="shared" si="7"/>
        <v>239947.64400081534</v>
      </c>
      <c r="E124" s="12">
        <f t="shared" si="8"/>
        <v>56679.657908507193</v>
      </c>
      <c r="F124" s="12">
        <f t="shared" si="9"/>
        <v>20360.261300702517</v>
      </c>
      <c r="G124" s="12">
        <f t="shared" si="10"/>
        <v>2516.4367899744711</v>
      </c>
      <c r="H124" s="9"/>
      <c r="I124" s="12">
        <f t="shared" si="11"/>
        <v>5415.1919436698827</v>
      </c>
      <c r="J124" s="12">
        <f t="shared" si="12"/>
        <v>1573.2887830588002</v>
      </c>
      <c r="K124" s="12">
        <f t="shared" si="13"/>
        <v>194.45142262524513</v>
      </c>
    </row>
    <row r="125" spans="2:11" x14ac:dyDescent="0.25">
      <c r="B125" s="10">
        <v>121</v>
      </c>
      <c r="C125" s="13">
        <v>44012</v>
      </c>
      <c r="D125" s="12">
        <f t="shared" si="7"/>
        <v>234284.26771025787</v>
      </c>
      <c r="E125" s="12">
        <f t="shared" si="8"/>
        <v>60453.712268781084</v>
      </c>
      <c r="F125" s="12">
        <f t="shared" si="9"/>
        <v>22041.757818654896</v>
      </c>
      <c r="G125" s="12">
        <f t="shared" si="10"/>
        <v>2724.2622023056642</v>
      </c>
      <c r="H125" s="9"/>
      <c r="I125" s="12">
        <f t="shared" si="11"/>
        <v>5663.3762905574586</v>
      </c>
      <c r="J125" s="12">
        <f t="shared" si="12"/>
        <v>1681.4965179523799</v>
      </c>
      <c r="K125" s="12">
        <f t="shared" si="13"/>
        <v>207.82541233119321</v>
      </c>
    </row>
    <row r="126" spans="2:11" x14ac:dyDescent="0.25">
      <c r="B126" s="10">
        <v>122</v>
      </c>
      <c r="C126" s="11">
        <v>44013</v>
      </c>
      <c r="D126" s="12">
        <f t="shared" si="7"/>
        <v>228382.4928599484</v>
      </c>
      <c r="E126" s="12">
        <f t="shared" si="8"/>
        <v>64340.363376797854</v>
      </c>
      <c r="F126" s="12">
        <f t="shared" si="9"/>
        <v>23835.217949295402</v>
      </c>
      <c r="G126" s="12">
        <f t="shared" si="10"/>
        <v>2945.9258139578619</v>
      </c>
      <c r="H126" s="9"/>
      <c r="I126" s="12">
        <f t="shared" si="11"/>
        <v>5901.7748503094699</v>
      </c>
      <c r="J126" s="12">
        <f t="shared" si="12"/>
        <v>1793.4601306405052</v>
      </c>
      <c r="K126" s="12">
        <f t="shared" si="13"/>
        <v>221.66361165219752</v>
      </c>
    </row>
    <row r="127" spans="2:11" x14ac:dyDescent="0.25">
      <c r="B127" s="10">
        <v>123</v>
      </c>
      <c r="C127" s="11">
        <v>44014</v>
      </c>
      <c r="D127" s="12">
        <f t="shared" si="7"/>
        <v>222255.22516828583</v>
      </c>
      <c r="E127" s="12">
        <f t="shared" si="8"/>
        <v>68322.952289233843</v>
      </c>
      <c r="F127" s="12">
        <f t="shared" si="9"/>
        <v>25743.98206280707</v>
      </c>
      <c r="G127" s="12">
        <f t="shared" si="10"/>
        <v>3181.8404796727878</v>
      </c>
      <c r="H127" s="9"/>
      <c r="I127" s="12">
        <f t="shared" si="11"/>
        <v>6127.2676916625787</v>
      </c>
      <c r="J127" s="12">
        <f t="shared" si="12"/>
        <v>1908.7641135116694</v>
      </c>
      <c r="K127" s="12">
        <f t="shared" si="13"/>
        <v>235.91466571492569</v>
      </c>
    </row>
    <row r="128" spans="2:11" x14ac:dyDescent="0.25">
      <c r="B128" s="10">
        <v>124</v>
      </c>
      <c r="C128" s="11">
        <v>44015</v>
      </c>
      <c r="D128" s="12">
        <f t="shared" si="7"/>
        <v>215918.52849737697</v>
      </c>
      <c r="E128" s="12">
        <f t="shared" si="8"/>
        <v>72382.217217168232</v>
      </c>
      <c r="F128" s="12">
        <f t="shared" si="9"/>
        <v>27770.896314054342</v>
      </c>
      <c r="G128" s="12">
        <f t="shared" si="10"/>
        <v>3432.3579713999789</v>
      </c>
      <c r="H128" s="9"/>
      <c r="I128" s="12">
        <f t="shared" si="11"/>
        <v>6336.6966709088565</v>
      </c>
      <c r="J128" s="12">
        <f t="shared" si="12"/>
        <v>2026.9142512472706</v>
      </c>
      <c r="K128" s="12">
        <f t="shared" si="13"/>
        <v>250.51749172719099</v>
      </c>
    </row>
    <row r="129" spans="2:11" x14ac:dyDescent="0.25">
      <c r="B129" s="10">
        <v>125</v>
      </c>
      <c r="C129" s="11">
        <v>44016</v>
      </c>
      <c r="D129" s="12">
        <f t="shared" si="7"/>
        <v>209391.57989661244</v>
      </c>
      <c r="E129" s="12">
        <f t="shared" si="8"/>
        <v>76496.425244027167</v>
      </c>
      <c r="F129" s="12">
        <f t="shared" si="9"/>
        <v>29918.235424830331</v>
      </c>
      <c r="G129" s="12">
        <f t="shared" si="10"/>
        <v>3697.7594345295961</v>
      </c>
      <c r="H129" s="9"/>
      <c r="I129" s="12">
        <f t="shared" si="11"/>
        <v>6526.9486007645392</v>
      </c>
      <c r="J129" s="12">
        <f t="shared" si="12"/>
        <v>2147.3391107759908</v>
      </c>
      <c r="K129" s="12">
        <f t="shared" si="13"/>
        <v>265.40146312961707</v>
      </c>
    </row>
    <row r="130" spans="2:11" x14ac:dyDescent="0.25">
      <c r="B130" s="10">
        <v>126</v>
      </c>
      <c r="C130" s="11">
        <v>44017</v>
      </c>
      <c r="D130" s="12">
        <f t="shared" si="7"/>
        <v>202696.53370351496</v>
      </c>
      <c r="E130" s="12">
        <f t="shared" si="8"/>
        <v>80641.590595657064</v>
      </c>
      <c r="F130" s="12">
        <f t="shared" si="9"/>
        <v>32187.629373736469</v>
      </c>
      <c r="G130" s="12">
        <f t="shared" si="10"/>
        <v>3978.2463270910293</v>
      </c>
      <c r="H130" s="9"/>
      <c r="I130" s="12">
        <f t="shared" si="11"/>
        <v>6695.0461930974716</v>
      </c>
      <c r="J130" s="12">
        <f t="shared" si="12"/>
        <v>2269.393948906139</v>
      </c>
      <c r="K130" s="12">
        <f t="shared" si="13"/>
        <v>280.48689256143319</v>
      </c>
    </row>
    <row r="131" spans="2:11" x14ac:dyDescent="0.25">
      <c r="B131" s="10">
        <v>127</v>
      </c>
      <c r="C131" s="11">
        <v>44018</v>
      </c>
      <c r="D131" s="12">
        <f t="shared" si="7"/>
        <v>195858.29076503526</v>
      </c>
      <c r="E131" s="12">
        <f t="shared" si="8"/>
        <v>84791.780514281534</v>
      </c>
      <c r="F131" s="12">
        <f t="shared" si="9"/>
        <v>34579.996561407628</v>
      </c>
      <c r="G131" s="12">
        <f t="shared" si="10"/>
        <v>4273.9321592751057</v>
      </c>
      <c r="H131" s="9"/>
      <c r="I131" s="12">
        <f t="shared" si="11"/>
        <v>6838.2429384796978</v>
      </c>
      <c r="J131" s="12">
        <f t="shared" si="12"/>
        <v>2392.3671876711592</v>
      </c>
      <c r="K131" s="12">
        <f t="shared" si="13"/>
        <v>295.68583218407616</v>
      </c>
    </row>
    <row r="132" spans="2:11" x14ac:dyDescent="0.25">
      <c r="B132" s="10">
        <v>128</v>
      </c>
      <c r="C132" s="11">
        <v>44019</v>
      </c>
      <c r="D132" s="12">
        <f t="shared" si="7"/>
        <v>188904.173482571</v>
      </c>
      <c r="E132" s="12">
        <f t="shared" si="8"/>
        <v>88919.5051129364</v>
      </c>
      <c r="F132" s="12">
        <f t="shared" si="9"/>
        <v>37095.486049997977</v>
      </c>
      <c r="G132" s="12">
        <f t="shared" si="10"/>
        <v>4584.8353544941383</v>
      </c>
      <c r="H132" s="9"/>
      <c r="I132" s="12">
        <f t="shared" si="11"/>
        <v>6954.1172824642481</v>
      </c>
      <c r="J132" s="12">
        <f t="shared" si="12"/>
        <v>2515.4894885903518</v>
      </c>
      <c r="K132" s="12">
        <f t="shared" si="13"/>
        <v>310.90319521903257</v>
      </c>
    </row>
    <row r="133" spans="2:11" x14ac:dyDescent="0.25">
      <c r="B133" s="10">
        <v>129</v>
      </c>
      <c r="C133" s="11">
        <v>44020</v>
      </c>
      <c r="D133" s="12">
        <f t="shared" si="7"/>
        <v>181863.51254243875</v>
      </c>
      <c r="E133" s="12">
        <f t="shared" si="8"/>
        <v>92996.182549304081</v>
      </c>
      <c r="F133" s="12">
        <f t="shared" si="9"/>
        <v>39733.431368348422</v>
      </c>
      <c r="G133" s="12">
        <f t="shared" si="10"/>
        <v>4910.8735399082389</v>
      </c>
      <c r="H133" s="9"/>
      <c r="I133" s="12">
        <f t="shared" si="11"/>
        <v>7040.6609401322348</v>
      </c>
      <c r="J133" s="12">
        <f t="shared" si="12"/>
        <v>2637.9453183504461</v>
      </c>
      <c r="K133" s="12">
        <f t="shared" si="13"/>
        <v>326.03818541410044</v>
      </c>
    </row>
    <row r="134" spans="2:11" x14ac:dyDescent="0.25">
      <c r="B134" s="10">
        <v>130</v>
      </c>
      <c r="C134" s="11">
        <v>44021</v>
      </c>
      <c r="D134" s="12">
        <f t="shared" ref="D134:D197" si="14">D133-I134</f>
        <v>174767.15648586364</v>
      </c>
      <c r="E134" s="12">
        <f t="shared" ref="E134:E197" si="15">E133+I134-J134-K134</f>
        <v>96992.665854235704</v>
      </c>
      <c r="F134" s="12">
        <f t="shared" ref="F134:F156" si="16">F133+J134</f>
        <v>42492.318117311108</v>
      </c>
      <c r="G134" s="12">
        <f t="shared" ref="G134:G156" si="17">G133+K134</f>
        <v>5251.8595425890207</v>
      </c>
      <c r="H134" s="9"/>
      <c r="I134" s="12">
        <f t="shared" ref="I134:I156" si="18">E133*N$6*D133/SUM(D133:F133)*N$7</f>
        <v>7096.3560565751031</v>
      </c>
      <c r="J134" s="12">
        <f t="shared" ref="J134:J156" si="19">E133*N$8/N$5</f>
        <v>2758.8867489626873</v>
      </c>
      <c r="K134" s="12">
        <f t="shared" ref="K134:K156" si="20">E133*N$9/N$5</f>
        <v>340.98600268078195</v>
      </c>
    </row>
    <row r="135" spans="2:11" x14ac:dyDescent="0.25">
      <c r="B135" s="10">
        <v>131</v>
      </c>
      <c r="C135" s="11">
        <v>44022</v>
      </c>
      <c r="D135" s="12">
        <f t="shared" si="14"/>
        <v>167646.92024805007</v>
      </c>
      <c r="E135" s="12">
        <f t="shared" si="15"/>
        <v>100879.81323024142</v>
      </c>
      <c r="F135" s="12">
        <f t="shared" si="16"/>
        <v>45369.767204320102</v>
      </c>
      <c r="G135" s="12">
        <f t="shared" si="17"/>
        <v>5607.4993173878856</v>
      </c>
      <c r="H135" s="9"/>
      <c r="I135" s="12">
        <f t="shared" si="18"/>
        <v>7120.236237813574</v>
      </c>
      <c r="J135" s="12">
        <f t="shared" si="19"/>
        <v>2877.4490870089921</v>
      </c>
      <c r="K135" s="12">
        <f t="shared" si="20"/>
        <v>355.63977479886461</v>
      </c>
    </row>
    <row r="136" spans="2:11" x14ac:dyDescent="0.25">
      <c r="B136" s="10">
        <v>132</v>
      </c>
      <c r="C136" s="11">
        <v>44023</v>
      </c>
      <c r="D136" s="12">
        <f t="shared" si="14"/>
        <v>160534.99298675815</v>
      </c>
      <c r="E136" s="12">
        <f t="shared" si="15"/>
        <v>104629.08005052527</v>
      </c>
      <c r="F136" s="12">
        <f t="shared" si="16"/>
        <v>48362.534996817267</v>
      </c>
      <c r="G136" s="12">
        <f t="shared" si="17"/>
        <v>5977.3919658987716</v>
      </c>
      <c r="H136" s="9"/>
      <c r="I136" s="12">
        <f t="shared" si="18"/>
        <v>7111.9272612919031</v>
      </c>
      <c r="J136" s="12">
        <f t="shared" si="19"/>
        <v>2992.7677924971617</v>
      </c>
      <c r="K136" s="12">
        <f t="shared" si="20"/>
        <v>369.89264851088552</v>
      </c>
    </row>
    <row r="137" spans="2:11" x14ac:dyDescent="0.25">
      <c r="B137" s="10">
        <v>133</v>
      </c>
      <c r="C137" s="11">
        <v>44024</v>
      </c>
      <c r="D137" s="12">
        <f t="shared" si="14"/>
        <v>153463.32850079224</v>
      </c>
      <c r="E137" s="12">
        <f t="shared" si="15"/>
        <v>108213.10853480702</v>
      </c>
      <c r="F137" s="12">
        <f t="shared" si="16"/>
        <v>51466.531038316185</v>
      </c>
      <c r="G137" s="12">
        <f t="shared" si="17"/>
        <v>6361.0319260840315</v>
      </c>
      <c r="H137" s="9"/>
      <c r="I137" s="12">
        <f t="shared" si="18"/>
        <v>7071.6644859659227</v>
      </c>
      <c r="J137" s="12">
        <f t="shared" si="19"/>
        <v>3103.9960414989159</v>
      </c>
      <c r="K137" s="12">
        <f t="shared" si="20"/>
        <v>383.63996018525967</v>
      </c>
    </row>
    <row r="138" spans="2:11" x14ac:dyDescent="0.25">
      <c r="B138" s="10">
        <v>134</v>
      </c>
      <c r="C138" s="11">
        <v>44025</v>
      </c>
      <c r="D138" s="12">
        <f t="shared" si="14"/>
        <v>146463.04298219527</v>
      </c>
      <c r="E138" s="12">
        <f t="shared" si="15"/>
        <v>111606.29043557709</v>
      </c>
      <c r="F138" s="12">
        <f t="shared" si="16"/>
        <v>54676.853258182127</v>
      </c>
      <c r="G138" s="12">
        <f t="shared" si="17"/>
        <v>6757.8133240449906</v>
      </c>
      <c r="H138" s="9"/>
      <c r="I138" s="12">
        <f t="shared" si="18"/>
        <v>7000.2855185969738</v>
      </c>
      <c r="J138" s="12">
        <f t="shared" si="19"/>
        <v>3210.3222198659414</v>
      </c>
      <c r="K138" s="12">
        <f t="shared" si="20"/>
        <v>396.7813979609594</v>
      </c>
    </row>
    <row r="139" spans="2:11" x14ac:dyDescent="0.25">
      <c r="B139" s="10">
        <v>135</v>
      </c>
      <c r="C139" s="11">
        <v>44026</v>
      </c>
      <c r="D139" s="12">
        <f t="shared" si="14"/>
        <v>139563.84457639229</v>
      </c>
      <c r="E139" s="12">
        <f t="shared" si="15"/>
        <v>114785.27916019416</v>
      </c>
      <c r="F139" s="12">
        <f t="shared" si="16"/>
        <v>57987.839874437581</v>
      </c>
      <c r="G139" s="12">
        <f t="shared" si="17"/>
        <v>7167.0363889754399</v>
      </c>
      <c r="H139" s="9"/>
      <c r="I139" s="12">
        <f t="shared" si="18"/>
        <v>6899.198405802983</v>
      </c>
      <c r="J139" s="12">
        <f t="shared" si="19"/>
        <v>3310.9866162554531</v>
      </c>
      <c r="K139" s="12">
        <f t="shared" si="20"/>
        <v>409.22306493044965</v>
      </c>
    </row>
    <row r="140" spans="2:11" x14ac:dyDescent="0.25">
      <c r="B140" s="10">
        <v>136</v>
      </c>
      <c r="C140" s="11">
        <v>44027</v>
      </c>
      <c r="D140" s="12">
        <f t="shared" si="14"/>
        <v>132793.5172442662</v>
      </c>
      <c r="E140" s="12">
        <f t="shared" si="15"/>
        <v>117729.43052031378</v>
      </c>
      <c r="F140" s="12">
        <f t="shared" si="16"/>
        <v>61393.136489523342</v>
      </c>
      <c r="G140" s="12">
        <f t="shared" si="17"/>
        <v>7587.9157458961517</v>
      </c>
      <c r="H140" s="9"/>
      <c r="I140" s="12">
        <f t="shared" si="18"/>
        <v>6770.3273321260976</v>
      </c>
      <c r="J140" s="12">
        <f t="shared" si="19"/>
        <v>3405.2966150857596</v>
      </c>
      <c r="K140" s="12">
        <f t="shared" si="20"/>
        <v>420.87935692071227</v>
      </c>
    </row>
    <row r="141" spans="2:11" x14ac:dyDescent="0.25">
      <c r="B141" s="10">
        <v>137</v>
      </c>
      <c r="C141" s="11">
        <v>44028</v>
      </c>
      <c r="D141" s="12">
        <f t="shared" si="14"/>
        <v>126177.47791332501</v>
      </c>
      <c r="E141" s="12">
        <f t="shared" si="15"/>
        <v>120421.15550057784</v>
      </c>
      <c r="F141" s="12">
        <f t="shared" si="16"/>
        <v>64885.776261625986</v>
      </c>
      <c r="G141" s="12">
        <f t="shared" si="17"/>
        <v>8019.590324470636</v>
      </c>
      <c r="H141" s="9"/>
      <c r="I141" s="12">
        <f t="shared" si="18"/>
        <v>6616.0393309411929</v>
      </c>
      <c r="J141" s="12">
        <f t="shared" si="19"/>
        <v>3492.6397721026419</v>
      </c>
      <c r="K141" s="12">
        <f t="shared" si="20"/>
        <v>431.67457857448426</v>
      </c>
    </row>
    <row r="142" spans="2:11" x14ac:dyDescent="0.25">
      <c r="B142" s="10">
        <v>138</v>
      </c>
      <c r="C142" s="11">
        <v>44029</v>
      </c>
      <c r="D142" s="12">
        <f t="shared" si="14"/>
        <v>119738.42121393036</v>
      </c>
      <c r="E142" s="12">
        <f t="shared" si="15"/>
        <v>122846.17368328656</v>
      </c>
      <c r="F142" s="12">
        <f t="shared" si="16"/>
        <v>68458.270541476464</v>
      </c>
      <c r="G142" s="12">
        <f t="shared" si="17"/>
        <v>8461.1345613060876</v>
      </c>
      <c r="H142" s="9"/>
      <c r="I142" s="12">
        <f t="shared" si="18"/>
        <v>6439.0566993946559</v>
      </c>
      <c r="J142" s="12">
        <f t="shared" si="19"/>
        <v>3572.4942798504758</v>
      </c>
      <c r="K142" s="12">
        <f t="shared" si="20"/>
        <v>441.54423683545247</v>
      </c>
    </row>
    <row r="143" spans="2:11" x14ac:dyDescent="0.25">
      <c r="B143" s="10">
        <v>139</v>
      </c>
      <c r="C143" s="11">
        <v>44030</v>
      </c>
      <c r="D143" s="12">
        <f t="shared" si="14"/>
        <v>113496.06067429634</v>
      </c>
      <c r="E143" s="12">
        <f t="shared" si="15"/>
        <v>124993.66176681101</v>
      </c>
      <c r="F143" s="12">
        <f t="shared" si="16"/>
        <v>72102.70702741397</v>
      </c>
      <c r="G143" s="12">
        <f t="shared" si="17"/>
        <v>8911.5705314781389</v>
      </c>
      <c r="H143" s="9"/>
      <c r="I143" s="12">
        <f t="shared" si="18"/>
        <v>6242.3605396340072</v>
      </c>
      <c r="J143" s="12">
        <f t="shared" si="19"/>
        <v>3644.4364859375005</v>
      </c>
      <c r="K143" s="12">
        <f t="shared" si="20"/>
        <v>450.4359701720511</v>
      </c>
    </row>
    <row r="144" spans="2:11" x14ac:dyDescent="0.25">
      <c r="B144" s="10">
        <v>140</v>
      </c>
      <c r="C144" s="11">
        <v>44031</v>
      </c>
      <c r="D144" s="12">
        <f t="shared" si="14"/>
        <v>107466.969597555</v>
      </c>
      <c r="E144" s="12">
        <f t="shared" si="15"/>
        <v>126856.29745132533</v>
      </c>
      <c r="F144" s="12">
        <f t="shared" si="16"/>
        <v>75810.852326496024</v>
      </c>
      <c r="G144" s="12">
        <f t="shared" si="17"/>
        <v>9369.8806246231125</v>
      </c>
      <c r="H144" s="9"/>
      <c r="I144" s="12">
        <f t="shared" si="18"/>
        <v>6029.0910767413416</v>
      </c>
      <c r="J144" s="12">
        <f t="shared" si="19"/>
        <v>3708.1452990820599</v>
      </c>
      <c r="K144" s="12">
        <f t="shared" si="20"/>
        <v>458.31009314497413</v>
      </c>
    </row>
    <row r="145" spans="2:11" x14ac:dyDescent="0.25">
      <c r="B145" s="10">
        <v>141</v>
      </c>
      <c r="C145" s="11">
        <v>44032</v>
      </c>
      <c r="D145" s="12">
        <f t="shared" si="14"/>
        <v>101664.51945328496</v>
      </c>
      <c r="E145" s="12">
        <f t="shared" si="15"/>
        <v>128430.20434721786</v>
      </c>
      <c r="F145" s="12">
        <f t="shared" si="16"/>
        <v>79574.25581755201</v>
      </c>
      <c r="G145" s="12">
        <f t="shared" si="17"/>
        <v>9835.0203819446397</v>
      </c>
      <c r="H145" s="9"/>
      <c r="I145" s="12">
        <f t="shared" si="18"/>
        <v>5802.4501442700466</v>
      </c>
      <c r="J145" s="12">
        <f t="shared" si="19"/>
        <v>3763.4034910559844</v>
      </c>
      <c r="K145" s="12">
        <f t="shared" si="20"/>
        <v>465.13975732152659</v>
      </c>
    </row>
    <row r="146" spans="2:11" x14ac:dyDescent="0.25">
      <c r="B146" s="10">
        <v>142</v>
      </c>
      <c r="C146" s="11">
        <v>44033</v>
      </c>
      <c r="D146" s="12">
        <f t="shared" si="14"/>
        <v>96098.908899672591</v>
      </c>
      <c r="E146" s="12">
        <f t="shared" si="15"/>
        <v>129714.80808925629</v>
      </c>
      <c r="F146" s="12">
        <f t="shared" si="16"/>
        <v>83384.351879852809</v>
      </c>
      <c r="G146" s="12">
        <f t="shared" si="17"/>
        <v>10305.931131217772</v>
      </c>
      <c r="H146" s="9"/>
      <c r="I146" s="12">
        <f t="shared" si="18"/>
        <v>5565.6105536123587</v>
      </c>
      <c r="J146" s="12">
        <f t="shared" si="19"/>
        <v>3810.0960623007963</v>
      </c>
      <c r="K146" s="12">
        <f t="shared" si="20"/>
        <v>470.91074927313258</v>
      </c>
    </row>
    <row r="147" spans="2:11" x14ac:dyDescent="0.25">
      <c r="B147" s="10">
        <v>143</v>
      </c>
      <c r="C147" s="11">
        <v>44034</v>
      </c>
      <c r="D147" s="12">
        <f t="shared" si="14"/>
        <v>90777.27281252954</v>
      </c>
      <c r="E147" s="12">
        <f t="shared" si="15"/>
        <v>130712.61724009077</v>
      </c>
      <c r="F147" s="12">
        <f t="shared" si="16"/>
        <v>87232.557853167411</v>
      </c>
      <c r="G147" s="12">
        <f t="shared" si="17"/>
        <v>10781.552094211713</v>
      </c>
      <c r="H147" s="9"/>
      <c r="I147" s="12">
        <f t="shared" si="18"/>
        <v>5321.6360871430479</v>
      </c>
      <c r="J147" s="12">
        <f t="shared" si="19"/>
        <v>3848.2059733146025</v>
      </c>
      <c r="K147" s="12">
        <f t="shared" si="20"/>
        <v>475.62096299394017</v>
      </c>
    </row>
    <row r="148" spans="2:11" x14ac:dyDescent="0.25">
      <c r="B148" s="10">
        <v>144</v>
      </c>
      <c r="C148" s="11">
        <v>44035</v>
      </c>
      <c r="D148" s="12">
        <f t="shared" si="14"/>
        <v>85703.858101558741</v>
      </c>
      <c r="E148" s="12">
        <f t="shared" si="15"/>
        <v>131428.94470972518</v>
      </c>
      <c r="F148" s="12">
        <f t="shared" si="16"/>
        <v>91110.365497956765</v>
      </c>
      <c r="G148" s="12">
        <f t="shared" si="17"/>
        <v>11260.831690758712</v>
      </c>
      <c r="H148" s="9"/>
      <c r="I148" s="12">
        <f t="shared" si="18"/>
        <v>5073.4147109707947</v>
      </c>
      <c r="J148" s="12">
        <f t="shared" si="19"/>
        <v>3877.8076447893591</v>
      </c>
      <c r="K148" s="12">
        <f t="shared" si="20"/>
        <v>479.27959654699987</v>
      </c>
    </row>
    <row r="149" spans="2:11" x14ac:dyDescent="0.25">
      <c r="B149" s="10">
        <v>145</v>
      </c>
      <c r="C149" s="11">
        <v>44036</v>
      </c>
      <c r="D149" s="12">
        <f t="shared" si="14"/>
        <v>80880.251677350141</v>
      </c>
      <c r="E149" s="12">
        <f t="shared" si="15"/>
        <v>131871.5863102763</v>
      </c>
      <c r="F149" s="12">
        <f t="shared" si="16"/>
        <v>95009.424191011945</v>
      </c>
      <c r="G149" s="12">
        <f t="shared" si="17"/>
        <v>11742.737821361039</v>
      </c>
      <c r="H149" s="9"/>
      <c r="I149" s="12">
        <f t="shared" si="18"/>
        <v>4823.6064242086022</v>
      </c>
      <c r="J149" s="12">
        <f t="shared" si="19"/>
        <v>3899.0586930551799</v>
      </c>
      <c r="K149" s="12">
        <f t="shared" si="20"/>
        <v>481.90613060232607</v>
      </c>
    </row>
    <row r="150" spans="2:11" x14ac:dyDescent="0.25">
      <c r="B150" s="10">
        <v>146</v>
      </c>
      <c r="C150" s="11">
        <v>44037</v>
      </c>
      <c r="D150" s="12">
        <f t="shared" si="14"/>
        <v>76305.645614533874</v>
      </c>
      <c r="E150" s="12">
        <f t="shared" si="15"/>
        <v>132050.47282941666</v>
      </c>
      <c r="F150" s="12">
        <f t="shared" si="16"/>
        <v>98921.614584883471</v>
      </c>
      <c r="G150" s="12">
        <f t="shared" si="17"/>
        <v>12226.266971165385</v>
      </c>
      <c r="H150" s="9"/>
      <c r="I150" s="12">
        <f t="shared" si="18"/>
        <v>4574.6060628162631</v>
      </c>
      <c r="J150" s="12">
        <f t="shared" si="19"/>
        <v>3912.19039387153</v>
      </c>
      <c r="K150" s="12">
        <f t="shared" si="20"/>
        <v>483.52914980434684</v>
      </c>
    </row>
    <row r="151" spans="2:11" x14ac:dyDescent="0.25">
      <c r="B151" s="10">
        <v>147</v>
      </c>
      <c r="C151" s="11">
        <v>44038</v>
      </c>
      <c r="D151" s="12">
        <f t="shared" si="14"/>
        <v>71977.125172003143</v>
      </c>
      <c r="E151" s="12">
        <f t="shared" si="15"/>
        <v>131977.31084430017</v>
      </c>
      <c r="F151" s="12">
        <f t="shared" si="16"/>
        <v>102839.11194548949</v>
      </c>
      <c r="G151" s="12">
        <f t="shared" si="17"/>
        <v>12710.45203820658</v>
      </c>
      <c r="H151" s="9"/>
      <c r="I151" s="12">
        <f t="shared" si="18"/>
        <v>4328.5204425307347</v>
      </c>
      <c r="J151" s="12">
        <f t="shared" si="19"/>
        <v>3917.4973606060271</v>
      </c>
      <c r="K151" s="12">
        <f t="shared" si="20"/>
        <v>484.18506704119483</v>
      </c>
    </row>
    <row r="152" spans="2:11" x14ac:dyDescent="0.25">
      <c r="B152" s="10">
        <v>148</v>
      </c>
      <c r="C152" s="11">
        <v>44039</v>
      </c>
      <c r="D152" s="12">
        <f t="shared" si="14"/>
        <v>67889.966663941028</v>
      </c>
      <c r="E152" s="12">
        <f t="shared" si="15"/>
        <v>131665.22565755228</v>
      </c>
      <c r="F152" s="12">
        <f t="shared" si="16"/>
        <v>106754.4388338704</v>
      </c>
      <c r="G152" s="12">
        <f t="shared" si="17"/>
        <v>13194.368844635681</v>
      </c>
      <c r="H152" s="9"/>
      <c r="I152" s="12">
        <f t="shared" si="18"/>
        <v>4087.1585080621089</v>
      </c>
      <c r="J152" s="12">
        <f t="shared" si="19"/>
        <v>3915.3268883809046</v>
      </c>
      <c r="K152" s="12">
        <f t="shared" si="20"/>
        <v>483.91680642910103</v>
      </c>
    </row>
    <row r="153" spans="2:11" x14ac:dyDescent="0.25">
      <c r="B153" s="10">
        <v>149</v>
      </c>
      <c r="C153" s="11">
        <v>44040</v>
      </c>
      <c r="D153" s="12">
        <f t="shared" si="14"/>
        <v>64037.933991638893</v>
      </c>
      <c r="E153" s="12">
        <f t="shared" si="15"/>
        <v>131128.41747460267</v>
      </c>
      <c r="F153" s="12">
        <f t="shared" si="16"/>
        <v>110660.50719504445</v>
      </c>
      <c r="G153" s="12">
        <f t="shared" si="17"/>
        <v>13677.141338713373</v>
      </c>
      <c r="H153" s="9"/>
      <c r="I153" s="12">
        <f t="shared" si="18"/>
        <v>3852.0326723021381</v>
      </c>
      <c r="J153" s="12">
        <f t="shared" si="19"/>
        <v>3906.0683611740506</v>
      </c>
      <c r="K153" s="12">
        <f t="shared" si="20"/>
        <v>482.77249407769216</v>
      </c>
    </row>
    <row r="154" spans="2:11" x14ac:dyDescent="0.25">
      <c r="B154" s="10">
        <v>150</v>
      </c>
      <c r="C154" s="11">
        <v>44041</v>
      </c>
      <c r="D154" s="12">
        <f t="shared" si="14"/>
        <v>60413.56472177164</v>
      </c>
      <c r="E154" s="12">
        <f t="shared" si="15"/>
        <v>130381.8394953165</v>
      </c>
      <c r="F154" s="12">
        <f t="shared" si="16"/>
        <v>114550.650246791</v>
      </c>
      <c r="G154" s="12">
        <f t="shared" si="17"/>
        <v>14157.945536120249</v>
      </c>
      <c r="H154" s="9"/>
      <c r="I154" s="12">
        <f t="shared" si="18"/>
        <v>3624.3692698672535</v>
      </c>
      <c r="J154" s="12">
        <f t="shared" si="19"/>
        <v>3890.1430517465456</v>
      </c>
      <c r="K154" s="12">
        <f t="shared" si="20"/>
        <v>480.80419740687688</v>
      </c>
    </row>
    <row r="155" spans="2:11" x14ac:dyDescent="0.25">
      <c r="B155" s="10">
        <v>151</v>
      </c>
      <c r="C155" s="11">
        <v>44042</v>
      </c>
      <c r="D155" s="12">
        <f t="shared" si="14"/>
        <v>57008.438737486169</v>
      </c>
      <c r="E155" s="12">
        <f t="shared" si="15"/>
        <v>129440.90416309141</v>
      </c>
      <c r="F155" s="12">
        <f t="shared" si="16"/>
        <v>118418.64481848539</v>
      </c>
      <c r="G155" s="12">
        <f t="shared" si="17"/>
        <v>14636.012280936409</v>
      </c>
      <c r="H155" s="9"/>
      <c r="I155" s="12">
        <f t="shared" si="18"/>
        <v>3405.1259842854683</v>
      </c>
      <c r="J155" s="12">
        <f t="shared" si="19"/>
        <v>3867.9945716943889</v>
      </c>
      <c r="K155" s="12">
        <f t="shared" si="20"/>
        <v>478.06674481616091</v>
      </c>
    </row>
    <row r="156" spans="2:11" x14ac:dyDescent="0.25">
      <c r="B156" s="10">
        <v>152</v>
      </c>
      <c r="C156" s="13">
        <v>44043</v>
      </c>
      <c r="D156" s="12">
        <f t="shared" si="14"/>
        <v>53813.424540811495</v>
      </c>
      <c r="E156" s="12">
        <f t="shared" si="15"/>
        <v>128321.22155432972</v>
      </c>
      <c r="F156" s="12">
        <f t="shared" si="16"/>
        <v>122258.72497532377</v>
      </c>
      <c r="G156" s="12">
        <f t="shared" si="17"/>
        <v>15110.628929534412</v>
      </c>
      <c r="H156" s="9"/>
      <c r="I156" s="12">
        <f t="shared" si="18"/>
        <v>3195.014196674676</v>
      </c>
      <c r="J156" s="12">
        <f t="shared" si="19"/>
        <v>3840.0801568383781</v>
      </c>
      <c r="K156" s="12">
        <f t="shared" si="20"/>
        <v>474.61664859800226</v>
      </c>
    </row>
    <row r="157" spans="2:11" x14ac:dyDescent="0.25">
      <c r="B157" s="10">
        <v>153</v>
      </c>
      <c r="C157" s="21">
        <v>44044</v>
      </c>
      <c r="D157" s="12">
        <f t="shared" si="14"/>
        <v>50818.900139562247</v>
      </c>
      <c r="E157" s="12">
        <f t="shared" si="15"/>
        <v>127038.37190376798</v>
      </c>
      <c r="F157" s="12">
        <f t="shared" ref="F157:F204" si="21">F156+J157</f>
        <v>126065.58788143555</v>
      </c>
      <c r="G157" s="12">
        <f t="shared" ref="G157:G204" si="22">G156+K157</f>
        <v>15581.140075233621</v>
      </c>
      <c r="H157" s="9"/>
      <c r="I157" s="12">
        <f t="shared" ref="I157:I204" si="23">E156*N$6*D156/SUM(D156:F156)*N$7</f>
        <v>2994.5244012492512</v>
      </c>
      <c r="J157" s="12">
        <f t="shared" ref="J157:J204" si="24">E156*N$8/N$5</f>
        <v>3806.8629061117813</v>
      </c>
      <c r="K157" s="12">
        <f t="shared" ref="K157:K204" si="25">E156*N$9/N$5</f>
        <v>470.51114569920935</v>
      </c>
    </row>
    <row r="158" spans="2:11" x14ac:dyDescent="0.25">
      <c r="B158" s="10">
        <v>154</v>
      </c>
      <c r="C158" s="21">
        <v>44045</v>
      </c>
      <c r="D158" s="12">
        <f t="shared" si="14"/>
        <v>48014.947042650041</v>
      </c>
      <c r="E158" s="12">
        <f t="shared" si="15"/>
        <v>125607.71260388791</v>
      </c>
      <c r="F158" s="12">
        <f t="shared" si="21"/>
        <v>129834.39291458068</v>
      </c>
      <c r="G158" s="12">
        <f t="shared" si="22"/>
        <v>16046.94743888077</v>
      </c>
      <c r="H158" s="9"/>
      <c r="I158" s="12">
        <f t="shared" si="23"/>
        <v>2803.9530969122029</v>
      </c>
      <c r="J158" s="12">
        <f t="shared" si="24"/>
        <v>3768.8050331451163</v>
      </c>
      <c r="K158" s="12">
        <f t="shared" si="25"/>
        <v>465.80736364714971</v>
      </c>
    </row>
    <row r="159" spans="2:11" x14ac:dyDescent="0.25">
      <c r="B159" s="10">
        <v>155</v>
      </c>
      <c r="C159" s="21">
        <v>44046</v>
      </c>
      <c r="D159" s="12">
        <f t="shared" si="14"/>
        <v>45391.517184731551</v>
      </c>
      <c r="E159" s="12">
        <f t="shared" si="15"/>
        <v>124044.21870834347</v>
      </c>
      <c r="F159" s="12">
        <f t="shared" si="21"/>
        <v>133560.75505516268</v>
      </c>
      <c r="G159" s="12">
        <f t="shared" si="22"/>
        <v>16507.509051761692</v>
      </c>
      <c r="H159" s="9"/>
      <c r="I159" s="12">
        <f t="shared" si="23"/>
        <v>2623.4298579184901</v>
      </c>
      <c r="J159" s="12">
        <f t="shared" si="24"/>
        <v>3726.3621405820077</v>
      </c>
      <c r="K159" s="12">
        <f t="shared" si="25"/>
        <v>460.56161288092272</v>
      </c>
    </row>
    <row r="160" spans="2:11" x14ac:dyDescent="0.25">
      <c r="B160" s="10">
        <v>156</v>
      </c>
      <c r="C160" s="21">
        <v>44047</v>
      </c>
      <c r="D160" s="12">
        <f t="shared" si="14"/>
        <v>42938.573603385157</v>
      </c>
      <c r="E160" s="12">
        <f t="shared" si="15"/>
        <v>122362.35499941175</v>
      </c>
      <c r="F160" s="12">
        <f t="shared" si="21"/>
        <v>137240.7335435102</v>
      </c>
      <c r="G160" s="12">
        <f t="shared" si="22"/>
        <v>16962.337853692286</v>
      </c>
      <c r="H160" s="9"/>
      <c r="I160" s="12">
        <f t="shared" si="23"/>
        <v>2452.9435813463961</v>
      </c>
      <c r="J160" s="12">
        <f t="shared" si="24"/>
        <v>3679.9784883475227</v>
      </c>
      <c r="K160" s="12">
        <f t="shared" si="25"/>
        <v>454.8288019305931</v>
      </c>
    </row>
    <row r="161" spans="2:11" x14ac:dyDescent="0.25">
      <c r="B161" s="10">
        <v>157</v>
      </c>
      <c r="C161" s="21">
        <v>44048</v>
      </c>
      <c r="D161" s="12">
        <f t="shared" si="14"/>
        <v>40646.206419017624</v>
      </c>
      <c r="E161" s="12">
        <f t="shared" si="15"/>
        <v>120575.97701713223</v>
      </c>
      <c r="F161" s="12">
        <f t="shared" si="21"/>
        <v>140870.81674182607</v>
      </c>
      <c r="G161" s="12">
        <f t="shared" si="22"/>
        <v>17410.999822023463</v>
      </c>
      <c r="H161" s="9"/>
      <c r="I161" s="12">
        <f t="shared" si="23"/>
        <v>2292.3671843675334</v>
      </c>
      <c r="J161" s="12">
        <f t="shared" si="24"/>
        <v>3630.0831983158814</v>
      </c>
      <c r="K161" s="12">
        <f t="shared" si="25"/>
        <v>448.66196833117681</v>
      </c>
    </row>
    <row r="162" spans="2:11" x14ac:dyDescent="0.25">
      <c r="B162" s="10">
        <v>158</v>
      </c>
      <c r="C162" s="21">
        <v>44049</v>
      </c>
      <c r="D162" s="12">
        <f t="shared" si="14"/>
        <v>38504.726151839655</v>
      </c>
      <c r="E162" s="12">
        <f t="shared" si="15"/>
        <v>118698.2580504058</v>
      </c>
      <c r="F162" s="12">
        <f t="shared" si="21"/>
        <v>144447.90406000099</v>
      </c>
      <c r="G162" s="12">
        <f t="shared" si="22"/>
        <v>17853.111737752948</v>
      </c>
      <c r="H162" s="9"/>
      <c r="I162" s="12">
        <f t="shared" si="23"/>
        <v>2141.4802671779712</v>
      </c>
      <c r="J162" s="12">
        <f t="shared" si="24"/>
        <v>3577.0873181749221</v>
      </c>
      <c r="K162" s="12">
        <f t="shared" si="25"/>
        <v>442.11191572948525</v>
      </c>
    </row>
    <row r="163" spans="2:11" x14ac:dyDescent="0.25">
      <c r="B163" s="10">
        <v>159</v>
      </c>
      <c r="C163" s="21">
        <v>44050</v>
      </c>
      <c r="D163" s="12">
        <f t="shared" si="14"/>
        <v>36504.736690385005</v>
      </c>
      <c r="E163" s="12">
        <f t="shared" si="15"/>
        <v>116741.63891018026</v>
      </c>
      <c r="F163" s="12">
        <f t="shared" si="21"/>
        <v>147969.28571549637</v>
      </c>
      <c r="G163" s="12">
        <f t="shared" si="22"/>
        <v>18288.338683937771</v>
      </c>
      <c r="H163" s="9"/>
      <c r="I163" s="12">
        <f t="shared" si="23"/>
        <v>1999.9894614546531</v>
      </c>
      <c r="J163" s="12">
        <f t="shared" si="24"/>
        <v>3521.3816554953719</v>
      </c>
      <c r="K163" s="12">
        <f t="shared" si="25"/>
        <v>435.22694618482166</v>
      </c>
    </row>
    <row r="164" spans="2:11" x14ac:dyDescent="0.25">
      <c r="B164" s="10">
        <v>160</v>
      </c>
      <c r="C164" s="21">
        <v>44051</v>
      </c>
      <c r="D164" s="12">
        <f t="shared" si="14"/>
        <v>34637.190342631198</v>
      </c>
      <c r="E164" s="12">
        <f t="shared" si="15"/>
        <v>114717.79729426139</v>
      </c>
      <c r="F164" s="12">
        <f t="shared" si="21"/>
        <v>151432.62100316506</v>
      </c>
      <c r="G164" s="12">
        <f t="shared" si="22"/>
        <v>18716.391359941765</v>
      </c>
      <c r="H164" s="9"/>
      <c r="I164" s="12">
        <f t="shared" si="23"/>
        <v>1867.5463477538049</v>
      </c>
      <c r="J164" s="12">
        <f t="shared" si="24"/>
        <v>3463.3352876686808</v>
      </c>
      <c r="K164" s="12">
        <f t="shared" si="25"/>
        <v>428.05267600399469</v>
      </c>
    </row>
    <row r="165" spans="2:11" x14ac:dyDescent="0.25">
      <c r="B165" s="10">
        <v>161</v>
      </c>
      <c r="C165" s="21">
        <v>44052</v>
      </c>
      <c r="D165" s="12">
        <f t="shared" si="14"/>
        <v>32893.427392400343</v>
      </c>
      <c r="E165" s="12">
        <f t="shared" si="15"/>
        <v>112637.63366801686</v>
      </c>
      <c r="F165" s="12">
        <f t="shared" si="21"/>
        <v>154835.91565622814</v>
      </c>
      <c r="G165" s="12">
        <f t="shared" si="22"/>
        <v>19137.023283354058</v>
      </c>
      <c r="H165" s="9"/>
      <c r="I165" s="12">
        <f t="shared" si="23"/>
        <v>1743.7629502308534</v>
      </c>
      <c r="J165" s="12">
        <f t="shared" si="24"/>
        <v>3403.2946530630875</v>
      </c>
      <c r="K165" s="12">
        <f t="shared" si="25"/>
        <v>420.63192341229211</v>
      </c>
    </row>
    <row r="166" spans="2:11" x14ac:dyDescent="0.25">
      <c r="B166" s="10">
        <v>162</v>
      </c>
      <c r="C166" s="21">
        <v>44053</v>
      </c>
      <c r="D166" s="12">
        <f t="shared" si="14"/>
        <v>31265.202484962607</v>
      </c>
      <c r="E166" s="12">
        <f t="shared" si="15"/>
        <v>110511.2707865207</v>
      </c>
      <c r="F166" s="12">
        <f t="shared" si="21"/>
        <v>158177.49878837931</v>
      </c>
      <c r="G166" s="12">
        <f t="shared" si="22"/>
        <v>19550.027940136788</v>
      </c>
      <c r="H166" s="9"/>
      <c r="I166" s="12">
        <f t="shared" si="23"/>
        <v>1628.2249074377362</v>
      </c>
      <c r="J166" s="12">
        <f t="shared" si="24"/>
        <v>3341.5831321511664</v>
      </c>
      <c r="K166" s="12">
        <f t="shared" si="25"/>
        <v>413.00465678272883</v>
      </c>
    </row>
    <row r="167" spans="2:11" x14ac:dyDescent="0.25">
      <c r="B167" s="10">
        <v>163</v>
      </c>
      <c r="C167" s="21">
        <v>44054</v>
      </c>
      <c r="D167" s="12">
        <f t="shared" si="14"/>
        <v>29744.700006114137</v>
      </c>
      <c r="E167" s="12">
        <f t="shared" si="15"/>
        <v>108348.06423915182</v>
      </c>
      <c r="F167" s="12">
        <f t="shared" si="21"/>
        <v>161455.99982171276</v>
      </c>
      <c r="G167" s="12">
        <f t="shared" si="22"/>
        <v>19955.235933020696</v>
      </c>
      <c r="H167" s="9"/>
      <c r="I167" s="12">
        <f t="shared" si="23"/>
        <v>1520.5024788484691</v>
      </c>
      <c r="J167" s="12">
        <f t="shared" si="24"/>
        <v>3278.5010333334476</v>
      </c>
      <c r="K167" s="12">
        <f t="shared" si="25"/>
        <v>405.20799288390958</v>
      </c>
    </row>
    <row r="168" spans="2:11" x14ac:dyDescent="0.25">
      <c r="B168" s="10">
        <v>164</v>
      </c>
      <c r="C168" s="21">
        <v>44055</v>
      </c>
      <c r="D168" s="12">
        <f t="shared" si="14"/>
        <v>28324.54042250213</v>
      </c>
      <c r="E168" s="12">
        <f t="shared" si="15"/>
        <v>106156.62168145877</v>
      </c>
      <c r="F168" s="12">
        <f t="shared" si="21"/>
        <v>164670.32572747426</v>
      </c>
      <c r="G168" s="12">
        <f t="shared" si="22"/>
        <v>20352.512168564252</v>
      </c>
      <c r="H168" s="9"/>
      <c r="I168" s="12">
        <f t="shared" si="23"/>
        <v>1420.1595836120061</v>
      </c>
      <c r="J168" s="12">
        <f t="shared" si="24"/>
        <v>3214.3259057615037</v>
      </c>
      <c r="K168" s="12">
        <f t="shared" si="25"/>
        <v>397.27623554355705</v>
      </c>
    </row>
    <row r="169" spans="2:11" x14ac:dyDescent="0.25">
      <c r="B169" s="10">
        <v>165</v>
      </c>
      <c r="C169" s="21">
        <v>44056</v>
      </c>
      <c r="D169" s="12">
        <f t="shared" si="14"/>
        <v>26997.779336430689</v>
      </c>
      <c r="E169" s="12">
        <f t="shared" si="15"/>
        <v>103944.82871148158</v>
      </c>
      <c r="F169" s="12">
        <f t="shared" si="21"/>
        <v>167819.63883735755</v>
      </c>
      <c r="G169" s="12">
        <f t="shared" si="22"/>
        <v>20741.753114729599</v>
      </c>
      <c r="H169" s="9"/>
      <c r="I169" s="12">
        <f t="shared" si="23"/>
        <v>1326.761086071441</v>
      </c>
      <c r="J169" s="12">
        <f t="shared" si="24"/>
        <v>3149.3131098832764</v>
      </c>
      <c r="K169" s="12">
        <f t="shared" si="25"/>
        <v>389.24094616534916</v>
      </c>
    </row>
    <row r="170" spans="2:11" x14ac:dyDescent="0.25">
      <c r="B170" s="10">
        <v>166</v>
      </c>
      <c r="C170" s="21">
        <v>44057</v>
      </c>
      <c r="D170" s="12">
        <f t="shared" si="14"/>
        <v>25757.900789886222</v>
      </c>
      <c r="E170" s="12">
        <f t="shared" si="15"/>
        <v>101719.87963430998</v>
      </c>
      <c r="F170" s="12">
        <f t="shared" si="21"/>
        <v>170903.33542246482</v>
      </c>
      <c r="G170" s="12">
        <f t="shared" si="22"/>
        <v>21122.884153338364</v>
      </c>
      <c r="H170" s="9"/>
      <c r="I170" s="12">
        <f t="shared" si="23"/>
        <v>1239.8785465444676</v>
      </c>
      <c r="J170" s="12">
        <f t="shared" si="24"/>
        <v>3083.6965851072864</v>
      </c>
      <c r="K170" s="12">
        <f t="shared" si="25"/>
        <v>381.13103860876612</v>
      </c>
    </row>
    <row r="171" spans="2:11" x14ac:dyDescent="0.25">
      <c r="B171" s="10">
        <v>167</v>
      </c>
      <c r="C171" s="21">
        <v>44058</v>
      </c>
      <c r="D171" s="12">
        <f t="shared" si="14"/>
        <v>24598.806140105979</v>
      </c>
      <c r="E171" s="12">
        <f t="shared" si="15"/>
        <v>99488.311629613221</v>
      </c>
      <c r="F171" s="12">
        <f t="shared" si="21"/>
        <v>173921.02518494934</v>
      </c>
      <c r="G171" s="12">
        <f t="shared" si="22"/>
        <v>21495.857045330835</v>
      </c>
      <c r="H171" s="9"/>
      <c r="I171" s="12">
        <f t="shared" si="23"/>
        <v>1159.0946497802429</v>
      </c>
      <c r="J171" s="12">
        <f t="shared" si="24"/>
        <v>3017.6897624845292</v>
      </c>
      <c r="K171" s="12">
        <f t="shared" si="25"/>
        <v>372.97289199247024</v>
      </c>
    </row>
    <row r="172" spans="2:11" x14ac:dyDescent="0.25">
      <c r="B172" s="10">
        <v>168</v>
      </c>
      <c r="C172" s="21">
        <v>44059</v>
      </c>
      <c r="D172" s="12">
        <f t="shared" si="14"/>
        <v>23514.79962938813</v>
      </c>
      <c r="E172" s="12">
        <f t="shared" si="15"/>
        <v>97256.041086010635</v>
      </c>
      <c r="F172" s="12">
        <f t="shared" si="21"/>
        <v>176872.51176329452</v>
      </c>
      <c r="G172" s="12">
        <f t="shared" si="22"/>
        <v>21860.647521306084</v>
      </c>
      <c r="H172" s="9"/>
      <c r="I172" s="12">
        <f t="shared" si="23"/>
        <v>1084.0065107178502</v>
      </c>
      <c r="J172" s="12">
        <f t="shared" si="24"/>
        <v>2951.4865783451919</v>
      </c>
      <c r="K172" s="12">
        <f t="shared" si="25"/>
        <v>364.7904759752488</v>
      </c>
    </row>
    <row r="173" spans="2:11" x14ac:dyDescent="0.25">
      <c r="B173" s="10">
        <v>169</v>
      </c>
      <c r="C173" s="21">
        <v>44060</v>
      </c>
      <c r="D173" s="12">
        <f t="shared" si="14"/>
        <v>22500.571589087984</v>
      </c>
      <c r="E173" s="12">
        <f t="shared" si="15"/>
        <v>95028.401090110419</v>
      </c>
      <c r="F173" s="12">
        <f t="shared" si="21"/>
        <v>179757.77431551283</v>
      </c>
      <c r="G173" s="12">
        <f t="shared" si="22"/>
        <v>22217.253005288123</v>
      </c>
      <c r="H173" s="9"/>
      <c r="I173" s="12">
        <f t="shared" si="23"/>
        <v>1014.2280403001453</v>
      </c>
      <c r="J173" s="12">
        <f t="shared" si="24"/>
        <v>2885.2625522183152</v>
      </c>
      <c r="K173" s="12">
        <f t="shared" si="25"/>
        <v>356.60548398203929</v>
      </c>
    </row>
    <row r="174" spans="2:11" x14ac:dyDescent="0.25">
      <c r="B174" s="10">
        <v>170</v>
      </c>
      <c r="C174" s="21">
        <v>44061</v>
      </c>
      <c r="D174" s="12">
        <f t="shared" si="14"/>
        <v>21551.180053942731</v>
      </c>
      <c r="E174" s="12">
        <f t="shared" si="15"/>
        <v>92810.179255585317</v>
      </c>
      <c r="F174" s="12">
        <f t="shared" si="21"/>
        <v>182576.95021451943</v>
      </c>
      <c r="G174" s="12">
        <f t="shared" si="22"/>
        <v>22565.690475951862</v>
      </c>
      <c r="H174" s="9"/>
      <c r="I174" s="12">
        <f t="shared" si="23"/>
        <v>949.39153514525094</v>
      </c>
      <c r="J174" s="12">
        <f t="shared" si="24"/>
        <v>2819.1758990066087</v>
      </c>
      <c r="K174" s="12">
        <f t="shared" si="25"/>
        <v>348.43747066373851</v>
      </c>
    </row>
    <row r="175" spans="2:11" x14ac:dyDescent="0.25">
      <c r="B175" s="10">
        <v>171</v>
      </c>
      <c r="C175" s="21">
        <v>44062</v>
      </c>
      <c r="D175" s="12">
        <f t="shared" si="14"/>
        <v>20662.031418631912</v>
      </c>
      <c r="E175" s="12">
        <f t="shared" si="15"/>
        <v>90605.655249043295</v>
      </c>
      <c r="F175" s="12">
        <f t="shared" si="21"/>
        <v>185330.31886576847</v>
      </c>
      <c r="G175" s="12">
        <f t="shared" si="22"/>
        <v>22905.994466555676</v>
      </c>
      <c r="H175" s="9"/>
      <c r="I175" s="12">
        <f t="shared" si="23"/>
        <v>889.14863531081846</v>
      </c>
      <c r="J175" s="12">
        <f t="shared" si="24"/>
        <v>2753.3686512490308</v>
      </c>
      <c r="K175" s="12">
        <f t="shared" si="25"/>
        <v>340.30399060381313</v>
      </c>
    </row>
    <row r="176" spans="2:11" x14ac:dyDescent="0.25">
      <c r="B176" s="10">
        <v>172</v>
      </c>
      <c r="C176" s="21">
        <v>44063</v>
      </c>
      <c r="D176" s="12">
        <f t="shared" si="14"/>
        <v>19828.860643405478</v>
      </c>
      <c r="E176" s="12">
        <f t="shared" si="15"/>
        <v>88418.637515968294</v>
      </c>
      <c r="F176" s="12">
        <f t="shared" si="21"/>
        <v>188018.28663815674</v>
      </c>
      <c r="G176" s="12">
        <f t="shared" si="22"/>
        <v>23238.215202468837</v>
      </c>
      <c r="H176" s="9"/>
      <c r="I176" s="12">
        <f t="shared" si="23"/>
        <v>833.17077522643342</v>
      </c>
      <c r="J176" s="12">
        <f t="shared" si="24"/>
        <v>2687.9677723882842</v>
      </c>
      <c r="K176" s="12">
        <f t="shared" si="25"/>
        <v>332.22073591315905</v>
      </c>
    </row>
    <row r="177" spans="2:11" x14ac:dyDescent="0.25">
      <c r="B177" s="10">
        <v>173</v>
      </c>
      <c r="C177" s="21">
        <v>44064</v>
      </c>
      <c r="D177" s="12">
        <f t="shared" si="14"/>
        <v>19047.711408615385</v>
      </c>
      <c r="E177" s="12">
        <f t="shared" si="15"/>
        <v>86252.498833559439</v>
      </c>
      <c r="F177" s="12">
        <f t="shared" si="21"/>
        <v>190641.37288446381</v>
      </c>
      <c r="G177" s="12">
        <f t="shared" si="22"/>
        <v>23562.416873360722</v>
      </c>
      <c r="H177" s="9"/>
      <c r="I177" s="12">
        <f t="shared" si="23"/>
        <v>781.14923479009292</v>
      </c>
      <c r="J177" s="12">
        <f t="shared" si="24"/>
        <v>2623.0862463070589</v>
      </c>
      <c r="K177" s="12">
        <f t="shared" si="25"/>
        <v>324.20167089188402</v>
      </c>
    </row>
    <row r="178" spans="2:11" x14ac:dyDescent="0.25">
      <c r="B178" s="10">
        <v>174</v>
      </c>
      <c r="C178" s="21">
        <v>44065</v>
      </c>
      <c r="D178" s="12">
        <f t="shared" si="14"/>
        <v>18314.91652758553</v>
      </c>
      <c r="E178" s="12">
        <f t="shared" si="15"/>
        <v>84110.210420137315</v>
      </c>
      <c r="F178" s="12">
        <f t="shared" si="21"/>
        <v>193200.19701652607</v>
      </c>
      <c r="G178" s="12">
        <f t="shared" si="22"/>
        <v>23878.676035750439</v>
      </c>
      <c r="H178" s="9"/>
      <c r="I178" s="12">
        <f t="shared" si="23"/>
        <v>732.79488102985442</v>
      </c>
      <c r="J178" s="12">
        <f t="shared" si="24"/>
        <v>2558.8241320622628</v>
      </c>
      <c r="K178" s="12">
        <f t="shared" si="25"/>
        <v>316.2591623897182</v>
      </c>
    </row>
    <row r="179" spans="2:11" x14ac:dyDescent="0.25">
      <c r="B179" s="10">
        <v>175</v>
      </c>
      <c r="C179" s="21">
        <v>44066</v>
      </c>
      <c r="D179" s="12">
        <f t="shared" si="14"/>
        <v>17627.078851758961</v>
      </c>
      <c r="E179" s="12">
        <f t="shared" si="15"/>
        <v>81994.374415292637</v>
      </c>
      <c r="F179" s="12">
        <f t="shared" si="21"/>
        <v>195695.46659232347</v>
      </c>
      <c r="G179" s="12">
        <f t="shared" si="22"/>
        <v>24187.080140624275</v>
      </c>
      <c r="H179" s="9"/>
      <c r="I179" s="12">
        <f t="shared" si="23"/>
        <v>687.8376758265706</v>
      </c>
      <c r="J179" s="12">
        <f t="shared" si="24"/>
        <v>2495.2695757974066</v>
      </c>
      <c r="K179" s="12">
        <f t="shared" si="25"/>
        <v>308.40410487383713</v>
      </c>
    </row>
    <row r="180" spans="2:11" x14ac:dyDescent="0.25">
      <c r="B180" s="10">
        <v>176</v>
      </c>
      <c r="C180" s="21">
        <v>44067</v>
      </c>
      <c r="D180" s="12">
        <f t="shared" si="14"/>
        <v>16981.052839718213</v>
      </c>
      <c r="E180" s="12">
        <f t="shared" si="15"/>
        <v>79907.25461349031</v>
      </c>
      <c r="F180" s="12">
        <f t="shared" si="21"/>
        <v>198127.96636664381</v>
      </c>
      <c r="G180" s="12">
        <f t="shared" si="22"/>
        <v>24487.726180147016</v>
      </c>
      <c r="H180" s="9"/>
      <c r="I180" s="12">
        <f t="shared" si="23"/>
        <v>646.02601204074847</v>
      </c>
      <c r="J180" s="12">
        <f t="shared" si="24"/>
        <v>2432.499774320348</v>
      </c>
      <c r="K180" s="12">
        <f t="shared" si="25"/>
        <v>300.6460395227399</v>
      </c>
    </row>
    <row r="181" spans="2:11" x14ac:dyDescent="0.25">
      <c r="B181" s="10">
        <v>177</v>
      </c>
      <c r="C181" s="21">
        <v>44068</v>
      </c>
      <c r="D181" s="12">
        <f t="shared" si="14"/>
        <v>16373.926910766872</v>
      </c>
      <c r="E181" s="12">
        <f t="shared" si="15"/>
        <v>77850.805388658642</v>
      </c>
      <c r="F181" s="12">
        <f t="shared" si="21"/>
        <v>200498.5482535107</v>
      </c>
      <c r="G181" s="12">
        <f t="shared" si="22"/>
        <v>24780.719447063148</v>
      </c>
      <c r="H181" s="9"/>
      <c r="I181" s="12">
        <f t="shared" si="23"/>
        <v>607.12592895134253</v>
      </c>
      <c r="J181" s="12">
        <f t="shared" si="24"/>
        <v>2370.5818868668789</v>
      </c>
      <c r="K181" s="12">
        <f t="shared" si="25"/>
        <v>292.9932669161314</v>
      </c>
    </row>
    <row r="182" spans="2:11" x14ac:dyDescent="0.25">
      <c r="B182" s="10">
        <v>178</v>
      </c>
      <c r="C182" s="21">
        <v>44069</v>
      </c>
      <c r="D182" s="12">
        <f t="shared" si="14"/>
        <v>15803.006662667556</v>
      </c>
      <c r="E182" s="12">
        <f t="shared" si="15"/>
        <v>75826.698790469338</v>
      </c>
      <c r="F182" s="12">
        <f t="shared" si="21"/>
        <v>202808.12214670758</v>
      </c>
      <c r="G182" s="12">
        <f t="shared" si="22"/>
        <v>25066.172400154897</v>
      </c>
      <c r="H182" s="9"/>
      <c r="I182" s="12">
        <f t="shared" si="23"/>
        <v>570.92024809931604</v>
      </c>
      <c r="J182" s="12">
        <f t="shared" si="24"/>
        <v>2309.5738931968726</v>
      </c>
      <c r="K182" s="12">
        <f t="shared" si="25"/>
        <v>285.45295309174861</v>
      </c>
    </row>
    <row r="183" spans="2:11" x14ac:dyDescent="0.25">
      <c r="B183" s="10">
        <v>179</v>
      </c>
      <c r="C183" s="21">
        <v>44070</v>
      </c>
      <c r="D183" s="12">
        <f t="shared" si="14"/>
        <v>15265.799000367595</v>
      </c>
      <c r="E183" s="12">
        <f t="shared" si="15"/>
        <v>73836.349826420323</v>
      </c>
      <c r="F183" s="12">
        <f t="shared" si="21"/>
        <v>205057.64754415816</v>
      </c>
      <c r="G183" s="12">
        <f t="shared" si="22"/>
        <v>25344.203629053285</v>
      </c>
      <c r="H183" s="9"/>
      <c r="I183" s="12">
        <f t="shared" si="23"/>
        <v>537.20766229996048</v>
      </c>
      <c r="J183" s="12">
        <f t="shared" si="24"/>
        <v>2249.5253974505899</v>
      </c>
      <c r="K183" s="12">
        <f t="shared" si="25"/>
        <v>278.03122889838784</v>
      </c>
    </row>
    <row r="184" spans="2:11" x14ac:dyDescent="0.25">
      <c r="B184" s="10">
        <v>180</v>
      </c>
      <c r="C184" s="21">
        <v>44071</v>
      </c>
      <c r="D184" s="12">
        <f t="shared" si="14"/>
        <v>14759.997196774621</v>
      </c>
      <c r="E184" s="12">
        <f t="shared" si="15"/>
        <v>71880.939969132611</v>
      </c>
      <c r="F184" s="12">
        <f t="shared" si="21"/>
        <v>207248.12592234195</v>
      </c>
      <c r="G184" s="12">
        <f t="shared" si="22"/>
        <v>25614.936911750159</v>
      </c>
      <c r="H184" s="9"/>
      <c r="I184" s="12">
        <f t="shared" si="23"/>
        <v>505.80180359297452</v>
      </c>
      <c r="J184" s="12">
        <f t="shared" si="24"/>
        <v>2190.4783781838028</v>
      </c>
      <c r="K184" s="12">
        <f t="shared" si="25"/>
        <v>270.73328269687477</v>
      </c>
    </row>
    <row r="185" spans="2:11" x14ac:dyDescent="0.25">
      <c r="B185" s="10">
        <v>181</v>
      </c>
      <c r="C185" s="21">
        <v>44072</v>
      </c>
      <c r="D185" s="12">
        <f t="shared" si="14"/>
        <v>14283.466886693608</v>
      </c>
      <c r="E185" s="12">
        <f t="shared" si="15"/>
        <v>69961.438946909213</v>
      </c>
      <c r="F185" s="12">
        <f t="shared" si="21"/>
        <v>209380.59380809288</v>
      </c>
      <c r="G185" s="12">
        <f t="shared" si="22"/>
        <v>25878.500358303645</v>
      </c>
      <c r="H185" s="9"/>
      <c r="I185" s="12">
        <f t="shared" si="23"/>
        <v>476.53031008101283</v>
      </c>
      <c r="J185" s="12">
        <f t="shared" si="24"/>
        <v>2132.4678857509339</v>
      </c>
      <c r="K185" s="12">
        <f t="shared" si="25"/>
        <v>263.56344655348647</v>
      </c>
    </row>
    <row r="186" spans="2:11" x14ac:dyDescent="0.25">
      <c r="B186" s="10">
        <v>182</v>
      </c>
      <c r="C186" s="21">
        <v>44073</v>
      </c>
      <c r="D186" s="12">
        <f t="shared" si="14"/>
        <v>13834.232979881293</v>
      </c>
      <c r="E186" s="12">
        <f t="shared" si="15"/>
        <v>68078.624888824546</v>
      </c>
      <c r="F186" s="12">
        <f t="shared" si="21"/>
        <v>211456.11649685117</v>
      </c>
      <c r="G186" s="12">
        <f t="shared" si="22"/>
        <v>26135.025634442314</v>
      </c>
      <c r="H186" s="9"/>
      <c r="I186" s="12">
        <f t="shared" si="23"/>
        <v>449.23390681231547</v>
      </c>
      <c r="J186" s="12">
        <f t="shared" si="24"/>
        <v>2075.5226887583062</v>
      </c>
      <c r="K186" s="12">
        <f t="shared" si="25"/>
        <v>256.52527613866738</v>
      </c>
    </row>
    <row r="187" spans="2:11" x14ac:dyDescent="0.25">
      <c r="B187" s="10">
        <v>183</v>
      </c>
      <c r="C187" s="13">
        <v>44074</v>
      </c>
      <c r="D187" s="12">
        <f t="shared" si="14"/>
        <v>13410.467467934328</v>
      </c>
      <c r="E187" s="12">
        <f t="shared" si="15"/>
        <v>66233.10290447736</v>
      </c>
      <c r="F187" s="12">
        <f t="shared" si="21"/>
        <v>213475.78236855296</v>
      </c>
      <c r="G187" s="12">
        <f t="shared" si="22"/>
        <v>26384.647259034671</v>
      </c>
      <c r="H187" s="9"/>
      <c r="I187" s="12">
        <f t="shared" si="23"/>
        <v>423.765511946966</v>
      </c>
      <c r="J187" s="12">
        <f t="shared" si="24"/>
        <v>2019.6658717017947</v>
      </c>
      <c r="K187" s="12">
        <f t="shared" si="25"/>
        <v>249.62162459235691</v>
      </c>
    </row>
    <row r="188" spans="2:11" x14ac:dyDescent="0.25">
      <c r="B188" s="10">
        <v>184</v>
      </c>
      <c r="C188" s="21">
        <v>44075</v>
      </c>
      <c r="D188" s="12">
        <f t="shared" si="14"/>
        <v>13010.478091656869</v>
      </c>
      <c r="E188" s="12">
        <f t="shared" si="15"/>
        <v>64425.322183938908</v>
      </c>
      <c r="F188" s="12">
        <f t="shared" si="21"/>
        <v>215440.69775471912</v>
      </c>
      <c r="G188" s="12">
        <f t="shared" si="22"/>
        <v>26627.501969684421</v>
      </c>
      <c r="H188" s="9"/>
      <c r="I188" s="12">
        <f t="shared" si="23"/>
        <v>399.98937627745897</v>
      </c>
      <c r="J188" s="12">
        <f t="shared" si="24"/>
        <v>1964.9153861661614</v>
      </c>
      <c r="K188" s="12">
        <f t="shared" si="25"/>
        <v>242.85471064975053</v>
      </c>
    </row>
    <row r="189" spans="2:11" x14ac:dyDescent="0.25">
      <c r="B189" s="10">
        <v>185</v>
      </c>
      <c r="C189" s="21">
        <v>44076</v>
      </c>
      <c r="D189" s="12">
        <f t="shared" si="14"/>
        <v>12632.697830022284</v>
      </c>
      <c r="E189" s="12">
        <f t="shared" si="15"/>
        <v>62655.591706108862</v>
      </c>
      <c r="F189" s="12">
        <f t="shared" si="21"/>
        <v>217351.98231284265</v>
      </c>
      <c r="G189" s="12">
        <f t="shared" si="22"/>
        <v>26863.728151025531</v>
      </c>
      <c r="H189" s="9"/>
      <c r="I189" s="12">
        <f t="shared" si="23"/>
        <v>377.78026163458554</v>
      </c>
      <c r="J189" s="12">
        <f t="shared" si="24"/>
        <v>1911.2845581235206</v>
      </c>
      <c r="K189" s="12">
        <f t="shared" si="25"/>
        <v>236.22618134110954</v>
      </c>
    </row>
    <row r="190" spans="2:11" x14ac:dyDescent="0.25">
      <c r="B190" s="10">
        <v>186</v>
      </c>
      <c r="C190" s="21">
        <v>44077</v>
      </c>
      <c r="D190" s="12">
        <f t="shared" si="14"/>
        <v>12275.675168326983</v>
      </c>
      <c r="E190" s="12">
        <f t="shared" si="15"/>
        <v>60924.094644267199</v>
      </c>
      <c r="F190" s="12">
        <f t="shared" si="21"/>
        <v>219210.76486679056</v>
      </c>
      <c r="G190" s="12">
        <f t="shared" si="22"/>
        <v>27093.465320614596</v>
      </c>
      <c r="H190" s="9"/>
      <c r="I190" s="12">
        <f t="shared" si="23"/>
        <v>357.02266169530111</v>
      </c>
      <c r="J190" s="12">
        <f t="shared" si="24"/>
        <v>1858.7825539478958</v>
      </c>
      <c r="K190" s="12">
        <f t="shared" si="25"/>
        <v>229.73716958906604</v>
      </c>
    </row>
    <row r="191" spans="2:11" x14ac:dyDescent="0.25">
      <c r="B191" s="10">
        <v>187</v>
      </c>
      <c r="C191" s="21">
        <v>44078</v>
      </c>
      <c r="D191" s="12">
        <f t="shared" si="14"/>
        <v>11938.065101197</v>
      </c>
      <c r="E191" s="12">
        <f t="shared" si="15"/>
        <v>59230.90155658828</v>
      </c>
      <c r="F191" s="12">
        <f t="shared" si="21"/>
        <v>221018.17967457048</v>
      </c>
      <c r="G191" s="12">
        <f t="shared" si="22"/>
        <v>27316.853667643576</v>
      </c>
      <c r="H191" s="9"/>
      <c r="I191" s="12">
        <f t="shared" si="23"/>
        <v>337.61006712998284</v>
      </c>
      <c r="J191" s="12">
        <f t="shared" si="24"/>
        <v>1807.4148077799266</v>
      </c>
      <c r="K191" s="12">
        <f t="shared" si="25"/>
        <v>223.38834702897992</v>
      </c>
    </row>
    <row r="192" spans="2:11" x14ac:dyDescent="0.25">
      <c r="B192" s="10">
        <v>188</v>
      </c>
      <c r="C192" s="21">
        <v>44079</v>
      </c>
      <c r="D192" s="12">
        <f t="shared" si="14"/>
        <v>11618.620825392103</v>
      </c>
      <c r="E192" s="12">
        <f t="shared" si="15"/>
        <v>57575.98244717357</v>
      </c>
      <c r="F192" s="12">
        <f t="shared" si="21"/>
        <v>222775.36308741593</v>
      </c>
      <c r="G192" s="12">
        <f t="shared" si="22"/>
        <v>27534.033640017733</v>
      </c>
      <c r="H192" s="9"/>
      <c r="I192" s="12">
        <f t="shared" si="23"/>
        <v>319.44427580489645</v>
      </c>
      <c r="J192" s="12">
        <f t="shared" si="24"/>
        <v>1757.1834128454523</v>
      </c>
      <c r="K192" s="12">
        <f t="shared" si="25"/>
        <v>217.17997237415722</v>
      </c>
    </row>
    <row r="193" spans="2:11" x14ac:dyDescent="0.25">
      <c r="B193" s="10">
        <v>189</v>
      </c>
      <c r="C193" s="21">
        <v>44080</v>
      </c>
      <c r="D193" s="12">
        <f t="shared" si="14"/>
        <v>11316.186077566213</v>
      </c>
      <c r="E193" s="12">
        <f t="shared" si="15"/>
        <v>55959.217780093677</v>
      </c>
      <c r="F193" s="12">
        <f t="shared" si="21"/>
        <v>224483.45056668209</v>
      </c>
      <c r="G193" s="12">
        <f t="shared" si="22"/>
        <v>27745.145575657371</v>
      </c>
      <c r="H193" s="9"/>
      <c r="I193" s="12">
        <f t="shared" si="23"/>
        <v>302.43474782589004</v>
      </c>
      <c r="J193" s="12">
        <f t="shared" si="24"/>
        <v>1708.0874792661491</v>
      </c>
      <c r="K193" s="12">
        <f t="shared" si="25"/>
        <v>211.11193563963661</v>
      </c>
    </row>
    <row r="194" spans="2:11" x14ac:dyDescent="0.25">
      <c r="B194" s="10">
        <v>190</v>
      </c>
      <c r="C194" s="21">
        <v>44081</v>
      </c>
      <c r="D194" s="12">
        <f t="shared" si="14"/>
        <v>11029.688073050358</v>
      </c>
      <c r="E194" s="12">
        <f t="shared" si="15"/>
        <v>54380.40852527308</v>
      </c>
      <c r="F194" s="12">
        <f t="shared" si="21"/>
        <v>226143.57402749153</v>
      </c>
      <c r="G194" s="12">
        <f t="shared" si="22"/>
        <v>27950.329374184381</v>
      </c>
      <c r="H194" s="9"/>
      <c r="I194" s="12">
        <f t="shared" si="23"/>
        <v>286.49800451585605</v>
      </c>
      <c r="J194" s="12">
        <f t="shared" si="24"/>
        <v>1660.1234608094455</v>
      </c>
      <c r="K194" s="12">
        <f t="shared" si="25"/>
        <v>205.18379852701034</v>
      </c>
    </row>
    <row r="195" spans="2:11" x14ac:dyDescent="0.25">
      <c r="B195" s="10">
        <v>191</v>
      </c>
      <c r="C195" s="21">
        <v>44082</v>
      </c>
      <c r="D195" s="12">
        <f t="shared" si="14"/>
        <v>10758.131003135448</v>
      </c>
      <c r="E195" s="12">
        <f t="shared" si="15"/>
        <v>52839.285311012223</v>
      </c>
      <c r="F195" s="12">
        <f t="shared" si="21"/>
        <v>227756.85948040796</v>
      </c>
      <c r="G195" s="12">
        <f t="shared" si="22"/>
        <v>28149.724205443716</v>
      </c>
      <c r="H195" s="9"/>
      <c r="I195" s="12">
        <f t="shared" si="23"/>
        <v>271.55706991490973</v>
      </c>
      <c r="J195" s="12">
        <f t="shared" si="24"/>
        <v>1613.2854529164347</v>
      </c>
      <c r="K195" s="12">
        <f t="shared" si="25"/>
        <v>199.39483125933481</v>
      </c>
    </row>
    <row r="196" spans="2:11" x14ac:dyDescent="0.25">
      <c r="B196" s="10">
        <v>192</v>
      </c>
      <c r="C196" s="21">
        <v>44083</v>
      </c>
      <c r="D196" s="12">
        <f t="shared" si="14"/>
        <v>10500.590050095459</v>
      </c>
      <c r="E196" s="12">
        <f t="shared" si="15"/>
        <v>51335.516753685137</v>
      </c>
      <c r="F196" s="12">
        <f t="shared" si="21"/>
        <v>229324.42494463467</v>
      </c>
      <c r="G196" s="12">
        <f t="shared" si="22"/>
        <v>28343.468251584094</v>
      </c>
      <c r="H196" s="9"/>
      <c r="I196" s="12">
        <f t="shared" si="23"/>
        <v>257.54095303998827</v>
      </c>
      <c r="J196" s="12">
        <f t="shared" si="24"/>
        <v>1567.5654642266959</v>
      </c>
      <c r="K196" s="12">
        <f t="shared" si="25"/>
        <v>193.74404614037834</v>
      </c>
    </row>
    <row r="197" spans="2:11" x14ac:dyDescent="0.25">
      <c r="B197" s="10">
        <v>193</v>
      </c>
      <c r="C197" s="21">
        <v>44084</v>
      </c>
      <c r="D197" s="12">
        <f t="shared" si="14"/>
        <v>10256.205881187576</v>
      </c>
      <c r="E197" s="12">
        <f t="shared" si="15"/>
        <v>49868.71703080352</v>
      </c>
      <c r="F197" s="12">
        <f t="shared" si="21"/>
        <v>230847.37860832733</v>
      </c>
      <c r="G197" s="12">
        <f t="shared" si="22"/>
        <v>28531.698479680941</v>
      </c>
      <c r="H197" s="9"/>
      <c r="I197" s="12">
        <f t="shared" si="23"/>
        <v>244.3841689078827</v>
      </c>
      <c r="J197" s="12">
        <f t="shared" si="24"/>
        <v>1522.9536636926589</v>
      </c>
      <c r="K197" s="12">
        <f t="shared" si="25"/>
        <v>188.23022809684568</v>
      </c>
    </row>
    <row r="198" spans="2:11" x14ac:dyDescent="0.25">
      <c r="B198" s="10">
        <v>194</v>
      </c>
      <c r="C198" s="21">
        <v>44085</v>
      </c>
      <c r="D198" s="12">
        <f t="shared" ref="D198:D204" si="26">D197-I198</f>
        <v>10024.179585001093</v>
      </c>
      <c r="E198" s="12">
        <f t="shared" ref="E198:E204" si="27">E197+I198-J198-K198</f>
        <v>48438.452759296561</v>
      </c>
      <c r="F198" s="12">
        <f t="shared" si="21"/>
        <v>232326.81721357451</v>
      </c>
      <c r="G198" s="12">
        <f t="shared" si="22"/>
        <v>28714.55044212722</v>
      </c>
      <c r="H198" s="9"/>
      <c r="I198" s="12">
        <f t="shared" si="23"/>
        <v>232.02629618648285</v>
      </c>
      <c r="J198" s="12">
        <f t="shared" si="24"/>
        <v>1479.4386052471709</v>
      </c>
      <c r="K198" s="12">
        <f t="shared" si="25"/>
        <v>182.85196244627974</v>
      </c>
    </row>
    <row r="199" spans="2:11" x14ac:dyDescent="0.25">
      <c r="B199" s="10">
        <v>195</v>
      </c>
      <c r="C199" s="21">
        <v>44086</v>
      </c>
      <c r="D199" s="12">
        <f t="shared" si="26"/>
        <v>9803.768015729067</v>
      </c>
      <c r="E199" s="12">
        <f t="shared" si="27"/>
        <v>47044.249236592033</v>
      </c>
      <c r="F199" s="12">
        <f t="shared" si="21"/>
        <v>233763.82464543363</v>
      </c>
      <c r="G199" s="12">
        <f t="shared" si="22"/>
        <v>28892.158102244641</v>
      </c>
      <c r="H199" s="9"/>
      <c r="I199" s="12">
        <f t="shared" si="23"/>
        <v>220.41156927202525</v>
      </c>
      <c r="J199" s="12">
        <f t="shared" si="24"/>
        <v>1437.0074318591312</v>
      </c>
      <c r="K199" s="12">
        <f t="shared" si="25"/>
        <v>177.60766011742089</v>
      </c>
    </row>
    <row r="200" spans="2:11" x14ac:dyDescent="0.25">
      <c r="B200" s="10">
        <v>196</v>
      </c>
      <c r="C200" s="21">
        <v>44087</v>
      </c>
      <c r="D200" s="12">
        <f t="shared" si="26"/>
        <v>9594.2795131509174</v>
      </c>
      <c r="E200" s="12">
        <f t="shared" si="27"/>
        <v>45685.596097950445</v>
      </c>
      <c r="F200" s="12">
        <f t="shared" si="21"/>
        <v>235159.4707061192</v>
      </c>
      <c r="G200" s="12">
        <f t="shared" si="22"/>
        <v>29064.653682778811</v>
      </c>
      <c r="H200" s="9"/>
      <c r="I200" s="12">
        <f t="shared" si="23"/>
        <v>209.48850257815013</v>
      </c>
      <c r="J200" s="12">
        <f t="shared" si="24"/>
        <v>1395.6460606855637</v>
      </c>
      <c r="K200" s="12">
        <f t="shared" si="25"/>
        <v>172.49558053417095</v>
      </c>
    </row>
    <row r="201" spans="2:11" x14ac:dyDescent="0.25">
      <c r="B201" s="10">
        <v>197</v>
      </c>
      <c r="C201" s="21">
        <v>44088</v>
      </c>
      <c r="D201" s="12">
        <f t="shared" si="26"/>
        <v>9395.0699682991362</v>
      </c>
      <c r="E201" s="12">
        <f t="shared" si="27"/>
        <v>44361.952439537206</v>
      </c>
      <c r="F201" s="12">
        <f t="shared" si="21"/>
        <v>236514.81005702505</v>
      </c>
      <c r="G201" s="12">
        <f t="shared" si="22"/>
        <v>29232.167535137964</v>
      </c>
      <c r="H201" s="9"/>
      <c r="I201" s="12">
        <f t="shared" si="23"/>
        <v>199.20954485178083</v>
      </c>
      <c r="J201" s="12">
        <f t="shared" si="24"/>
        <v>1355.3393509058631</v>
      </c>
      <c r="K201" s="12">
        <f t="shared" si="25"/>
        <v>167.51385235915177</v>
      </c>
    </row>
    <row r="202" spans="2:11" x14ac:dyDescent="0.25">
      <c r="B202" s="10">
        <v>198</v>
      </c>
      <c r="C202" s="21">
        <v>44089</v>
      </c>
      <c r="D202" s="12">
        <f t="shared" si="26"/>
        <v>9205.5392069090012</v>
      </c>
      <c r="E202" s="12">
        <f t="shared" si="27"/>
        <v>43072.751452942772</v>
      </c>
      <c r="F202" s="12">
        <f t="shared" si="21"/>
        <v>237830.88131273133</v>
      </c>
      <c r="G202" s="12">
        <f t="shared" si="22"/>
        <v>29394.828027416268</v>
      </c>
      <c r="H202" s="9"/>
      <c r="I202" s="12">
        <f t="shared" si="23"/>
        <v>189.53076139013541</v>
      </c>
      <c r="J202" s="12">
        <f t="shared" si="24"/>
        <v>1316.0712557062702</v>
      </c>
      <c r="K202" s="12">
        <f t="shared" si="25"/>
        <v>162.66049227830322</v>
      </c>
    </row>
    <row r="203" spans="2:11" x14ac:dyDescent="0.25">
      <c r="B203" s="10">
        <v>199</v>
      </c>
      <c r="C203" s="21">
        <v>44090</v>
      </c>
      <c r="D203" s="12">
        <f t="shared" si="26"/>
        <v>9025.1276647951872</v>
      </c>
      <c r="E203" s="12">
        <f t="shared" si="27"/>
        <v>41817.404613291823</v>
      </c>
      <c r="F203" s="12">
        <f t="shared" si="21"/>
        <v>239108.70627250196</v>
      </c>
      <c r="G203" s="12">
        <f t="shared" si="22"/>
        <v>29552.761449410391</v>
      </c>
      <c r="H203" s="9"/>
      <c r="I203" s="12">
        <f t="shared" si="23"/>
        <v>180.41154211381442</v>
      </c>
      <c r="J203" s="12">
        <f t="shared" si="24"/>
        <v>1277.8249597706354</v>
      </c>
      <c r="K203" s="12">
        <f t="shared" si="25"/>
        <v>157.93342199412365</v>
      </c>
    </row>
    <row r="204" spans="2:11" x14ac:dyDescent="0.25">
      <c r="B204" s="20">
        <v>200</v>
      </c>
      <c r="C204" s="21">
        <v>44091</v>
      </c>
      <c r="D204" s="12">
        <f t="shared" si="26"/>
        <v>8853.3133312492555</v>
      </c>
      <c r="E204" s="12">
        <f t="shared" si="27"/>
        <v>40595.305459728028</v>
      </c>
      <c r="F204" s="12">
        <f t="shared" si="21"/>
        <v>240349.28927602962</v>
      </c>
      <c r="G204" s="12">
        <f t="shared" si="22"/>
        <v>29706.091932992462</v>
      </c>
      <c r="H204" s="9"/>
      <c r="I204" s="12">
        <f t="shared" si="23"/>
        <v>171.81433354593108</v>
      </c>
      <c r="J204" s="12">
        <f t="shared" si="24"/>
        <v>1240.5830035276572</v>
      </c>
      <c r="K204" s="12">
        <f t="shared" si="25"/>
        <v>153.33048358207014</v>
      </c>
    </row>
    <row r="205" spans="2:11" x14ac:dyDescent="0.25">
      <c r="B205" s="19"/>
      <c r="C205" s="1"/>
      <c r="E205" s="12">
        <f>MAX(E4:E204)</f>
        <v>132050.47282941666</v>
      </c>
      <c r="F205" s="32"/>
      <c r="G205" s="32"/>
      <c r="I205" s="12">
        <f>MAX(I4:I204)</f>
        <v>7120.236237813574</v>
      </c>
      <c r="J205" s="31"/>
      <c r="K205" s="31"/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  <ignoredErrors>
    <ignoredError sqref="I5 N1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2:N762"/>
  <sheetViews>
    <sheetView showGridLines="0" workbookViewId="0">
      <selection activeCell="I205" sqref="I205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4" t="s">
        <v>26</v>
      </c>
      <c r="E2" s="35"/>
      <c r="F2" s="35"/>
      <c r="G2" s="36"/>
      <c r="I2" s="34" t="s">
        <v>27</v>
      </c>
      <c r="J2" s="35"/>
      <c r="K2" s="36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523655</v>
      </c>
    </row>
    <row r="4" spans="2:14" x14ac:dyDescent="0.25">
      <c r="B4" s="10">
        <v>0</v>
      </c>
      <c r="C4" s="11">
        <v>43891</v>
      </c>
      <c r="D4" s="12">
        <f>N3</f>
        <v>523655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523654.86800025206</v>
      </c>
      <c r="E5" s="12">
        <f>E4+I5-J5-K5</f>
        <v>1.098666414592786</v>
      </c>
      <c r="F5" s="12">
        <f>F4+J5</f>
        <v>2.9666666666666664E-2</v>
      </c>
      <c r="G5" s="12">
        <f>G4+K5</f>
        <v>3.6666666666666701E-3</v>
      </c>
      <c r="H5" s="9"/>
      <c r="I5" s="12">
        <f>E4*N$6*D4/SUM(D4:F4)*N$7</f>
        <v>0.13199974792611943</v>
      </c>
      <c r="J5" s="12">
        <f>E4*N$8/N$5</f>
        <v>2.9666666666666664E-2</v>
      </c>
      <c r="K5" s="12">
        <f>E4*N$9/N$5</f>
        <v>3.6666666666666701E-3</v>
      </c>
      <c r="M5" s="2" t="s">
        <v>7</v>
      </c>
      <c r="N5" s="18">
        <f>Datos!G3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523654.72297659784</v>
      </c>
      <c r="E6" s="12">
        <f t="shared" ref="E6:E69" si="1">E5+I6-J6-K6</f>
        <v>1.2070678550129466</v>
      </c>
      <c r="F6" s="12">
        <f t="shared" ref="F6:G21" si="2">F5+J6</f>
        <v>6.226043696625265E-2</v>
      </c>
      <c r="G6" s="12">
        <f t="shared" si="2"/>
        <v>7.6951101868402219E-3</v>
      </c>
      <c r="H6" s="9"/>
      <c r="I6" s="12">
        <f t="shared" ref="I6:I69" si="3">E5*N$6*D5/SUM(D5:F5)*N$7</f>
        <v>0.14502365423992011</v>
      </c>
      <c r="J6" s="12">
        <f t="shared" ref="J6:J69" si="4">E5*N$8/N$5</f>
        <v>3.2593770299585982E-2</v>
      </c>
      <c r="K6" s="12">
        <f t="shared" ref="K6:K69" si="5">E5*N$9/N$5</f>
        <v>4.0284435201735523E-3</v>
      </c>
      <c r="M6" s="2" t="s">
        <v>8</v>
      </c>
      <c r="N6" s="3">
        <f>Datos!G4</f>
        <v>2</v>
      </c>
    </row>
    <row r="7" spans="2:14" x14ac:dyDescent="0.25">
      <c r="B7" s="10">
        <v>3</v>
      </c>
      <c r="C7" s="11">
        <v>43894</v>
      </c>
      <c r="D7" s="12">
        <f t="shared" si="0"/>
        <v>523654.56364402722</v>
      </c>
      <c r="E7" s="12">
        <f t="shared" si="1"/>
        <v>1.3261648304886788</v>
      </c>
      <c r="F7" s="12">
        <f t="shared" si="2"/>
        <v>9.8070116664970064E-2</v>
      </c>
      <c r="G7" s="12">
        <f t="shared" si="2"/>
        <v>1.2121025655221031E-2</v>
      </c>
      <c r="H7" s="9"/>
      <c r="I7" s="12">
        <f t="shared" si="3"/>
        <v>0.15933257064283063</v>
      </c>
      <c r="J7" s="12">
        <f t="shared" si="4"/>
        <v>3.5809679698717407E-2</v>
      </c>
      <c r="K7" s="12">
        <f t="shared" si="5"/>
        <v>4.425915468380808E-3</v>
      </c>
      <c r="M7" s="2" t="s">
        <v>9</v>
      </c>
      <c r="N7" s="4">
        <f>Datos!G5</f>
        <v>6.6000000000000003E-2</v>
      </c>
    </row>
    <row r="8" spans="2:14" x14ac:dyDescent="0.25">
      <c r="B8" s="10">
        <v>4</v>
      </c>
      <c r="C8" s="11">
        <v>43895</v>
      </c>
      <c r="D8" s="12">
        <f t="shared" si="0"/>
        <v>523654.38859074569</v>
      </c>
      <c r="E8" s="12">
        <f t="shared" si="1"/>
        <v>1.4570126176538925</v>
      </c>
      <c r="F8" s="12">
        <f t="shared" si="2"/>
        <v>0.13741300663613421</v>
      </c>
      <c r="G8" s="12">
        <f t="shared" si="2"/>
        <v>1.6983630033679524E-2</v>
      </c>
      <c r="H8" s="9"/>
      <c r="I8" s="12">
        <f t="shared" si="3"/>
        <v>0.17505328151483626</v>
      </c>
      <c r="J8" s="12">
        <f t="shared" si="4"/>
        <v>3.9342889971164134E-2</v>
      </c>
      <c r="K8" s="12">
        <f t="shared" si="5"/>
        <v>4.8626043784584932E-3</v>
      </c>
      <c r="M8" s="2" t="s">
        <v>10</v>
      </c>
      <c r="N8" s="5">
        <f>Datos!G6</f>
        <v>0.8899999999999999</v>
      </c>
    </row>
    <row r="9" spans="2:14" x14ac:dyDescent="0.25">
      <c r="B9" s="10">
        <v>5</v>
      </c>
      <c r="C9" s="11">
        <v>43896</v>
      </c>
      <c r="D9" s="12">
        <f t="shared" si="0"/>
        <v>523654.19626566576</v>
      </c>
      <c r="E9" s="12">
        <f t="shared" si="1"/>
        <v>1.6007706103366659</v>
      </c>
      <c r="F9" s="12">
        <f t="shared" si="2"/>
        <v>0.18063771429319966</v>
      </c>
      <c r="G9" s="12">
        <f t="shared" si="2"/>
        <v>2.23260096317438E-2</v>
      </c>
      <c r="H9" s="9"/>
      <c r="I9" s="12">
        <f t="shared" si="3"/>
        <v>0.19232507993790335</v>
      </c>
      <c r="J9" s="12">
        <f t="shared" si="4"/>
        <v>4.3224707657065466E-2</v>
      </c>
      <c r="K9" s="12">
        <f t="shared" si="5"/>
        <v>5.3423795980642765E-3</v>
      </c>
      <c r="M9" s="2" t="s">
        <v>11</v>
      </c>
      <c r="N9" s="5">
        <f>Datos!G7</f>
        <v>0.1100000000000001</v>
      </c>
    </row>
    <row r="10" spans="2:14" x14ac:dyDescent="0.25">
      <c r="B10" s="10">
        <v>6</v>
      </c>
      <c r="C10" s="11">
        <v>43897</v>
      </c>
      <c r="D10" s="12">
        <f t="shared" si="0"/>
        <v>523653.98496466404</v>
      </c>
      <c r="E10" s="12">
        <f t="shared" si="1"/>
        <v>1.7587125917360649</v>
      </c>
      <c r="F10" s="12">
        <f t="shared" si="2"/>
        <v>0.22812724239985407</v>
      </c>
      <c r="G10" s="12">
        <f t="shared" si="2"/>
        <v>2.8195501869644916E-2</v>
      </c>
      <c r="H10" s="9"/>
      <c r="I10" s="12">
        <f t="shared" si="3"/>
        <v>0.21130100174395458</v>
      </c>
      <c r="J10" s="12">
        <f t="shared" si="4"/>
        <v>4.7489528106654418E-2</v>
      </c>
      <c r="K10" s="12">
        <f t="shared" si="5"/>
        <v>5.8694922379011142E-3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523653.75281548273</v>
      </c>
      <c r="E11" s="12">
        <f t="shared" si="1"/>
        <v>1.9322380199705309</v>
      </c>
      <c r="F11" s="12">
        <f t="shared" si="2"/>
        <v>0.28030238262135732</v>
      </c>
      <c r="G11" s="12">
        <f t="shared" si="2"/>
        <v>3.464411470601049E-2</v>
      </c>
      <c r="H11" s="9"/>
      <c r="I11" s="12">
        <f t="shared" si="3"/>
        <v>0.23214918129233475</v>
      </c>
      <c r="J11" s="12">
        <f t="shared" si="4"/>
        <v>5.2175140221503255E-2</v>
      </c>
      <c r="K11" s="12">
        <f t="shared" si="5"/>
        <v>6.4486128363655769E-3</v>
      </c>
      <c r="M11" s="2" t="s">
        <v>12</v>
      </c>
      <c r="N11" s="7">
        <f>SUM(I5:I204)+E4</f>
        <v>507499.12086537626</v>
      </c>
    </row>
    <row r="12" spans="2:14" x14ac:dyDescent="0.25">
      <c r="B12" s="10">
        <v>8</v>
      </c>
      <c r="C12" s="11">
        <v>43899</v>
      </c>
      <c r="D12" s="12">
        <f t="shared" si="0"/>
        <v>523653.49776114174</v>
      </c>
      <c r="E12" s="12">
        <f t="shared" si="1"/>
        <v>2.1228844269527207</v>
      </c>
      <c r="F12" s="12">
        <f t="shared" si="2"/>
        <v>0.33762544388048304</v>
      </c>
      <c r="G12" s="12">
        <f t="shared" si="2"/>
        <v>4.1728987445902442E-2</v>
      </c>
      <c r="H12" s="9"/>
      <c r="I12" s="12">
        <f t="shared" si="3"/>
        <v>0.25505434098120694</v>
      </c>
      <c r="J12" s="12">
        <f t="shared" si="4"/>
        <v>5.7323061259125743E-2</v>
      </c>
      <c r="K12" s="12">
        <f t="shared" si="5"/>
        <v>7.0848727398919531E-3</v>
      </c>
      <c r="M12" s="2" t="s">
        <v>13</v>
      </c>
      <c r="N12" s="7">
        <f>SUM(J5:J204)</f>
        <v>382546.92658801936</v>
      </c>
    </row>
    <row r="13" spans="2:14" x14ac:dyDescent="0.25">
      <c r="B13" s="10">
        <v>9</v>
      </c>
      <c r="C13" s="11">
        <v>43900</v>
      </c>
      <c r="D13" s="12">
        <f t="shared" si="0"/>
        <v>523653.21754171408</v>
      </c>
      <c r="E13" s="12">
        <f t="shared" si="1"/>
        <v>2.3323410404014338</v>
      </c>
      <c r="F13" s="12">
        <f t="shared" si="2"/>
        <v>0.40060434854674709</v>
      </c>
      <c r="G13" s="12">
        <f t="shared" si="2"/>
        <v>4.9512897011395759E-2</v>
      </c>
      <c r="H13" s="9"/>
      <c r="I13" s="12">
        <f t="shared" si="3"/>
        <v>0.2802194276804702</v>
      </c>
      <c r="J13" s="12">
        <f t="shared" si="4"/>
        <v>6.2978904666264046E-2</v>
      </c>
      <c r="K13" s="12">
        <f t="shared" si="5"/>
        <v>7.7839095654933157E-3</v>
      </c>
      <c r="M13" s="2" t="s">
        <v>14</v>
      </c>
      <c r="N13" s="7">
        <f>SUM(K5:K204)</f>
        <v>47281.080814249639</v>
      </c>
    </row>
    <row r="14" spans="2:14" x14ac:dyDescent="0.25">
      <c r="B14" s="10">
        <v>10</v>
      </c>
      <c r="C14" s="11">
        <v>43901</v>
      </c>
      <c r="D14" s="12">
        <f t="shared" si="0"/>
        <v>523652.90967430349</v>
      </c>
      <c r="E14" s="12">
        <f t="shared" si="1"/>
        <v>2.5624637496281357</v>
      </c>
      <c r="F14" s="12">
        <f t="shared" si="2"/>
        <v>0.46979713274532298</v>
      </c>
      <c r="G14" s="12">
        <f t="shared" si="2"/>
        <v>5.8064814159534357E-2</v>
      </c>
      <c r="H14" s="9"/>
      <c r="I14" s="12">
        <f t="shared" si="3"/>
        <v>0.30786741057341638</v>
      </c>
      <c r="J14" s="12">
        <f t="shared" si="4"/>
        <v>6.9192784198575857E-2</v>
      </c>
      <c r="K14" s="12">
        <f t="shared" si="5"/>
        <v>8.5519171481385978E-3</v>
      </c>
      <c r="M14" s="2" t="s">
        <v>15</v>
      </c>
      <c r="N14" s="7">
        <f>SUM(D4:G4)-N11</f>
        <v>16156.879134623741</v>
      </c>
    </row>
    <row r="15" spans="2:14" x14ac:dyDescent="0.25">
      <c r="B15" s="10">
        <v>11</v>
      </c>
      <c r="C15" s="11">
        <v>43902</v>
      </c>
      <c r="D15" s="12">
        <f t="shared" si="0"/>
        <v>523652.57143104717</v>
      </c>
      <c r="E15" s="12">
        <f t="shared" si="1"/>
        <v>2.8152915476290734</v>
      </c>
      <c r="F15" s="12">
        <f t="shared" si="2"/>
        <v>0.54581689065095762</v>
      </c>
      <c r="G15" s="12">
        <f t="shared" si="2"/>
        <v>6.7460514574837524E-2</v>
      </c>
      <c r="H15" s="9"/>
      <c r="I15" s="12">
        <f t="shared" si="3"/>
        <v>0.33824325632187563</v>
      </c>
      <c r="J15" s="12">
        <f t="shared" si="4"/>
        <v>7.6019757905634686E-2</v>
      </c>
      <c r="K15" s="12">
        <f t="shared" si="5"/>
        <v>9.3957004153031719E-3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523652.19981494814</v>
      </c>
      <c r="E16" s="12">
        <f t="shared" si="1"/>
        <v>3.0930645950790288</v>
      </c>
      <c r="F16" s="12">
        <f t="shared" si="2"/>
        <v>0.62933720656395342</v>
      </c>
      <c r="G16" s="12">
        <f t="shared" si="2"/>
        <v>7.7783250249477465E-2</v>
      </c>
      <c r="H16" s="9"/>
      <c r="I16" s="12">
        <f t="shared" si="3"/>
        <v>0.37161609903759096</v>
      </c>
      <c r="J16" s="12">
        <f t="shared" si="4"/>
        <v>8.3520315912995829E-2</v>
      </c>
      <c r="K16" s="12">
        <f t="shared" si="5"/>
        <v>1.0322735674639946E-2</v>
      </c>
      <c r="M16" s="2" t="s">
        <v>16</v>
      </c>
      <c r="N16" s="7">
        <f>MAX(E4:E204)</f>
        <v>216392.09921154418</v>
      </c>
    </row>
    <row r="17" spans="2:14" x14ac:dyDescent="0.25">
      <c r="B17" s="10">
        <v>13</v>
      </c>
      <c r="C17" s="11">
        <v>43904</v>
      </c>
      <c r="D17" s="12">
        <f t="shared" si="0"/>
        <v>523651.79153332388</v>
      </c>
      <c r="E17" s="12">
        <f t="shared" si="1"/>
        <v>3.3982440661745312</v>
      </c>
      <c r="F17" s="12">
        <f t="shared" si="2"/>
        <v>0.72109812288463127</v>
      </c>
      <c r="G17" s="12">
        <f t="shared" si="2"/>
        <v>8.9124487098100585E-2</v>
      </c>
      <c r="H17" s="9"/>
      <c r="I17" s="12">
        <f t="shared" si="3"/>
        <v>0.40828162426480358</v>
      </c>
      <c r="J17" s="12">
        <f t="shared" si="4"/>
        <v>9.1760916320677843E-2</v>
      </c>
      <c r="K17" s="12">
        <f t="shared" si="5"/>
        <v>1.1341236848623116E-2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523651.34296863578</v>
      </c>
      <c r="E18" s="12">
        <f t="shared" si="1"/>
        <v>3.733533952039334</v>
      </c>
      <c r="F18" s="12">
        <f t="shared" si="2"/>
        <v>0.82191269684780899</v>
      </c>
      <c r="G18" s="12">
        <f t="shared" si="2"/>
        <v>0.10158471534074054</v>
      </c>
      <c r="H18" s="9"/>
      <c r="I18" s="12">
        <f t="shared" si="3"/>
        <v>0.44856468807062039</v>
      </c>
      <c r="J18" s="12">
        <f t="shared" si="4"/>
        <v>0.10081457396317775</v>
      </c>
      <c r="K18" s="12">
        <f t="shared" si="5"/>
        <v>1.2460228242639959E-2</v>
      </c>
      <c r="M18" s="2" t="s">
        <v>17</v>
      </c>
      <c r="N18" s="7">
        <f>MAX(I5:I204)</f>
        <v>11664.947018637478</v>
      </c>
    </row>
    <row r="19" spans="2:14" x14ac:dyDescent="0.25">
      <c r="B19" s="10">
        <v>15</v>
      </c>
      <c r="C19" s="11">
        <v>43906</v>
      </c>
      <c r="D19" s="12">
        <f t="shared" si="0"/>
        <v>523650.85014644137</v>
      </c>
      <c r="E19" s="12">
        <f t="shared" si="1"/>
        <v>4.101905014721984</v>
      </c>
      <c r="F19" s="12">
        <f t="shared" si="2"/>
        <v>0.93267420409164259</v>
      </c>
      <c r="G19" s="12">
        <f t="shared" si="2"/>
        <v>0.11527433983155144</v>
      </c>
      <c r="H19" s="9"/>
      <c r="I19" s="12">
        <f t="shared" si="3"/>
        <v>0.49282219441729402</v>
      </c>
      <c r="J19" s="12">
        <f t="shared" si="4"/>
        <v>0.11076150724383356</v>
      </c>
      <c r="K19" s="12">
        <f t="shared" si="5"/>
        <v>1.3689624490810903E-2</v>
      </c>
      <c r="M19" s="2" t="s">
        <v>18</v>
      </c>
      <c r="N19" s="7">
        <f>MAX(J5:J204)</f>
        <v>6419.6322766091434</v>
      </c>
    </row>
    <row r="20" spans="2:14" x14ac:dyDescent="0.25">
      <c r="B20" s="10">
        <v>16</v>
      </c>
      <c r="C20" s="11">
        <v>43907</v>
      </c>
      <c r="D20" s="12">
        <f t="shared" si="0"/>
        <v>523650.30870018509</v>
      </c>
      <c r="E20" s="12">
        <f t="shared" si="1"/>
        <v>4.5066211038368387</v>
      </c>
      <c r="F20" s="12">
        <f t="shared" si="2"/>
        <v>1.0543640528617282</v>
      </c>
      <c r="G20" s="12">
        <f t="shared" si="2"/>
        <v>0.1303146582188654</v>
      </c>
      <c r="H20" s="9"/>
      <c r="I20" s="12">
        <f t="shared" si="3"/>
        <v>0.54144625627225373</v>
      </c>
      <c r="J20" s="12">
        <f t="shared" si="4"/>
        <v>0.12168984877008551</v>
      </c>
      <c r="K20" s="12">
        <f t="shared" si="5"/>
        <v>1.5040318387313954E-2</v>
      </c>
      <c r="M20" s="2" t="s">
        <v>19</v>
      </c>
      <c r="N20" s="7">
        <f>MAX(K5:K204)</f>
        <v>793.43769710899608</v>
      </c>
    </row>
    <row r="21" spans="2:14" x14ac:dyDescent="0.25">
      <c r="B21" s="10">
        <v>17</v>
      </c>
      <c r="C21" s="11">
        <v>43908</v>
      </c>
      <c r="D21" s="12">
        <f t="shared" si="0"/>
        <v>523649.71383251669</v>
      </c>
      <c r="E21" s="12">
        <f t="shared" si="1"/>
        <v>4.9512680687931896</v>
      </c>
      <c r="F21" s="12">
        <f t="shared" si="2"/>
        <v>1.1880604789422211</v>
      </c>
      <c r="G21" s="12">
        <f t="shared" si="2"/>
        <v>0.14683893559960048</v>
      </c>
      <c r="H21" s="9"/>
      <c r="I21" s="12">
        <f t="shared" si="3"/>
        <v>0.59486766841757865</v>
      </c>
      <c r="J21" s="12">
        <f t="shared" si="4"/>
        <v>0.13369642608049287</v>
      </c>
      <c r="K21" s="12">
        <f t="shared" si="5"/>
        <v>1.652427738073509E-2</v>
      </c>
    </row>
    <row r="22" spans="2:14" x14ac:dyDescent="0.25">
      <c r="B22" s="10">
        <v>18</v>
      </c>
      <c r="C22" s="11">
        <v>43909</v>
      </c>
      <c r="D22" s="12">
        <f t="shared" si="0"/>
        <v>523649.06027279404</v>
      </c>
      <c r="E22" s="12">
        <f t="shared" si="1"/>
        <v>5.4397855225059146</v>
      </c>
      <c r="F22" s="12">
        <f t="shared" ref="F22:G37" si="6">F21+J22</f>
        <v>1.334948098316419</v>
      </c>
      <c r="G22" s="12">
        <f t="shared" si="6"/>
        <v>0.16499358518517554</v>
      </c>
      <c r="H22" s="9"/>
      <c r="I22" s="12">
        <f t="shared" si="3"/>
        <v>0.65355972267249751</v>
      </c>
      <c r="J22" s="12">
        <f t="shared" si="4"/>
        <v>0.14688761937419795</v>
      </c>
      <c r="K22" s="12">
        <f t="shared" si="5"/>
        <v>1.8154649585575045E-2</v>
      </c>
    </row>
    <row r="23" spans="2:14" x14ac:dyDescent="0.25">
      <c r="B23" s="10">
        <v>19</v>
      </c>
      <c r="C23" s="11">
        <v>43910</v>
      </c>
      <c r="D23" s="12">
        <f t="shared" si="0"/>
        <v>523648.34223039477</v>
      </c>
      <c r="E23" s="12">
        <f t="shared" si="1"/>
        <v>5.9765017376868474</v>
      </c>
      <c r="F23" s="12">
        <f t="shared" si="6"/>
        <v>1.4963284021507612</v>
      </c>
      <c r="G23" s="12">
        <f t="shared" si="6"/>
        <v>0.1849394654343639</v>
      </c>
      <c r="H23" s="9"/>
      <c r="I23" s="12">
        <f t="shared" si="3"/>
        <v>0.718042399264463</v>
      </c>
      <c r="J23" s="12">
        <f t="shared" si="4"/>
        <v>0.1613803038343421</v>
      </c>
      <c r="K23" s="12">
        <f t="shared" si="5"/>
        <v>1.994588024918837E-2</v>
      </c>
    </row>
    <row r="24" spans="2:14" x14ac:dyDescent="0.25">
      <c r="B24" s="10">
        <v>20</v>
      </c>
      <c r="C24" s="11">
        <v>43911</v>
      </c>
      <c r="D24" s="12">
        <f t="shared" si="0"/>
        <v>523647.55334342335</v>
      </c>
      <c r="E24" s="12">
        <f t="shared" si="1"/>
        <v>6.5661719845000217</v>
      </c>
      <c r="F24" s="12">
        <f t="shared" si="6"/>
        <v>1.673631287035471</v>
      </c>
      <c r="G24" s="12">
        <f t="shared" si="6"/>
        <v>0.20685330513921568</v>
      </c>
      <c r="H24" s="9"/>
      <c r="I24" s="12">
        <f t="shared" si="3"/>
        <v>0.78888697140273623</v>
      </c>
      <c r="J24" s="12">
        <f t="shared" si="4"/>
        <v>0.17730288488470977</v>
      </c>
      <c r="K24" s="12">
        <f t="shared" si="5"/>
        <v>2.1913839704851792E-2</v>
      </c>
    </row>
    <row r="25" spans="2:14" x14ac:dyDescent="0.25">
      <c r="B25" s="10">
        <v>21</v>
      </c>
      <c r="C25" s="11">
        <v>43912</v>
      </c>
      <c r="D25" s="12">
        <f t="shared" si="0"/>
        <v>523646.68662235962</v>
      </c>
      <c r="E25" s="12">
        <f t="shared" si="1"/>
        <v>7.2140206487687903</v>
      </c>
      <c r="F25" s="12">
        <f t="shared" si="6"/>
        <v>1.8684277225756383</v>
      </c>
      <c r="G25" s="12">
        <f t="shared" si="6"/>
        <v>0.23092926908238245</v>
      </c>
      <c r="H25" s="9"/>
      <c r="I25" s="12">
        <f t="shared" si="3"/>
        <v>0.86672106375210356</v>
      </c>
      <c r="J25" s="12">
        <f t="shared" si="4"/>
        <v>0.19479643554016729</v>
      </c>
      <c r="K25" s="12">
        <f t="shared" si="5"/>
        <v>2.4075963943166766E-2</v>
      </c>
    </row>
    <row r="26" spans="2:14" x14ac:dyDescent="0.25">
      <c r="B26" s="10">
        <v>22</v>
      </c>
      <c r="C26" s="11">
        <v>43913</v>
      </c>
      <c r="D26" s="12">
        <f t="shared" si="0"/>
        <v>523645.7343881501</v>
      </c>
      <c r="E26" s="12">
        <f t="shared" si="1"/>
        <v>7.9257875033148375</v>
      </c>
      <c r="F26" s="12">
        <f t="shared" si="6"/>
        <v>2.0824436684891126</v>
      </c>
      <c r="G26" s="12">
        <f t="shared" si="6"/>
        <v>0.25738067812786802</v>
      </c>
      <c r="H26" s="9"/>
      <c r="I26" s="12">
        <f t="shared" si="3"/>
        <v>0.95223420950500737</v>
      </c>
      <c r="J26" s="12">
        <f t="shared" si="4"/>
        <v>0.21401594591347409</v>
      </c>
      <c r="K26" s="12">
        <f t="shared" si="5"/>
        <v>2.645140904548559E-2</v>
      </c>
    </row>
    <row r="27" spans="2:14" x14ac:dyDescent="0.25">
      <c r="B27" s="10">
        <v>23</v>
      </c>
      <c r="C27" s="11">
        <v>43914</v>
      </c>
      <c r="D27" s="12">
        <f t="shared" si="0"/>
        <v>523644.68820419494</v>
      </c>
      <c r="E27" s="12">
        <f t="shared" si="1"/>
        <v>8.707778541680355</v>
      </c>
      <c r="F27" s="12">
        <f t="shared" si="6"/>
        <v>2.3175753644207862</v>
      </c>
      <c r="G27" s="12">
        <f t="shared" si="6"/>
        <v>0.28644189897335581</v>
      </c>
      <c r="H27" s="9"/>
      <c r="I27" s="12">
        <f t="shared" si="3"/>
        <v>1.0461839551426795</v>
      </c>
      <c r="J27" s="12">
        <f t="shared" si="4"/>
        <v>0.23513169593167349</v>
      </c>
      <c r="K27" s="12">
        <f t="shared" si="5"/>
        <v>2.9061220845487765E-2</v>
      </c>
    </row>
    <row r="28" spans="2:14" x14ac:dyDescent="0.25">
      <c r="B28" s="10">
        <v>24</v>
      </c>
      <c r="C28" s="11">
        <v>43915</v>
      </c>
      <c r="D28" s="12">
        <f t="shared" si="0"/>
        <v>523643.53880162816</v>
      </c>
      <c r="E28" s="12">
        <f t="shared" si="1"/>
        <v>9.5669218237555231</v>
      </c>
      <c r="F28" s="12">
        <f t="shared" si="6"/>
        <v>2.5759061278239699</v>
      </c>
      <c r="G28" s="12">
        <f t="shared" si="6"/>
        <v>0.31837042029285045</v>
      </c>
      <c r="H28" s="9"/>
      <c r="I28" s="12">
        <f t="shared" si="3"/>
        <v>1.1494025667978469</v>
      </c>
      <c r="J28" s="12">
        <f t="shared" si="4"/>
        <v>0.25833076340318384</v>
      </c>
      <c r="K28" s="12">
        <f t="shared" si="5"/>
        <v>3.1928521319494661E-2</v>
      </c>
    </row>
    <row r="29" spans="2:14" x14ac:dyDescent="0.25">
      <c r="B29" s="10">
        <v>25</v>
      </c>
      <c r="C29" s="11">
        <v>43916</v>
      </c>
      <c r="D29" s="12">
        <f t="shared" si="0"/>
        <v>523642.27599723072</v>
      </c>
      <c r="E29" s="12">
        <f t="shared" si="1"/>
        <v>10.510828827055191</v>
      </c>
      <c r="F29" s="12">
        <f t="shared" si="6"/>
        <v>2.8597248085953835</v>
      </c>
      <c r="G29" s="12">
        <f t="shared" si="6"/>
        <v>0.35344913364662073</v>
      </c>
      <c r="H29" s="9"/>
      <c r="I29" s="12">
        <f t="shared" si="3"/>
        <v>1.262804397424854</v>
      </c>
      <c r="J29" s="12">
        <f t="shared" si="4"/>
        <v>0.28381868077141381</v>
      </c>
      <c r="K29" s="12">
        <f t="shared" si="5"/>
        <v>3.5078713353770288E-2</v>
      </c>
    </row>
    <row r="30" spans="2:14" x14ac:dyDescent="0.25">
      <c r="B30" s="10">
        <v>26</v>
      </c>
      <c r="C30" s="11">
        <v>43917</v>
      </c>
      <c r="D30" s="12">
        <f t="shared" si="0"/>
        <v>523640.8886032509</v>
      </c>
      <c r="E30" s="12">
        <f t="shared" si="1"/>
        <v>11.547861845946528</v>
      </c>
      <c r="F30" s="12">
        <f t="shared" si="6"/>
        <v>3.1715460637980208</v>
      </c>
      <c r="G30" s="12">
        <f t="shared" si="6"/>
        <v>0.39198883934582313</v>
      </c>
      <c r="H30" s="9"/>
      <c r="I30" s="12">
        <f t="shared" si="3"/>
        <v>1.3873939797931771</v>
      </c>
      <c r="J30" s="12">
        <f t="shared" si="4"/>
        <v>0.31182125520263726</v>
      </c>
      <c r="K30" s="12">
        <f t="shared" si="5"/>
        <v>3.8539705699202398E-2</v>
      </c>
    </row>
    <row r="31" spans="2:14" x14ac:dyDescent="0.25">
      <c r="B31" s="10">
        <v>27</v>
      </c>
      <c r="C31" s="11">
        <v>43918</v>
      </c>
      <c r="D31" s="12">
        <f t="shared" si="0"/>
        <v>523639.36432833422</v>
      </c>
      <c r="E31" s="12">
        <f t="shared" si="1"/>
        <v>12.687208034445506</v>
      </c>
      <c r="F31" s="12">
        <f t="shared" si="6"/>
        <v>3.5141326318944346</v>
      </c>
      <c r="G31" s="12">
        <f t="shared" si="6"/>
        <v>0.4343309994476271</v>
      </c>
      <c r="H31" s="9"/>
      <c r="I31" s="12">
        <f t="shared" si="3"/>
        <v>1.5242749166971941</v>
      </c>
      <c r="J31" s="12">
        <f t="shared" si="4"/>
        <v>0.34258656809641364</v>
      </c>
      <c r="K31" s="12">
        <f t="shared" si="5"/>
        <v>4.2342160101803979E-2</v>
      </c>
    </row>
    <row r="32" spans="2:14" x14ac:dyDescent="0.25">
      <c r="B32" s="10">
        <v>28</v>
      </c>
      <c r="C32" s="11">
        <v>43919</v>
      </c>
      <c r="D32" s="12">
        <f t="shared" si="0"/>
        <v>523637.68966868747</v>
      </c>
      <c r="E32" s="12">
        <f t="shared" si="1"/>
        <v>13.93896074673726</v>
      </c>
      <c r="F32" s="12">
        <f t="shared" si="6"/>
        <v>3.8905198035829844</v>
      </c>
      <c r="G32" s="12">
        <f t="shared" si="6"/>
        <v>0.48085076224059398</v>
      </c>
      <c r="H32" s="9"/>
      <c r="I32" s="12">
        <f t="shared" si="3"/>
        <v>1.6746596467732715</v>
      </c>
      <c r="J32" s="12">
        <f t="shared" si="4"/>
        <v>0.37638717168854996</v>
      </c>
      <c r="K32" s="12">
        <f t="shared" si="5"/>
        <v>4.6519762792966893E-2</v>
      </c>
    </row>
    <row r="33" spans="2:11" x14ac:dyDescent="0.25">
      <c r="B33" s="10">
        <v>29</v>
      </c>
      <c r="C33" s="11">
        <v>43920</v>
      </c>
      <c r="D33" s="12">
        <f t="shared" si="0"/>
        <v>523635.84978851548</v>
      </c>
      <c r="E33" s="12">
        <f t="shared" si="1"/>
        <v>15.314208893840448</v>
      </c>
      <c r="F33" s="12">
        <f t="shared" si="6"/>
        <v>4.3040423057361901</v>
      </c>
      <c r="G33" s="12">
        <f t="shared" si="6"/>
        <v>0.53196028497863068</v>
      </c>
      <c r="H33" s="9"/>
      <c r="I33" s="12">
        <f t="shared" si="3"/>
        <v>1.8398801719944275</v>
      </c>
      <c r="J33" s="12">
        <f t="shared" si="4"/>
        <v>0.41352250215320535</v>
      </c>
      <c r="K33" s="12">
        <f t="shared" si="5"/>
        <v>5.1109522738036671E-2</v>
      </c>
    </row>
    <row r="34" spans="2:11" x14ac:dyDescent="0.25">
      <c r="B34" s="10">
        <v>30</v>
      </c>
      <c r="C34" s="13">
        <v>43921</v>
      </c>
      <c r="D34" s="12">
        <f t="shared" si="0"/>
        <v>523633.82838867413</v>
      </c>
      <c r="E34" s="12">
        <f t="shared" si="1"/>
        <v>16.825135105384</v>
      </c>
      <c r="F34" s="12">
        <f t="shared" si="6"/>
        <v>4.7583638362534568</v>
      </c>
      <c r="G34" s="12">
        <f t="shared" si="6"/>
        <v>0.58811238425604573</v>
      </c>
      <c r="H34" s="9"/>
      <c r="I34" s="12">
        <f t="shared" si="3"/>
        <v>2.0213998413382326</v>
      </c>
      <c r="J34" s="12">
        <f t="shared" si="4"/>
        <v>0.45432153051726659</v>
      </c>
      <c r="K34" s="12">
        <f t="shared" si="5"/>
        <v>5.6152099277415025E-2</v>
      </c>
    </row>
    <row r="35" spans="2:11" x14ac:dyDescent="0.25">
      <c r="B35" s="10">
        <v>31</v>
      </c>
      <c r="C35" s="11">
        <v>43922</v>
      </c>
      <c r="D35" s="12">
        <f t="shared" si="0"/>
        <v>523631.60756237974</v>
      </c>
      <c r="E35" s="12">
        <f t="shared" si="1"/>
        <v>18.485123562904363</v>
      </c>
      <c r="F35" s="12">
        <f t="shared" si="6"/>
        <v>5.2575095110465151</v>
      </c>
      <c r="G35" s="12">
        <f t="shared" si="6"/>
        <v>0.64980454630912043</v>
      </c>
      <c r="H35" s="9"/>
      <c r="I35" s="12">
        <f t="shared" si="3"/>
        <v>2.2208262943664958</v>
      </c>
      <c r="J35" s="12">
        <f t="shared" si="4"/>
        <v>0.4991456747930586</v>
      </c>
      <c r="K35" s="12">
        <f t="shared" si="5"/>
        <v>6.169216205307472E-2</v>
      </c>
    </row>
    <row r="36" spans="2:11" x14ac:dyDescent="0.25">
      <c r="B36" s="10">
        <v>32</v>
      </c>
      <c r="C36" s="11">
        <v>43923</v>
      </c>
      <c r="D36" s="12">
        <f t="shared" si="0"/>
        <v>523629.16763670114</v>
      </c>
      <c r="E36" s="12">
        <f t="shared" si="1"/>
        <v>20.308878456067671</v>
      </c>
      <c r="F36" s="12">
        <f t="shared" si="6"/>
        <v>5.8059015100793445</v>
      </c>
      <c r="G36" s="12">
        <f t="shared" si="6"/>
        <v>0.71758333270643648</v>
      </c>
      <c r="H36" s="9"/>
      <c r="I36" s="12">
        <f t="shared" si="3"/>
        <v>2.4399256785934527</v>
      </c>
      <c r="J36" s="12">
        <f t="shared" si="4"/>
        <v>0.54839199903282931</v>
      </c>
      <c r="K36" s="12">
        <f t="shared" si="5"/>
        <v>6.7778786397316063E-2</v>
      </c>
    </row>
    <row r="37" spans="2:11" x14ac:dyDescent="0.25">
      <c r="B37" s="10">
        <v>33</v>
      </c>
      <c r="C37" s="11">
        <v>43924</v>
      </c>
      <c r="D37" s="12">
        <f t="shared" si="0"/>
        <v>523626.48699843552</v>
      </c>
      <c r="E37" s="12">
        <f t="shared" si="1"/>
        <v>22.312554106502869</v>
      </c>
      <c r="F37" s="12">
        <f t="shared" si="6"/>
        <v>6.4083982376093518</v>
      </c>
      <c r="G37" s="12">
        <f t="shared" si="6"/>
        <v>0.79204922037868464</v>
      </c>
      <c r="H37" s="9"/>
      <c r="I37" s="12">
        <f t="shared" si="3"/>
        <v>2.6806382656374526</v>
      </c>
      <c r="J37" s="12">
        <f t="shared" si="4"/>
        <v>0.60249672753000749</v>
      </c>
      <c r="K37" s="12">
        <f t="shared" si="5"/>
        <v>7.4465887672248196E-2</v>
      </c>
    </row>
    <row r="38" spans="2:11" x14ac:dyDescent="0.25">
      <c r="B38" s="10">
        <v>34</v>
      </c>
      <c r="C38" s="11">
        <v>43925</v>
      </c>
      <c r="D38" s="12">
        <f t="shared" si="0"/>
        <v>523623.54190283216</v>
      </c>
      <c r="E38" s="12">
        <f t="shared" si="1"/>
        <v>24.513897906294961</v>
      </c>
      <c r="F38" s="12">
        <f t="shared" ref="F38:G53" si="7">F37+J38</f>
        <v>7.0703373427689371</v>
      </c>
      <c r="G38" s="12">
        <f t="shared" si="7"/>
        <v>0.87386191876919517</v>
      </c>
      <c r="H38" s="9"/>
      <c r="I38" s="12">
        <f t="shared" si="3"/>
        <v>2.9450956033421893</v>
      </c>
      <c r="J38" s="12">
        <f t="shared" si="4"/>
        <v>0.66193910515958498</v>
      </c>
      <c r="K38" s="12">
        <f t="shared" si="5"/>
        <v>8.1812698390510585E-2</v>
      </c>
    </row>
    <row r="39" spans="2:11" x14ac:dyDescent="0.25">
      <c r="B39" s="10">
        <v>35</v>
      </c>
      <c r="C39" s="11">
        <v>43926</v>
      </c>
      <c r="D39" s="12">
        <f t="shared" si="0"/>
        <v>523620.30626347772</v>
      </c>
      <c r="E39" s="12">
        <f t="shared" si="1"/>
        <v>26.932407330503125</v>
      </c>
      <c r="F39" s="12">
        <f t="shared" si="7"/>
        <v>7.7975829806556876</v>
      </c>
      <c r="G39" s="12">
        <f t="shared" si="7"/>
        <v>0.96374621109227676</v>
      </c>
      <c r="H39" s="9"/>
      <c r="I39" s="12">
        <f t="shared" si="3"/>
        <v>3.2356393544179927</v>
      </c>
      <c r="J39" s="12">
        <f t="shared" si="4"/>
        <v>0.72724563788675034</v>
      </c>
      <c r="K39" s="12">
        <f t="shared" si="5"/>
        <v>8.9884292323081608E-2</v>
      </c>
    </row>
    <row r="40" spans="2:11" x14ac:dyDescent="0.25">
      <c r="B40" s="10">
        <v>36</v>
      </c>
      <c r="C40" s="11">
        <v>43927</v>
      </c>
      <c r="D40" s="12">
        <f t="shared" si="0"/>
        <v>523616.75142149092</v>
      </c>
      <c r="E40" s="12">
        <f t="shared" si="1"/>
        <v>29.589502406287838</v>
      </c>
      <c r="F40" s="12">
        <f t="shared" si="7"/>
        <v>8.5965777314606129</v>
      </c>
      <c r="G40" s="12">
        <f t="shared" si="7"/>
        <v>1.0624983713041216</v>
      </c>
      <c r="H40" s="9"/>
      <c r="I40" s="12">
        <f t="shared" si="3"/>
        <v>3.554841986801486</v>
      </c>
      <c r="J40" s="12">
        <f t="shared" si="4"/>
        <v>0.79899475080492599</v>
      </c>
      <c r="K40" s="12">
        <f t="shared" si="5"/>
        <v>9.875216021184488E-2</v>
      </c>
    </row>
    <row r="41" spans="2:11" x14ac:dyDescent="0.25">
      <c r="B41" s="10">
        <v>37</v>
      </c>
      <c r="C41" s="11">
        <v>43928</v>
      </c>
      <c r="D41" s="12">
        <f t="shared" si="0"/>
        <v>523612.84589199396</v>
      </c>
      <c r="E41" s="12">
        <f t="shared" si="1"/>
        <v>32.508715156393741</v>
      </c>
      <c r="F41" s="12">
        <f t="shared" si="7"/>
        <v>9.4743996361804861</v>
      </c>
      <c r="G41" s="12">
        <f t="shared" si="7"/>
        <v>1.1709932134605106</v>
      </c>
      <c r="H41" s="9"/>
      <c r="I41" s="12">
        <f t="shared" si="3"/>
        <v>3.9055294969821688</v>
      </c>
      <c r="J41" s="12">
        <f t="shared" si="4"/>
        <v>0.87782190471987254</v>
      </c>
      <c r="K41" s="12">
        <f t="shared" si="5"/>
        <v>0.10849484215638884</v>
      </c>
    </row>
    <row r="42" spans="2:11" x14ac:dyDescent="0.25">
      <c r="B42" s="10">
        <v>38</v>
      </c>
      <c r="C42" s="11">
        <v>43929</v>
      </c>
      <c r="D42" s="12">
        <f t="shared" si="0"/>
        <v>523608.55508562882</v>
      </c>
      <c r="E42" s="12">
        <f t="shared" si="1"/>
        <v>35.715897682974187</v>
      </c>
      <c r="F42" s="12">
        <f t="shared" si="7"/>
        <v>10.438824852486833</v>
      </c>
      <c r="G42" s="12">
        <f t="shared" si="7"/>
        <v>1.290191835700621</v>
      </c>
      <c r="H42" s="9"/>
      <c r="I42" s="12">
        <f t="shared" si="3"/>
        <v>4.2908063651269064</v>
      </c>
      <c r="J42" s="12">
        <f t="shared" si="4"/>
        <v>0.96442521630634759</v>
      </c>
      <c r="K42" s="12">
        <f t="shared" si="5"/>
        <v>0.11919862224011049</v>
      </c>
    </row>
    <row r="43" spans="2:11" x14ac:dyDescent="0.25">
      <c r="B43" s="10">
        <v>39</v>
      </c>
      <c r="C43" s="11">
        <v>43930</v>
      </c>
      <c r="D43" s="12">
        <f t="shared" si="0"/>
        <v>523603.84100266872</v>
      </c>
      <c r="E43" s="12">
        <f t="shared" si="1"/>
        <v>39.23945072029661</v>
      </c>
      <c r="F43" s="12">
        <f t="shared" si="7"/>
        <v>11.498396483748401</v>
      </c>
      <c r="G43" s="12">
        <f t="shared" si="7"/>
        <v>1.4211501272048599</v>
      </c>
      <c r="H43" s="9"/>
      <c r="I43" s="12">
        <f t="shared" si="3"/>
        <v>4.7140829600882261</v>
      </c>
      <c r="J43" s="12">
        <f t="shared" si="4"/>
        <v>1.0595716312615673</v>
      </c>
      <c r="K43" s="12">
        <f t="shared" si="5"/>
        <v>0.13095829150423879</v>
      </c>
    </row>
    <row r="44" spans="2:11" x14ac:dyDescent="0.25">
      <c r="B44" s="10">
        <v>40</v>
      </c>
      <c r="C44" s="11">
        <v>43931</v>
      </c>
      <c r="D44" s="12">
        <f t="shared" si="0"/>
        <v>523598.66189703526</v>
      </c>
      <c r="E44" s="12">
        <f t="shared" si="1"/>
        <v>43.110574663082261</v>
      </c>
      <c r="F44" s="12">
        <f t="shared" si="7"/>
        <v>12.662500188450533</v>
      </c>
      <c r="G44" s="12">
        <f t="shared" si="7"/>
        <v>1.5650281131792809</v>
      </c>
      <c r="H44" s="9"/>
      <c r="I44" s="12">
        <f t="shared" si="3"/>
        <v>5.1791056334622079</v>
      </c>
      <c r="J44" s="12">
        <f t="shared" si="4"/>
        <v>1.1641037047021325</v>
      </c>
      <c r="K44" s="12">
        <f t="shared" si="5"/>
        <v>0.14387798597442103</v>
      </c>
    </row>
    <row r="45" spans="2:11" x14ac:dyDescent="0.25">
      <c r="B45" s="10">
        <v>41</v>
      </c>
      <c r="C45" s="11">
        <v>43932</v>
      </c>
      <c r="D45" s="12">
        <f t="shared" si="0"/>
        <v>523592.97190727032</v>
      </c>
      <c r="E45" s="12">
        <f t="shared" si="1"/>
        <v>47.363545272577035</v>
      </c>
      <c r="F45" s="12">
        <f t="shared" si="7"/>
        <v>13.94144723678864</v>
      </c>
      <c r="G45" s="12">
        <f t="shared" si="7"/>
        <v>1.7231002202772494</v>
      </c>
      <c r="H45" s="9"/>
      <c r="I45" s="12">
        <f t="shared" si="3"/>
        <v>5.6899897649308393</v>
      </c>
      <c r="J45" s="12">
        <f t="shared" si="4"/>
        <v>1.2789470483381069</v>
      </c>
      <c r="K45" s="12">
        <f t="shared" si="5"/>
        <v>0.15807210709796843</v>
      </c>
    </row>
    <row r="46" spans="2:11" x14ac:dyDescent="0.25">
      <c r="B46" s="10">
        <v>42</v>
      </c>
      <c r="C46" s="11">
        <v>43933</v>
      </c>
      <c r="D46" s="12">
        <f t="shared" si="0"/>
        <v>523586.72065122396</v>
      </c>
      <c r="E46" s="12">
        <f t="shared" si="1"/>
        <v>52.036016476517716</v>
      </c>
      <c r="F46" s="12">
        <f t="shared" si="7"/>
        <v>15.34656574654176</v>
      </c>
      <c r="G46" s="12">
        <f t="shared" si="7"/>
        <v>1.8967665529433653</v>
      </c>
      <c r="H46" s="9"/>
      <c r="I46" s="12">
        <f t="shared" si="3"/>
        <v>6.2512560463599138</v>
      </c>
      <c r="J46" s="12">
        <f t="shared" si="4"/>
        <v>1.4051185097531187</v>
      </c>
      <c r="K46" s="12">
        <f t="shared" si="5"/>
        <v>0.17366633266611595</v>
      </c>
    </row>
    <row r="47" spans="2:11" x14ac:dyDescent="0.25">
      <c r="B47" s="10">
        <v>43</v>
      </c>
      <c r="C47" s="11">
        <v>43934</v>
      </c>
      <c r="D47" s="12">
        <f t="shared" si="0"/>
        <v>523579.85278090427</v>
      </c>
      <c r="E47" s="12">
        <f t="shared" si="1"/>
        <v>57.16935291368501</v>
      </c>
      <c r="F47" s="12">
        <f t="shared" si="7"/>
        <v>16.890300902011784</v>
      </c>
      <c r="G47" s="12">
        <f t="shared" si="7"/>
        <v>2.0875652800239304</v>
      </c>
      <c r="H47" s="9"/>
      <c r="I47" s="12">
        <f t="shared" si="3"/>
        <v>6.8678703197178779</v>
      </c>
      <c r="J47" s="12">
        <f t="shared" si="4"/>
        <v>1.5437351554700254</v>
      </c>
      <c r="K47" s="12">
        <f t="shared" si="5"/>
        <v>0.19079872708056514</v>
      </c>
    </row>
    <row r="48" spans="2:11" x14ac:dyDescent="0.25">
      <c r="B48" s="10">
        <v>44</v>
      </c>
      <c r="C48" s="11">
        <v>43935</v>
      </c>
      <c r="D48" s="12">
        <f t="shared" si="0"/>
        <v>523572.30749359023</v>
      </c>
      <c r="E48" s="12">
        <f t="shared" si="1"/>
        <v>62.808995130601474</v>
      </c>
      <c r="F48" s="12">
        <f t="shared" si="7"/>
        <v>18.586325038451108</v>
      </c>
      <c r="G48" s="12">
        <f t="shared" si="7"/>
        <v>2.2971862407074424</v>
      </c>
      <c r="H48" s="9"/>
      <c r="I48" s="12">
        <f t="shared" si="3"/>
        <v>7.545287314039288</v>
      </c>
      <c r="J48" s="12">
        <f t="shared" si="4"/>
        <v>1.6960241364393218</v>
      </c>
      <c r="K48" s="12">
        <f t="shared" si="5"/>
        <v>0.20962096068351191</v>
      </c>
    </row>
    <row r="49" spans="2:11" x14ac:dyDescent="0.25">
      <c r="B49" s="10">
        <v>45</v>
      </c>
      <c r="C49" s="11">
        <v>43936</v>
      </c>
      <c r="D49" s="12">
        <f t="shared" si="0"/>
        <v>523564.01799493062</v>
      </c>
      <c r="E49" s="12">
        <f t="shared" si="1"/>
        <v>69.00486061918005</v>
      </c>
      <c r="F49" s="12">
        <f t="shared" si="7"/>
        <v>20.44965856065895</v>
      </c>
      <c r="G49" s="12">
        <f t="shared" si="7"/>
        <v>2.5274858895196481</v>
      </c>
      <c r="H49" s="9"/>
      <c r="I49" s="12">
        <f t="shared" si="3"/>
        <v>8.2894986595986264</v>
      </c>
      <c r="J49" s="12">
        <f t="shared" si="4"/>
        <v>1.8633335222078435</v>
      </c>
      <c r="K49" s="12">
        <f t="shared" si="5"/>
        <v>0.23029964881220563</v>
      </c>
    </row>
    <row r="50" spans="2:11" x14ac:dyDescent="0.25">
      <c r="B50" s="10">
        <v>46</v>
      </c>
      <c r="C50" s="11">
        <v>43937</v>
      </c>
      <c r="D50" s="12">
        <f t="shared" si="0"/>
        <v>523554.91090933722</v>
      </c>
      <c r="E50" s="12">
        <f t="shared" si="1"/>
        <v>75.811784191962346</v>
      </c>
      <c r="F50" s="12">
        <f t="shared" si="7"/>
        <v>22.496802759027958</v>
      </c>
      <c r="G50" s="12">
        <f t="shared" si="7"/>
        <v>2.7805037117899754</v>
      </c>
      <c r="H50" s="9"/>
      <c r="I50" s="12">
        <f t="shared" si="3"/>
        <v>9.1070855934216297</v>
      </c>
      <c r="J50" s="12">
        <f t="shared" si="4"/>
        <v>2.0471441983690082</v>
      </c>
      <c r="K50" s="12">
        <f t="shared" si="5"/>
        <v>0.2530178222703271</v>
      </c>
    </row>
    <row r="51" spans="2:11" x14ac:dyDescent="0.25">
      <c r="B51" s="10">
        <v>47</v>
      </c>
      <c r="C51" s="11">
        <v>43938</v>
      </c>
      <c r="D51" s="12">
        <f t="shared" si="0"/>
        <v>523544.90563252772</v>
      </c>
      <c r="E51" s="12">
        <f t="shared" si="1"/>
        <v>83.290001528389055</v>
      </c>
      <c r="F51" s="12">
        <f t="shared" si="7"/>
        <v>24.745885690056173</v>
      </c>
      <c r="G51" s="12">
        <f t="shared" si="7"/>
        <v>3.0584802538271707</v>
      </c>
      <c r="H51" s="9"/>
      <c r="I51" s="12">
        <f t="shared" si="3"/>
        <v>10.005276809492118</v>
      </c>
      <c r="J51" s="12">
        <f t="shared" si="4"/>
        <v>2.2490829310282163</v>
      </c>
      <c r="K51" s="12">
        <f t="shared" si="5"/>
        <v>0.27797654203719552</v>
      </c>
    </row>
    <row r="52" spans="2:11" x14ac:dyDescent="0.25">
      <c r="B52" s="10">
        <v>48</v>
      </c>
      <c r="C52" s="11">
        <v>43939</v>
      </c>
      <c r="D52" s="12">
        <f t="shared" si="0"/>
        <v>523533.91362057795</v>
      </c>
      <c r="E52" s="12">
        <f t="shared" si="1"/>
        <v>91.505680093887293</v>
      </c>
      <c r="F52" s="12">
        <f t="shared" si="7"/>
        <v>27.216822402065048</v>
      </c>
      <c r="G52" s="12">
        <f t="shared" si="7"/>
        <v>3.3638769260979307</v>
      </c>
      <c r="H52" s="9"/>
      <c r="I52" s="12">
        <f t="shared" si="3"/>
        <v>10.992011949777879</v>
      </c>
      <c r="J52" s="12">
        <f t="shared" si="4"/>
        <v>2.4709367120088754</v>
      </c>
      <c r="K52" s="12">
        <f t="shared" si="5"/>
        <v>0.30539667227076012</v>
      </c>
    </row>
    <row r="53" spans="2:11" x14ac:dyDescent="0.25">
      <c r="B53" s="10">
        <v>49</v>
      </c>
      <c r="C53" s="11">
        <v>43940</v>
      </c>
      <c r="D53" s="12">
        <f t="shared" si="0"/>
        <v>523521.83760929917</v>
      </c>
      <c r="E53" s="12">
        <f t="shared" si="1"/>
        <v>100.53150203620345</v>
      </c>
      <c r="F53" s="12">
        <f t="shared" si="7"/>
        <v>29.931490911517038</v>
      </c>
      <c r="G53" s="12">
        <f t="shared" si="7"/>
        <v>3.6993977531088511</v>
      </c>
      <c r="H53" s="9"/>
      <c r="I53" s="12">
        <f t="shared" si="3"/>
        <v>12.076011278779077</v>
      </c>
      <c r="J53" s="12">
        <f t="shared" si="4"/>
        <v>2.7146685094519896</v>
      </c>
      <c r="K53" s="12">
        <f t="shared" si="5"/>
        <v>0.33552082701092034</v>
      </c>
    </row>
    <row r="54" spans="2:11" x14ac:dyDescent="0.25">
      <c r="B54" s="10">
        <v>50</v>
      </c>
      <c r="C54" s="11">
        <v>43941</v>
      </c>
      <c r="D54" s="12">
        <f t="shared" si="0"/>
        <v>523508.57075716415</v>
      </c>
      <c r="E54" s="12">
        <f t="shared" si="1"/>
        <v>110.44730410332001</v>
      </c>
      <c r="F54" s="12">
        <f t="shared" ref="F54:G69" si="8">F53+J54</f>
        <v>32.913925471924408</v>
      </c>
      <c r="G54" s="12">
        <f t="shared" si="8"/>
        <v>4.0680132605749311</v>
      </c>
      <c r="H54" s="9"/>
      <c r="I54" s="12">
        <f t="shared" si="3"/>
        <v>13.266852134989998</v>
      </c>
      <c r="J54" s="12">
        <f t="shared" si="4"/>
        <v>2.9824345604073685</v>
      </c>
      <c r="K54" s="12">
        <f t="shared" si="5"/>
        <v>0.36861550746607968</v>
      </c>
    </row>
    <row r="55" spans="2:11" x14ac:dyDescent="0.25">
      <c r="B55" s="10">
        <v>51</v>
      </c>
      <c r="C55" s="11">
        <v>43942</v>
      </c>
      <c r="D55" s="12">
        <f t="shared" si="0"/>
        <v>523493.99570435641</v>
      </c>
      <c r="E55" s="12">
        <f t="shared" si="1"/>
        <v>121.34078010764053</v>
      </c>
      <c r="F55" s="12">
        <f t="shared" si="8"/>
        <v>36.190528826989571</v>
      </c>
      <c r="G55" s="12">
        <f t="shared" si="8"/>
        <v>4.4729867089537718</v>
      </c>
      <c r="H55" s="9"/>
      <c r="I55" s="12">
        <f t="shared" si="3"/>
        <v>14.575052807764521</v>
      </c>
      <c r="J55" s="12">
        <f t="shared" si="4"/>
        <v>3.2766033550651601</v>
      </c>
      <c r="K55" s="12">
        <f t="shared" si="5"/>
        <v>0.40497344837884042</v>
      </c>
    </row>
    <row r="56" spans="2:11" x14ac:dyDescent="0.25">
      <c r="B56" s="10">
        <v>52</v>
      </c>
      <c r="C56" s="11">
        <v>43943</v>
      </c>
      <c r="D56" s="12">
        <f t="shared" si="0"/>
        <v>523477.98353980848</v>
      </c>
      <c r="E56" s="12">
        <f t="shared" si="1"/>
        <v>133.30825198528808</v>
      </c>
      <c r="F56" s="12">
        <f t="shared" si="8"/>
        <v>39.790305303516242</v>
      </c>
      <c r="G56" s="12">
        <f t="shared" si="8"/>
        <v>4.9179029026817878</v>
      </c>
      <c r="H56" s="9"/>
      <c r="I56" s="12">
        <f t="shared" si="3"/>
        <v>16.01216454790222</v>
      </c>
      <c r="J56" s="12">
        <f t="shared" si="4"/>
        <v>3.5997764765266687</v>
      </c>
      <c r="K56" s="12">
        <f t="shared" si="5"/>
        <v>0.44491619372801566</v>
      </c>
    </row>
    <row r="57" spans="2:11" x14ac:dyDescent="0.25">
      <c r="B57" s="10">
        <v>53</v>
      </c>
      <c r="C57" s="11">
        <v>43944</v>
      </c>
      <c r="D57" s="12">
        <f t="shared" si="0"/>
        <v>523460.39266732335</v>
      </c>
      <c r="E57" s="12">
        <f t="shared" si="1"/>
        <v>146.4555160709244</v>
      </c>
      <c r="F57" s="12">
        <f t="shared" si="8"/>
        <v>43.745116779079787</v>
      </c>
      <c r="G57" s="12">
        <f t="shared" si="8"/>
        <v>5.4066998266278441</v>
      </c>
      <c r="H57" s="9"/>
      <c r="I57" s="12">
        <f t="shared" si="3"/>
        <v>17.590872485145962</v>
      </c>
      <c r="J57" s="12">
        <f t="shared" si="4"/>
        <v>3.9548114755635457</v>
      </c>
      <c r="K57" s="12">
        <f t="shared" si="5"/>
        <v>0.48879692394605673</v>
      </c>
    </row>
    <row r="58" spans="2:11" x14ac:dyDescent="0.25">
      <c r="B58" s="10">
        <v>54</v>
      </c>
      <c r="C58" s="11">
        <v>43945</v>
      </c>
      <c r="D58" s="12">
        <f t="shared" si="0"/>
        <v>523441.0675610273</v>
      </c>
      <c r="E58" s="12">
        <f t="shared" si="1"/>
        <v>160.89877183125338</v>
      </c>
      <c r="F58" s="12">
        <f t="shared" si="8"/>
        <v>48.08996375585054</v>
      </c>
      <c r="G58" s="12">
        <f t="shared" si="8"/>
        <v>5.9437033855545671</v>
      </c>
      <c r="H58" s="9"/>
      <c r="I58" s="12">
        <f t="shared" si="3"/>
        <v>19.325106296026455</v>
      </c>
      <c r="J58" s="12">
        <f t="shared" si="4"/>
        <v>4.3448469767707563</v>
      </c>
      <c r="K58" s="12">
        <f t="shared" si="5"/>
        <v>0.53700355892672336</v>
      </c>
    </row>
    <row r="59" spans="2:11" x14ac:dyDescent="0.25">
      <c r="B59" s="10">
        <v>55</v>
      </c>
      <c r="C59" s="11">
        <v>43946</v>
      </c>
      <c r="D59" s="12">
        <f t="shared" si="0"/>
        <v>523419.83739948587</v>
      </c>
      <c r="E59" s="12">
        <f t="shared" si="1"/>
        <v>176.76564097830141</v>
      </c>
      <c r="F59" s="12">
        <f t="shared" si="8"/>
        <v>52.86329398684439</v>
      </c>
      <c r="G59" s="12">
        <f t="shared" si="8"/>
        <v>6.5336655489358302</v>
      </c>
      <c r="H59" s="9"/>
      <c r="I59" s="12">
        <f t="shared" si="3"/>
        <v>21.23016154142314</v>
      </c>
      <c r="J59" s="12">
        <f t="shared" si="4"/>
        <v>4.7733302309938495</v>
      </c>
      <c r="K59" s="12">
        <f t="shared" si="5"/>
        <v>0.58996216338126284</v>
      </c>
    </row>
    <row r="60" spans="2:11" x14ac:dyDescent="0.25">
      <c r="B60" s="10">
        <v>56</v>
      </c>
      <c r="C60" s="11">
        <v>43947</v>
      </c>
      <c r="D60" s="12">
        <f t="shared" si="0"/>
        <v>523396.51456681074</v>
      </c>
      <c r="E60" s="12">
        <f t="shared" si="1"/>
        <v>194.19628562083287</v>
      </c>
      <c r="F60" s="12">
        <f t="shared" si="8"/>
        <v>58.107341335867332</v>
      </c>
      <c r="G60" s="12">
        <f t="shared" si="8"/>
        <v>7.1818062325229359</v>
      </c>
      <c r="H60" s="9"/>
      <c r="I60" s="12">
        <f t="shared" si="3"/>
        <v>23.322832675141516</v>
      </c>
      <c r="J60" s="12">
        <f t="shared" si="4"/>
        <v>5.2440473490229405</v>
      </c>
      <c r="K60" s="12">
        <f t="shared" si="5"/>
        <v>0.64814068358710564</v>
      </c>
    </row>
    <row r="61" spans="2:11" x14ac:dyDescent="0.25">
      <c r="B61" s="10">
        <v>57</v>
      </c>
      <c r="C61" s="11">
        <v>43948</v>
      </c>
      <c r="D61" s="12">
        <f t="shared" si="0"/>
        <v>523370.89300799771</v>
      </c>
      <c r="E61" s="12">
        <f t="shared" si="1"/>
        <v>213.34463491316018</v>
      </c>
      <c r="F61" s="12">
        <f t="shared" si="8"/>
        <v>63.868497809285373</v>
      </c>
      <c r="G61" s="12">
        <f t="shared" si="8"/>
        <v>7.8938592797993241</v>
      </c>
      <c r="H61" s="9"/>
      <c r="I61" s="12">
        <f t="shared" si="3"/>
        <v>25.62155881302176</v>
      </c>
      <c r="J61" s="12">
        <f t="shared" si="4"/>
        <v>5.7611564734180414</v>
      </c>
      <c r="K61" s="12">
        <f t="shared" si="5"/>
        <v>0.71205304727638785</v>
      </c>
    </row>
    <row r="62" spans="2:11" x14ac:dyDescent="0.25">
      <c r="B62" s="10">
        <v>58</v>
      </c>
      <c r="C62" s="11">
        <v>43949</v>
      </c>
      <c r="D62" s="12">
        <f t="shared" si="0"/>
        <v>523342.74642455089</v>
      </c>
      <c r="E62" s="12">
        <f t="shared" si="1"/>
        <v>234.37973052956531</v>
      </c>
      <c r="F62" s="12">
        <f t="shared" si="8"/>
        <v>70.197721978375796</v>
      </c>
      <c r="G62" s="12">
        <f t="shared" si="8"/>
        <v>8.6761229411475789</v>
      </c>
      <c r="H62" s="9"/>
      <c r="I62" s="12">
        <f t="shared" si="3"/>
        <v>28.146583446843799</v>
      </c>
      <c r="J62" s="12">
        <f t="shared" si="4"/>
        <v>6.3292241690904181</v>
      </c>
      <c r="K62" s="12">
        <f t="shared" si="5"/>
        <v>0.78226366134825465</v>
      </c>
    </row>
    <row r="63" spans="2:11" x14ac:dyDescent="0.25">
      <c r="B63" s="10">
        <v>59</v>
      </c>
      <c r="C63" s="11">
        <v>43950</v>
      </c>
      <c r="D63" s="12">
        <f t="shared" si="0"/>
        <v>523311.82629516209</v>
      </c>
      <c r="E63" s="12">
        <f t="shared" si="1"/>
        <v>257.4872022340316</v>
      </c>
      <c r="F63" s="12">
        <f t="shared" si="8"/>
        <v>77.150987317419563</v>
      </c>
      <c r="G63" s="12">
        <f t="shared" si="8"/>
        <v>9.5355152864226529</v>
      </c>
      <c r="H63" s="9"/>
      <c r="I63" s="12">
        <f t="shared" si="3"/>
        <v>30.920129388785128</v>
      </c>
      <c r="J63" s="12">
        <f t="shared" si="4"/>
        <v>6.95326533904377</v>
      </c>
      <c r="K63" s="12">
        <f t="shared" si="5"/>
        <v>0.85939234527507358</v>
      </c>
    </row>
    <row r="64" spans="2:11" x14ac:dyDescent="0.25">
      <c r="B64" s="10">
        <v>60</v>
      </c>
      <c r="C64" s="13">
        <v>43951</v>
      </c>
      <c r="D64" s="12">
        <f t="shared" si="0"/>
        <v>523277.85970482155</v>
      </c>
      <c r="E64" s="12">
        <f t="shared" si="1"/>
        <v>282.87088583345064</v>
      </c>
      <c r="F64" s="12">
        <f t="shared" si="8"/>
        <v>84.78977431702917</v>
      </c>
      <c r="G64" s="12">
        <f t="shared" si="8"/>
        <v>10.479635027947436</v>
      </c>
      <c r="H64" s="9"/>
      <c r="I64" s="12">
        <f t="shared" si="3"/>
        <v>33.966590340553395</v>
      </c>
      <c r="J64" s="12">
        <f t="shared" si="4"/>
        <v>7.6387869996096036</v>
      </c>
      <c r="K64" s="12">
        <f t="shared" si="5"/>
        <v>0.9441197415247834</v>
      </c>
    </row>
    <row r="65" spans="2:11" x14ac:dyDescent="0.25">
      <c r="B65" s="10">
        <v>61</v>
      </c>
      <c r="C65" s="11">
        <v>43952</v>
      </c>
      <c r="D65" s="12">
        <f t="shared" si="0"/>
        <v>523240.54696422495</v>
      </c>
      <c r="E65" s="12">
        <f t="shared" si="1"/>
        <v>310.75459690226745</v>
      </c>
      <c r="F65" s="12">
        <f t="shared" si="8"/>
        <v>93.181610596754865</v>
      </c>
      <c r="G65" s="12">
        <f t="shared" si="8"/>
        <v>11.516828276003423</v>
      </c>
      <c r="H65" s="9"/>
      <c r="I65" s="12">
        <f t="shared" si="3"/>
        <v>37.312740596598466</v>
      </c>
      <c r="J65" s="12">
        <f t="shared" si="4"/>
        <v>8.3918362797257018</v>
      </c>
      <c r="K65" s="12">
        <f t="shared" si="5"/>
        <v>1.0371932480559864</v>
      </c>
    </row>
    <row r="66" spans="2:11" x14ac:dyDescent="0.25">
      <c r="B66" s="10">
        <v>62</v>
      </c>
      <c r="C66" s="11">
        <v>43953</v>
      </c>
      <c r="D66" s="12">
        <f t="shared" si="0"/>
        <v>523199.558999712</v>
      </c>
      <c r="E66" s="12">
        <f t="shared" si="1"/>
        <v>341.38407485178482</v>
      </c>
      <c r="F66" s="12">
        <f t="shared" si="8"/>
        <v>102.4006636381888</v>
      </c>
      <c r="G66" s="12">
        <f t="shared" si="8"/>
        <v>12.656261797978406</v>
      </c>
      <c r="H66" s="9"/>
      <c r="I66" s="12">
        <f t="shared" si="3"/>
        <v>40.987964512926268</v>
      </c>
      <c r="J66" s="12">
        <f t="shared" si="4"/>
        <v>9.2190530414339342</v>
      </c>
      <c r="K66" s="12">
        <f t="shared" si="5"/>
        <v>1.1394335219749818</v>
      </c>
    </row>
    <row r="67" spans="2:11" x14ac:dyDescent="0.25">
      <c r="B67" s="10">
        <v>63</v>
      </c>
      <c r="C67" s="11">
        <v>43954</v>
      </c>
      <c r="D67" s="12">
        <f t="shared" si="0"/>
        <v>523154.53449221025</v>
      </c>
      <c r="E67" s="12">
        <f t="shared" si="1"/>
        <v>375.0291131918068</v>
      </c>
      <c r="F67" s="12">
        <f t="shared" si="8"/>
        <v>112.52839119212508</v>
      </c>
      <c r="G67" s="12">
        <f t="shared" si="8"/>
        <v>13.908003405768284</v>
      </c>
      <c r="H67" s="9"/>
      <c r="I67" s="12">
        <f t="shared" si="3"/>
        <v>45.024507501748154</v>
      </c>
      <c r="J67" s="12">
        <f t="shared" si="4"/>
        <v>10.12772755393628</v>
      </c>
      <c r="K67" s="12">
        <f t="shared" si="5"/>
        <v>1.2517416077898786</v>
      </c>
    </row>
    <row r="68" spans="2:11" x14ac:dyDescent="0.25">
      <c r="B68" s="10">
        <v>64</v>
      </c>
      <c r="C68" s="11">
        <v>43955</v>
      </c>
      <c r="D68" s="12">
        <f t="shared" si="0"/>
        <v>523105.07674176322</v>
      </c>
      <c r="E68" s="12">
        <f t="shared" si="1"/>
        <v>411.98589319913418</v>
      </c>
      <c r="F68" s="12">
        <f t="shared" si="8"/>
        <v>123.65425488348203</v>
      </c>
      <c r="G68" s="12">
        <f t="shared" si="8"/>
        <v>15.283110154138242</v>
      </c>
      <c r="H68" s="9"/>
      <c r="I68" s="12">
        <f t="shared" si="3"/>
        <v>49.457750447054231</v>
      </c>
      <c r="J68" s="12">
        <f t="shared" si="4"/>
        <v>11.125863691356933</v>
      </c>
      <c r="K68" s="12">
        <f t="shared" si="5"/>
        <v>1.3751067483699595</v>
      </c>
    </row>
    <row r="69" spans="2:11" x14ac:dyDescent="0.25">
      <c r="B69" s="10">
        <v>65</v>
      </c>
      <c r="C69" s="11">
        <v>43956</v>
      </c>
      <c r="D69" s="12">
        <f t="shared" si="0"/>
        <v>523050.75023218675</v>
      </c>
      <c r="E69" s="12">
        <f t="shared" si="1"/>
        <v>452.5795396689864</v>
      </c>
      <c r="F69" s="12">
        <f t="shared" si="8"/>
        <v>135.87650304838968</v>
      </c>
      <c r="G69" s="12">
        <f t="shared" si="8"/>
        <v>16.793725095868403</v>
      </c>
      <c r="H69" s="9"/>
      <c r="I69" s="12">
        <f t="shared" si="3"/>
        <v>54.326509576490039</v>
      </c>
      <c r="J69" s="12">
        <f t="shared" si="4"/>
        <v>12.222248164907647</v>
      </c>
      <c r="K69" s="12">
        <f t="shared" si="5"/>
        <v>1.51061494173016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522991.07686821715</v>
      </c>
      <c r="E70" s="12">
        <f t="shared" ref="E70:E133" si="10">E69+I70-J70-K70</f>
        <v>497.16691898295454</v>
      </c>
      <c r="F70" s="12">
        <f t="shared" ref="F70:G85" si="11">F69+J70</f>
        <v>149.30302939190295</v>
      </c>
      <c r="G70" s="12">
        <f t="shared" si="11"/>
        <v>18.453183407988021</v>
      </c>
      <c r="H70" s="9"/>
      <c r="I70" s="12">
        <f t="shared" ref="I70:I133" si="12">E69*N$6*D69/SUM(D69:F69)*N$7</f>
        <v>59.67336396960102</v>
      </c>
      <c r="J70" s="12">
        <f t="shared" ref="J70:J133" si="13">E69*N$8/N$5</f>
        <v>13.426526343513263</v>
      </c>
      <c r="K70" s="12">
        <f t="shared" ref="K70:K133" si="14">E69*N$9/N$5</f>
        <v>1.6594583121196183</v>
      </c>
    </row>
    <row r="71" spans="2:11" x14ac:dyDescent="0.25">
      <c r="B71" s="10">
        <v>67</v>
      </c>
      <c r="C71" s="11">
        <v>43958</v>
      </c>
      <c r="D71" s="12">
        <f t="shared" si="9"/>
        <v>522925.53185518703</v>
      </c>
      <c r="E71" s="12">
        <f t="shared" si="10"/>
        <v>546.13970138032857</v>
      </c>
      <c r="F71" s="12">
        <f t="shared" si="11"/>
        <v>164.05231465506392</v>
      </c>
      <c r="G71" s="12">
        <f t="shared" si="11"/>
        <v>20.276128777592188</v>
      </c>
      <c r="H71" s="9"/>
      <c r="I71" s="12">
        <f t="shared" si="12"/>
        <v>65.545013030139259</v>
      </c>
      <c r="J71" s="12">
        <f t="shared" si="13"/>
        <v>14.749285263160983</v>
      </c>
      <c r="K71" s="12">
        <f t="shared" si="14"/>
        <v>1.8229453696041682</v>
      </c>
    </row>
    <row r="72" spans="2:11" x14ac:dyDescent="0.25">
      <c r="B72" s="10">
        <v>68</v>
      </c>
      <c r="C72" s="11">
        <v>43959</v>
      </c>
      <c r="D72" s="12">
        <f t="shared" si="9"/>
        <v>522853.53918878827</v>
      </c>
      <c r="E72" s="12">
        <f t="shared" si="10"/>
        <v>599.92771106639066</v>
      </c>
      <c r="F72" s="12">
        <f t="shared" si="11"/>
        <v>180.254459129347</v>
      </c>
      <c r="G72" s="12">
        <f t="shared" si="11"/>
        <v>22.278641015986729</v>
      </c>
      <c r="H72" s="9"/>
      <c r="I72" s="12">
        <f t="shared" si="12"/>
        <v>71.99266639873963</v>
      </c>
      <c r="J72" s="12">
        <f t="shared" si="13"/>
        <v>16.202144474283081</v>
      </c>
      <c r="K72" s="12">
        <f t="shared" si="14"/>
        <v>2.00251223839454</v>
      </c>
    </row>
    <row r="73" spans="2:11" x14ac:dyDescent="0.25">
      <c r="B73" s="10">
        <v>69</v>
      </c>
      <c r="C73" s="11">
        <v>43960</v>
      </c>
      <c r="D73" s="12">
        <f t="shared" si="9"/>
        <v>522774.46671985899</v>
      </c>
      <c r="E73" s="12">
        <f t="shared" si="10"/>
        <v>659.0025896267897</v>
      </c>
      <c r="F73" s="12">
        <f t="shared" si="11"/>
        <v>198.05231455764991</v>
      </c>
      <c r="G73" s="12">
        <f t="shared" si="11"/>
        <v>24.478375956563497</v>
      </c>
      <c r="H73" s="9"/>
      <c r="I73" s="12">
        <f t="shared" si="12"/>
        <v>79.072468929278671</v>
      </c>
      <c r="J73" s="12">
        <f t="shared" si="13"/>
        <v>17.79785542830292</v>
      </c>
      <c r="K73" s="12">
        <f t="shared" si="14"/>
        <v>2.1997349405767679</v>
      </c>
    </row>
    <row r="74" spans="2:11" x14ac:dyDescent="0.25">
      <c r="B74" s="10">
        <v>70</v>
      </c>
      <c r="C74" s="11">
        <v>43961</v>
      </c>
      <c r="D74" s="12">
        <f t="shared" si="9"/>
        <v>522687.62075636472</v>
      </c>
      <c r="E74" s="12">
        <f t="shared" si="10"/>
        <v>723.88180013349472</v>
      </c>
      <c r="F74" s="12">
        <f t="shared" si="11"/>
        <v>217.602724716578</v>
      </c>
      <c r="G74" s="12">
        <f t="shared" si="11"/>
        <v>26.89471878519506</v>
      </c>
      <c r="H74" s="9"/>
      <c r="I74" s="12">
        <f t="shared" si="12"/>
        <v>86.845963494264694</v>
      </c>
      <c r="J74" s="12">
        <f t="shared" si="13"/>
        <v>19.550410158928095</v>
      </c>
      <c r="K74" s="12">
        <f t="shared" si="14"/>
        <v>2.4163428286315645</v>
      </c>
    </row>
    <row r="75" spans="2:11" x14ac:dyDescent="0.25">
      <c r="B75" s="10">
        <v>71</v>
      </c>
      <c r="C75" s="11">
        <v>43962</v>
      </c>
      <c r="D75" s="12">
        <f t="shared" si="9"/>
        <v>522592.24016184732</v>
      </c>
      <c r="E75" s="12">
        <f t="shared" si="10"/>
        <v>795.13300131308119</v>
      </c>
      <c r="F75" s="12">
        <f t="shared" si="11"/>
        <v>239.07788478720499</v>
      </c>
      <c r="G75" s="12">
        <f t="shared" si="11"/>
        <v>29.548952052351211</v>
      </c>
      <c r="H75" s="9"/>
      <c r="I75" s="12">
        <f t="shared" si="12"/>
        <v>95.380594517369644</v>
      </c>
      <c r="J75" s="12">
        <f t="shared" si="13"/>
        <v>21.475160070627005</v>
      </c>
      <c r="K75" s="12">
        <f t="shared" si="14"/>
        <v>2.6542332671561497</v>
      </c>
    </row>
    <row r="76" spans="2:11" x14ac:dyDescent="0.25">
      <c r="B76" s="10">
        <v>72</v>
      </c>
      <c r="C76" s="11">
        <v>43963</v>
      </c>
      <c r="D76" s="12">
        <f t="shared" si="9"/>
        <v>522487.48990659806</v>
      </c>
      <c r="E76" s="12">
        <f t="shared" si="10"/>
        <v>873.37882318522907</v>
      </c>
      <c r="F76" s="12">
        <f t="shared" si="11"/>
        <v>262.66683049282642</v>
      </c>
      <c r="G76" s="12">
        <f t="shared" si="11"/>
        <v>32.464439723832513</v>
      </c>
      <c r="H76" s="9"/>
      <c r="I76" s="12">
        <f t="shared" si="12"/>
        <v>104.7502552492506</v>
      </c>
      <c r="J76" s="12">
        <f t="shared" si="13"/>
        <v>23.588945705621409</v>
      </c>
      <c r="K76" s="12">
        <f t="shared" si="14"/>
        <v>2.9154876714813005</v>
      </c>
    </row>
    <row r="77" spans="2:11" x14ac:dyDescent="0.25">
      <c r="B77" s="10">
        <v>73</v>
      </c>
      <c r="C77" s="11">
        <v>43964</v>
      </c>
      <c r="D77" s="12">
        <f t="shared" si="9"/>
        <v>522372.45402469876</v>
      </c>
      <c r="E77" s="12">
        <f t="shared" si="10"/>
        <v>959.30207764500847</v>
      </c>
      <c r="F77" s="12">
        <f t="shared" si="11"/>
        <v>288.57706891398823</v>
      </c>
      <c r="G77" s="12">
        <f t="shared" si="11"/>
        <v>35.666828742178353</v>
      </c>
      <c r="H77" s="9"/>
      <c r="I77" s="12">
        <f t="shared" si="12"/>
        <v>115.03588189928696</v>
      </c>
      <c r="J77" s="12">
        <f t="shared" si="13"/>
        <v>25.910238421161793</v>
      </c>
      <c r="K77" s="12">
        <f t="shared" si="14"/>
        <v>3.2023890183458428</v>
      </c>
    </row>
    <row r="78" spans="2:11" x14ac:dyDescent="0.25">
      <c r="B78" s="10">
        <v>74</v>
      </c>
      <c r="C78" s="11">
        <v>43965</v>
      </c>
      <c r="D78" s="12">
        <f t="shared" si="9"/>
        <v>522246.1279268965</v>
      </c>
      <c r="E78" s="12">
        <f t="shared" si="10"/>
        <v>1053.6514395257884</v>
      </c>
      <c r="F78" s="12">
        <f t="shared" si="11"/>
        <v>317.03636388412349</v>
      </c>
      <c r="G78" s="12">
        <f t="shared" si="11"/>
        <v>39.184269693543385</v>
      </c>
      <c r="H78" s="9"/>
      <c r="I78" s="12">
        <f t="shared" si="12"/>
        <v>126.32609780228012</v>
      </c>
      <c r="J78" s="12">
        <f t="shared" si="13"/>
        <v>28.45929497013525</v>
      </c>
      <c r="K78" s="12">
        <f t="shared" si="14"/>
        <v>3.517440951365034</v>
      </c>
    </row>
    <row r="79" spans="2:11" x14ac:dyDescent="0.25">
      <c r="B79" s="10">
        <v>75</v>
      </c>
      <c r="C79" s="11">
        <v>43966</v>
      </c>
      <c r="D79" s="12">
        <f t="shared" si="9"/>
        <v>522107.41001607146</v>
      </c>
      <c r="E79" s="12">
        <f t="shared" si="10"/>
        <v>1157.2476356999468</v>
      </c>
      <c r="F79" s="12">
        <f t="shared" si="11"/>
        <v>348.29468992338855</v>
      </c>
      <c r="G79" s="12">
        <f t="shared" si="11"/>
        <v>43.047658305137944</v>
      </c>
      <c r="H79" s="9"/>
      <c r="I79" s="12">
        <f t="shared" si="12"/>
        <v>138.71791082501804</v>
      </c>
      <c r="J79" s="12">
        <f t="shared" si="13"/>
        <v>31.258326039265054</v>
      </c>
      <c r="K79" s="12">
        <f t="shared" si="14"/>
        <v>3.8633886115945608</v>
      </c>
    </row>
    <row r="80" spans="2:11" x14ac:dyDescent="0.25">
      <c r="B80" s="10">
        <v>76</v>
      </c>
      <c r="C80" s="11">
        <v>43967</v>
      </c>
      <c r="D80" s="12">
        <f t="shared" si="9"/>
        <v>521955.09254888142</v>
      </c>
      <c r="E80" s="12">
        <f t="shared" si="10"/>
        <v>1270.9901816999634</v>
      </c>
      <c r="F80" s="12">
        <f t="shared" si="11"/>
        <v>382.62636978248696</v>
      </c>
      <c r="G80" s="12">
        <f t="shared" si="11"/>
        <v>47.29089963603775</v>
      </c>
      <c r="H80" s="9"/>
      <c r="I80" s="12">
        <f t="shared" si="12"/>
        <v>152.31746719001472</v>
      </c>
      <c r="J80" s="12">
        <f t="shared" si="13"/>
        <v>34.331679859098422</v>
      </c>
      <c r="K80" s="12">
        <f t="shared" si="14"/>
        <v>4.2432413308998091</v>
      </c>
    </row>
    <row r="81" spans="2:11" x14ac:dyDescent="0.25">
      <c r="B81" s="10">
        <v>77</v>
      </c>
      <c r="C81" s="11">
        <v>43968</v>
      </c>
      <c r="D81" s="12">
        <f t="shared" si="9"/>
        <v>521787.85168408445</v>
      </c>
      <c r="E81" s="12">
        <f t="shared" si="10"/>
        <v>1395.8647071069267</v>
      </c>
      <c r="F81" s="12">
        <f t="shared" si="11"/>
        <v>420.33241183958586</v>
      </c>
      <c r="G81" s="12">
        <f t="shared" si="11"/>
        <v>51.951196968937623</v>
      </c>
      <c r="H81" s="9"/>
      <c r="I81" s="12">
        <f t="shared" si="12"/>
        <v>167.2408647969624</v>
      </c>
      <c r="J81" s="12">
        <f t="shared" si="13"/>
        <v>37.706042057098912</v>
      </c>
      <c r="K81" s="12">
        <f t="shared" si="14"/>
        <v>4.6602973328998702</v>
      </c>
    </row>
    <row r="82" spans="2:11" x14ac:dyDescent="0.25">
      <c r="B82" s="10">
        <v>78</v>
      </c>
      <c r="C82" s="11">
        <v>43969</v>
      </c>
      <c r="D82" s="12">
        <f t="shared" si="9"/>
        <v>521604.23665514705</v>
      </c>
      <c r="E82" s="12">
        <f t="shared" si="10"/>
        <v>1532.9509124740996</v>
      </c>
      <c r="F82" s="12">
        <f t="shared" si="11"/>
        <v>461.74306481709135</v>
      </c>
      <c r="G82" s="12">
        <f t="shared" si="11"/>
        <v>57.069367561663029</v>
      </c>
      <c r="H82" s="9"/>
      <c r="I82" s="12">
        <f t="shared" si="12"/>
        <v>183.61502893740385</v>
      </c>
      <c r="J82" s="12">
        <f t="shared" si="13"/>
        <v>41.410652977505492</v>
      </c>
      <c r="K82" s="12">
        <f t="shared" si="14"/>
        <v>5.1181705927254031</v>
      </c>
    </row>
    <row r="83" spans="2:11" x14ac:dyDescent="0.25">
      <c r="B83" s="10">
        <v>79</v>
      </c>
      <c r="C83" s="11">
        <v>43970</v>
      </c>
      <c r="D83" s="12">
        <f t="shared" si="9"/>
        <v>521402.65800214524</v>
      </c>
      <c r="E83" s="12">
        <f t="shared" si="10"/>
        <v>1683.431201726771</v>
      </c>
      <c r="F83" s="12">
        <f t="shared" si="11"/>
        <v>507.22060855382296</v>
      </c>
      <c r="G83" s="12">
        <f t="shared" si="11"/>
        <v>62.690187574068062</v>
      </c>
      <c r="H83" s="9"/>
      <c r="I83" s="12">
        <f t="shared" si="12"/>
        <v>201.57865300180808</v>
      </c>
      <c r="J83" s="12">
        <f t="shared" si="13"/>
        <v>45.477543736731619</v>
      </c>
      <c r="K83" s="12">
        <f t="shared" si="14"/>
        <v>5.6208200124050363</v>
      </c>
    </row>
    <row r="84" spans="2:11" x14ac:dyDescent="0.25">
      <c r="B84" s="10">
        <v>80</v>
      </c>
      <c r="C84" s="11">
        <v>43971</v>
      </c>
      <c r="D84" s="12">
        <f t="shared" si="9"/>
        <v>521181.37479580229</v>
      </c>
      <c r="E84" s="12">
        <f t="shared" si="10"/>
        <v>1848.6000346788437</v>
      </c>
      <c r="F84" s="12">
        <f t="shared" si="11"/>
        <v>557.16240087171718</v>
      </c>
      <c r="G84" s="12">
        <f t="shared" si="11"/>
        <v>68.862768647066233</v>
      </c>
      <c r="H84" s="9"/>
      <c r="I84" s="12">
        <f t="shared" si="12"/>
        <v>221.28320634296512</v>
      </c>
      <c r="J84" s="12">
        <f t="shared" si="13"/>
        <v>49.941792317894198</v>
      </c>
      <c r="K84" s="12">
        <f t="shared" si="14"/>
        <v>6.1725810729981658</v>
      </c>
    </row>
    <row r="85" spans="2:11" x14ac:dyDescent="0.25">
      <c r="B85" s="10">
        <v>81</v>
      </c>
      <c r="C85" s="11">
        <v>43972</v>
      </c>
      <c r="D85" s="12">
        <f t="shared" si="9"/>
        <v>520938.4807849499</v>
      </c>
      <c r="E85" s="12">
        <f t="shared" si="10"/>
        <v>2029.8740443752574</v>
      </c>
      <c r="F85" s="12">
        <f t="shared" si="11"/>
        <v>612.00420190052284</v>
      </c>
      <c r="G85" s="12">
        <f t="shared" si="11"/>
        <v>75.640968774222003</v>
      </c>
      <c r="H85" s="9"/>
      <c r="I85" s="12">
        <f t="shared" si="12"/>
        <v>242.89401085237537</v>
      </c>
      <c r="J85" s="12">
        <f t="shared" si="13"/>
        <v>54.841801028805691</v>
      </c>
      <c r="K85" s="12">
        <f t="shared" si="14"/>
        <v>6.7782001271557668</v>
      </c>
    </row>
    <row r="86" spans="2:11" x14ac:dyDescent="0.25">
      <c r="B86" s="10">
        <v>82</v>
      </c>
      <c r="C86" s="11">
        <v>43973</v>
      </c>
      <c r="D86" s="12">
        <f t="shared" si="9"/>
        <v>520671.88939796202</v>
      </c>
      <c r="E86" s="12">
        <f t="shared" si="10"/>
        <v>2228.8029632172784</v>
      </c>
      <c r="F86" s="12">
        <f t="shared" ref="F86:G101" si="15">F85+J86</f>
        <v>672.22379855032216</v>
      </c>
      <c r="G86" s="12">
        <f t="shared" si="15"/>
        <v>83.083840270264616</v>
      </c>
      <c r="H86" s="9"/>
      <c r="I86" s="12">
        <f t="shared" si="12"/>
        <v>266.59138698786279</v>
      </c>
      <c r="J86" s="12">
        <f t="shared" si="13"/>
        <v>60.2195966497993</v>
      </c>
      <c r="K86" s="12">
        <f t="shared" si="14"/>
        <v>7.442871496042617</v>
      </c>
    </row>
    <row r="87" spans="2:11" x14ac:dyDescent="0.25">
      <c r="B87" s="10">
        <v>83</v>
      </c>
      <c r="C87" s="11">
        <v>43974</v>
      </c>
      <c r="D87" s="12">
        <f t="shared" si="9"/>
        <v>520379.31752904737</v>
      </c>
      <c r="E87" s="12">
        <f t="shared" si="10"/>
        <v>2447.0814000246819</v>
      </c>
      <c r="F87" s="12">
        <f t="shared" si="15"/>
        <v>738.34495312576803</v>
      </c>
      <c r="G87" s="12">
        <f t="shared" si="15"/>
        <v>91.256117802061311</v>
      </c>
      <c r="H87" s="9"/>
      <c r="I87" s="12">
        <f t="shared" si="12"/>
        <v>292.57186891464619</v>
      </c>
      <c r="J87" s="12">
        <f t="shared" si="13"/>
        <v>66.121154575445914</v>
      </c>
      <c r="K87" s="12">
        <f t="shared" si="14"/>
        <v>8.1722775317966949</v>
      </c>
    </row>
    <row r="88" spans="2:11" x14ac:dyDescent="0.25">
      <c r="B88" s="10">
        <v>84</v>
      </c>
      <c r="C88" s="11">
        <v>43975</v>
      </c>
      <c r="D88" s="12">
        <f t="shared" si="9"/>
        <v>520058.26804201322</v>
      </c>
      <c r="E88" s="12">
        <f t="shared" si="10"/>
        <v>2686.5615070579961</v>
      </c>
      <c r="F88" s="12">
        <f t="shared" si="15"/>
        <v>810.94170132650027</v>
      </c>
      <c r="G88" s="12">
        <f t="shared" si="15"/>
        <v>100.22874960215182</v>
      </c>
      <c r="H88" s="9"/>
      <c r="I88" s="12">
        <f t="shared" si="12"/>
        <v>321.0494870341368</v>
      </c>
      <c r="J88" s="12">
        <f t="shared" si="13"/>
        <v>72.596748200732222</v>
      </c>
      <c r="K88" s="12">
        <f t="shared" si="14"/>
        <v>8.9726318000905092</v>
      </c>
    </row>
    <row r="89" spans="2:11" x14ac:dyDescent="0.25">
      <c r="B89" s="10">
        <v>85</v>
      </c>
      <c r="C89" s="11">
        <v>43976</v>
      </c>
      <c r="D89" s="12">
        <f t="shared" si="9"/>
        <v>519706.01092760189</v>
      </c>
      <c r="E89" s="12">
        <f t="shared" si="10"/>
        <v>2949.2665712340486</v>
      </c>
      <c r="F89" s="12">
        <f t="shared" si="15"/>
        <v>890.64302603588749</v>
      </c>
      <c r="G89" s="12">
        <f t="shared" si="15"/>
        <v>110.07947512803115</v>
      </c>
      <c r="H89" s="9"/>
      <c r="I89" s="12">
        <f t="shared" si="12"/>
        <v>352.25711441131909</v>
      </c>
      <c r="J89" s="12">
        <f t="shared" si="13"/>
        <v>79.701324709387208</v>
      </c>
      <c r="K89" s="12">
        <f t="shared" si="14"/>
        <v>9.8507255258793283</v>
      </c>
    </row>
    <row r="90" spans="2:11" x14ac:dyDescent="0.25">
      <c r="B90" s="10">
        <v>86</v>
      </c>
      <c r="C90" s="11">
        <v>43977</v>
      </c>
      <c r="D90" s="12">
        <f t="shared" si="9"/>
        <v>519319.56305620272</v>
      </c>
      <c r="E90" s="12">
        <f t="shared" si="10"/>
        <v>3237.4055569254228</v>
      </c>
      <c r="F90" s="12">
        <f t="shared" si="15"/>
        <v>978.13793431583088</v>
      </c>
      <c r="G90" s="12">
        <f t="shared" si="15"/>
        <v>120.89345255588934</v>
      </c>
      <c r="H90" s="9"/>
      <c r="I90" s="12">
        <f t="shared" si="12"/>
        <v>386.44787139917605</v>
      </c>
      <c r="J90" s="12">
        <f t="shared" si="13"/>
        <v>87.494908279943431</v>
      </c>
      <c r="K90" s="12">
        <f t="shared" si="14"/>
        <v>10.813977427858187</v>
      </c>
    </row>
    <row r="91" spans="2:11" x14ac:dyDescent="0.25">
      <c r="B91" s="10">
        <v>87</v>
      </c>
      <c r="C91" s="11">
        <v>43978</v>
      </c>
      <c r="D91" s="12">
        <f t="shared" si="9"/>
        <v>518895.66647618992</v>
      </c>
      <c r="E91" s="12">
        <f t="shared" si="10"/>
        <v>3553.3886183740201</v>
      </c>
      <c r="F91" s="12">
        <f t="shared" si="15"/>
        <v>1074.1809658379518</v>
      </c>
      <c r="G91" s="12">
        <f t="shared" si="15"/>
        <v>132.76393959794925</v>
      </c>
      <c r="H91" s="9"/>
      <c r="I91" s="12">
        <f t="shared" si="12"/>
        <v>423.89658001277792</v>
      </c>
      <c r="J91" s="12">
        <f t="shared" si="13"/>
        <v>96.04303152212087</v>
      </c>
      <c r="K91" s="12">
        <f t="shared" si="14"/>
        <v>11.870487042059894</v>
      </c>
    </row>
    <row r="92" spans="2:11" x14ac:dyDescent="0.25">
      <c r="B92" s="10">
        <v>88</v>
      </c>
      <c r="C92" s="11">
        <v>43979</v>
      </c>
      <c r="D92" s="12">
        <f t="shared" si="9"/>
        <v>518430.76521995972</v>
      </c>
      <c r="E92" s="12">
        <f t="shared" si="10"/>
        <v>3899.843587325071</v>
      </c>
      <c r="F92" s="12">
        <f t="shared" si="15"/>
        <v>1179.598161516381</v>
      </c>
      <c r="G92" s="12">
        <f t="shared" si="15"/>
        <v>145.79303119865401</v>
      </c>
      <c r="H92" s="9"/>
      <c r="I92" s="12">
        <f t="shared" si="12"/>
        <v>464.90125623018503</v>
      </c>
      <c r="J92" s="12">
        <f t="shared" si="13"/>
        <v>105.41719567842925</v>
      </c>
      <c r="K92" s="12">
        <f t="shared" si="14"/>
        <v>13.029091600704753</v>
      </c>
    </row>
    <row r="93" spans="2:11" x14ac:dyDescent="0.25">
      <c r="B93" s="10">
        <v>89</v>
      </c>
      <c r="C93" s="11">
        <v>43980</v>
      </c>
      <c r="D93" s="12">
        <f t="shared" si="9"/>
        <v>517920.98059567582</v>
      </c>
      <c r="E93" s="12">
        <f t="shared" si="10"/>
        <v>4279.6334253648301</v>
      </c>
      <c r="F93" s="12">
        <f t="shared" si="15"/>
        <v>1295.2935212736913</v>
      </c>
      <c r="G93" s="12">
        <f t="shared" si="15"/>
        <v>160.09245768551261</v>
      </c>
      <c r="H93" s="9"/>
      <c r="I93" s="12">
        <f t="shared" si="12"/>
        <v>509.78462428392822</v>
      </c>
      <c r="J93" s="12">
        <f t="shared" si="13"/>
        <v>115.69535975731043</v>
      </c>
      <c r="K93" s="12">
        <f t="shared" si="14"/>
        <v>14.299426486858607</v>
      </c>
    </row>
    <row r="94" spans="2:11" x14ac:dyDescent="0.25">
      <c r="B94" s="10">
        <v>90</v>
      </c>
      <c r="C94" s="11">
        <v>43981</v>
      </c>
      <c r="D94" s="12">
        <f t="shared" si="9"/>
        <v>517362.08496364072</v>
      </c>
      <c r="E94" s="12">
        <f t="shared" si="10"/>
        <v>4695.8746098877837</v>
      </c>
      <c r="F94" s="12">
        <f t="shared" si="15"/>
        <v>1422.2559795595146</v>
      </c>
      <c r="G94" s="12">
        <f t="shared" si="15"/>
        <v>175.78444691185032</v>
      </c>
      <c r="H94" s="9"/>
      <c r="I94" s="12">
        <f t="shared" si="12"/>
        <v>558.89563203511489</v>
      </c>
      <c r="J94" s="12">
        <f t="shared" si="13"/>
        <v>126.96245828582327</v>
      </c>
      <c r="K94" s="12">
        <f t="shared" si="14"/>
        <v>15.691989226337723</v>
      </c>
    </row>
    <row r="95" spans="2:11" x14ac:dyDescent="0.25">
      <c r="B95" s="10">
        <v>91</v>
      </c>
      <c r="C95" s="13">
        <v>43982</v>
      </c>
      <c r="D95" s="12">
        <f t="shared" si="9"/>
        <v>516749.47402308037</v>
      </c>
      <c r="E95" s="12">
        <f t="shared" si="10"/>
        <v>5151.9563967852155</v>
      </c>
      <c r="F95" s="12">
        <f t="shared" si="15"/>
        <v>1561.5669263195189</v>
      </c>
      <c r="G95" s="12">
        <f t="shared" si="15"/>
        <v>193.0026538147722</v>
      </c>
      <c r="H95" s="9"/>
      <c r="I95" s="12">
        <f t="shared" si="12"/>
        <v>612.61094056035847</v>
      </c>
      <c r="J95" s="12">
        <f t="shared" si="13"/>
        <v>139.31094676000424</v>
      </c>
      <c r="K95" s="12">
        <f t="shared" si="14"/>
        <v>17.218206902921889</v>
      </c>
    </row>
    <row r="96" spans="2:11" x14ac:dyDescent="0.25">
      <c r="B96" s="10">
        <v>92</v>
      </c>
      <c r="C96" s="11">
        <v>43983</v>
      </c>
      <c r="D96" s="12">
        <f t="shared" si="9"/>
        <v>516078.13766909204</v>
      </c>
      <c r="E96" s="12">
        <f t="shared" si="10"/>
        <v>5651.5608708806758</v>
      </c>
      <c r="F96" s="12">
        <f t="shared" si="15"/>
        <v>1714.4082994241469</v>
      </c>
      <c r="G96" s="12">
        <f t="shared" si="15"/>
        <v>211.89316060298466</v>
      </c>
      <c r="H96" s="9"/>
      <c r="I96" s="12">
        <f t="shared" si="12"/>
        <v>671.33635398830143</v>
      </c>
      <c r="J96" s="12">
        <f t="shared" si="13"/>
        <v>152.84137310462805</v>
      </c>
      <c r="K96" s="12">
        <f t="shared" si="14"/>
        <v>18.890506788212473</v>
      </c>
    </row>
    <row r="97" spans="2:11" x14ac:dyDescent="0.25">
      <c r="B97" s="10">
        <v>93</v>
      </c>
      <c r="C97" s="11">
        <v>43984</v>
      </c>
      <c r="D97" s="12">
        <f t="shared" si="9"/>
        <v>515342.62952184252</v>
      </c>
      <c r="E97" s="12">
        <f t="shared" si="10"/>
        <v>6198.6836557675069</v>
      </c>
      <c r="F97" s="12">
        <f t="shared" si="15"/>
        <v>1882.0712719269402</v>
      </c>
      <c r="G97" s="12">
        <f t="shared" si="15"/>
        <v>232.61555046288049</v>
      </c>
      <c r="H97" s="9"/>
      <c r="I97" s="12">
        <f t="shared" si="12"/>
        <v>735.50814724952011</v>
      </c>
      <c r="J97" s="12">
        <f t="shared" si="13"/>
        <v>167.66297250279337</v>
      </c>
      <c r="K97" s="12">
        <f t="shared" si="14"/>
        <v>20.722389859895831</v>
      </c>
    </row>
    <row r="98" spans="2:11" x14ac:dyDescent="0.25">
      <c r="B98" s="10">
        <v>94</v>
      </c>
      <c r="C98" s="11">
        <v>43985</v>
      </c>
      <c r="D98" s="12">
        <f t="shared" si="9"/>
        <v>514537.03528224089</v>
      </c>
      <c r="E98" s="12">
        <f t="shared" si="10"/>
        <v>6797.6551068435274</v>
      </c>
      <c r="F98" s="12">
        <f t="shared" si="15"/>
        <v>2065.9655537147096</v>
      </c>
      <c r="G98" s="12">
        <f t="shared" si="15"/>
        <v>255.34405720069469</v>
      </c>
      <c r="H98" s="9"/>
      <c r="I98" s="12">
        <f t="shared" si="12"/>
        <v>805.59423960160427</v>
      </c>
      <c r="J98" s="12">
        <f t="shared" si="13"/>
        <v>183.89428178776933</v>
      </c>
      <c r="K98" s="12">
        <f t="shared" si="14"/>
        <v>22.728506737814211</v>
      </c>
    </row>
    <row r="99" spans="2:11" x14ac:dyDescent="0.25">
      <c r="B99" s="10">
        <v>95</v>
      </c>
      <c r="C99" s="11">
        <v>43986</v>
      </c>
      <c r="D99" s="12">
        <f t="shared" si="9"/>
        <v>513654.94013182406</v>
      </c>
      <c r="E99" s="12">
        <f t="shared" si="10"/>
        <v>7453.1617536989079</v>
      </c>
      <c r="F99" s="12">
        <f t="shared" si="15"/>
        <v>2267.6293218844007</v>
      </c>
      <c r="G99" s="12">
        <f t="shared" si="15"/>
        <v>280.2687925924543</v>
      </c>
      <c r="H99" s="9"/>
      <c r="I99" s="12">
        <f t="shared" si="12"/>
        <v>882.09515041683176</v>
      </c>
      <c r="J99" s="12">
        <f t="shared" si="13"/>
        <v>201.66376816969128</v>
      </c>
      <c r="K99" s="12">
        <f t="shared" si="14"/>
        <v>24.924735391759622</v>
      </c>
    </row>
    <row r="100" spans="2:11" x14ac:dyDescent="0.25">
      <c r="B100" s="10">
        <v>96</v>
      </c>
      <c r="C100" s="11">
        <v>43987</v>
      </c>
      <c r="D100" s="12">
        <f t="shared" si="9"/>
        <v>512689.39547117741</v>
      </c>
      <c r="E100" s="12">
        <f t="shared" si="10"/>
        <v>8170.2676892222644</v>
      </c>
      <c r="F100" s="12">
        <f t="shared" si="15"/>
        <v>2488.7397872441352</v>
      </c>
      <c r="G100" s="12">
        <f t="shared" si="15"/>
        <v>307.597052356017</v>
      </c>
      <c r="H100" s="9"/>
      <c r="I100" s="12">
        <f t="shared" si="12"/>
        <v>965.54466064665257</v>
      </c>
      <c r="J100" s="12">
        <f t="shared" si="13"/>
        <v>221.11046535973426</v>
      </c>
      <c r="K100" s="12">
        <f t="shared" si="14"/>
        <v>27.328259763562688</v>
      </c>
    </row>
    <row r="101" spans="2:11" x14ac:dyDescent="0.25">
      <c r="B101" s="10">
        <v>97</v>
      </c>
      <c r="C101" s="11">
        <v>43988</v>
      </c>
      <c r="D101" s="12">
        <f t="shared" si="9"/>
        <v>511632.88538266678</v>
      </c>
      <c r="E101" s="12">
        <f t="shared" si="10"/>
        <v>8954.4355214254774</v>
      </c>
      <c r="F101" s="12">
        <f t="shared" si="15"/>
        <v>2731.1243953577291</v>
      </c>
      <c r="G101" s="12">
        <f t="shared" si="15"/>
        <v>337.55470054983198</v>
      </c>
      <c r="H101" s="9"/>
      <c r="I101" s="12">
        <f t="shared" si="12"/>
        <v>1056.5100885106215</v>
      </c>
      <c r="J101" s="12">
        <f t="shared" si="13"/>
        <v>242.38460811359383</v>
      </c>
      <c r="K101" s="12">
        <f t="shared" si="14"/>
        <v>29.957648193814993</v>
      </c>
    </row>
    <row r="102" spans="2:11" x14ac:dyDescent="0.25">
      <c r="B102" s="10">
        <v>98</v>
      </c>
      <c r="C102" s="11">
        <v>43989</v>
      </c>
      <c r="D102" s="12">
        <f t="shared" si="9"/>
        <v>510477.29331141169</v>
      </c>
      <c r="E102" s="12">
        <f t="shared" si="10"/>
        <v>9811.5464086330703</v>
      </c>
      <c r="F102" s="12">
        <f t="shared" ref="F102:G117" si="16">F101+J102</f>
        <v>2996.7726491600183</v>
      </c>
      <c r="G102" s="12">
        <f t="shared" si="16"/>
        <v>370.38763079505873</v>
      </c>
      <c r="H102" s="9"/>
      <c r="I102" s="12">
        <f t="shared" si="12"/>
        <v>1155.592071255109</v>
      </c>
      <c r="J102" s="12">
        <f t="shared" si="13"/>
        <v>265.6482538022891</v>
      </c>
      <c r="K102" s="12">
        <f t="shared" si="14"/>
        <v>32.832930245226777</v>
      </c>
    </row>
    <row r="103" spans="2:11" x14ac:dyDescent="0.25">
      <c r="B103" s="10">
        <v>99</v>
      </c>
      <c r="C103" s="11">
        <v>43990</v>
      </c>
      <c r="D103" s="12">
        <f t="shared" si="9"/>
        <v>509213.86958508636</v>
      </c>
      <c r="E103" s="12">
        <f t="shared" si="10"/>
        <v>10747.918588003973</v>
      </c>
      <c r="F103" s="12">
        <f t="shared" si="16"/>
        <v>3287.848525949466</v>
      </c>
      <c r="G103" s="12">
        <f t="shared" si="16"/>
        <v>406.36330096004667</v>
      </c>
      <c r="H103" s="9"/>
      <c r="I103" s="12">
        <f t="shared" si="12"/>
        <v>1263.4237263253385</v>
      </c>
      <c r="J103" s="12">
        <f t="shared" si="13"/>
        <v>291.0758767894477</v>
      </c>
      <c r="K103" s="12">
        <f t="shared" si="14"/>
        <v>35.975670164987953</v>
      </c>
    </row>
    <row r="104" spans="2:11" x14ac:dyDescent="0.25">
      <c r="B104" s="10">
        <v>100</v>
      </c>
      <c r="C104" s="11">
        <v>43991</v>
      </c>
      <c r="D104" s="12">
        <f t="shared" si="9"/>
        <v>507833.2005399444</v>
      </c>
      <c r="E104" s="12">
        <f t="shared" si="10"/>
        <v>11770.32368021249</v>
      </c>
      <c r="F104" s="12">
        <f t="shared" si="16"/>
        <v>3606.7034440602506</v>
      </c>
      <c r="G104" s="12">
        <f t="shared" si="16"/>
        <v>445.77233578272796</v>
      </c>
      <c r="H104" s="9"/>
      <c r="I104" s="12">
        <f t="shared" si="12"/>
        <v>1380.6690451419843</v>
      </c>
      <c r="J104" s="12">
        <f t="shared" si="13"/>
        <v>318.85491811078452</v>
      </c>
      <c r="K104" s="12">
        <f t="shared" si="14"/>
        <v>39.409034822681271</v>
      </c>
    </row>
    <row r="105" spans="2:11" x14ac:dyDescent="0.25">
      <c r="B105" s="10">
        <v>101</v>
      </c>
      <c r="C105" s="11">
        <v>43992</v>
      </c>
      <c r="D105" s="12">
        <f t="shared" si="9"/>
        <v>506325.18018876936</v>
      </c>
      <c r="E105" s="12">
        <f t="shared" si="10"/>
        <v>12885.999908713788</v>
      </c>
      <c r="F105" s="12">
        <f t="shared" si="16"/>
        <v>3955.8897132398879</v>
      </c>
      <c r="G105" s="12">
        <f t="shared" si="16"/>
        <v>488.93018927684045</v>
      </c>
      <c r="H105" s="9"/>
      <c r="I105" s="12">
        <f t="shared" si="12"/>
        <v>1508.0203511750483</v>
      </c>
      <c r="J105" s="12">
        <f t="shared" si="13"/>
        <v>349.18626917963712</v>
      </c>
      <c r="K105" s="12">
        <f t="shared" si="14"/>
        <v>43.157853494112501</v>
      </c>
    </row>
    <row r="106" spans="2:11" x14ac:dyDescent="0.25">
      <c r="B106" s="10">
        <v>102</v>
      </c>
      <c r="C106" s="11">
        <v>43993</v>
      </c>
      <c r="D106" s="12">
        <f t="shared" si="9"/>
        <v>504678.98555709474</v>
      </c>
      <c r="E106" s="12">
        <f t="shared" si="10"/>
        <v>14102.661210097924</v>
      </c>
      <c r="F106" s="12">
        <f t="shared" si="16"/>
        <v>4338.1743771983965</v>
      </c>
      <c r="G106" s="12">
        <f t="shared" si="16"/>
        <v>536.17885560879108</v>
      </c>
      <c r="H106" s="9"/>
      <c r="I106" s="12">
        <f t="shared" si="12"/>
        <v>1646.1946316745953</v>
      </c>
      <c r="J106" s="12">
        <f t="shared" si="13"/>
        <v>382.28466395850899</v>
      </c>
      <c r="K106" s="12">
        <f t="shared" si="14"/>
        <v>47.248666331950595</v>
      </c>
    </row>
    <row r="107" spans="2:11" x14ac:dyDescent="0.25">
      <c r="B107" s="10">
        <v>103</v>
      </c>
      <c r="C107" s="11">
        <v>43994</v>
      </c>
      <c r="D107" s="12">
        <f t="shared" si="9"/>
        <v>502883.05702706333</v>
      </c>
      <c r="E107" s="12">
        <f t="shared" si="10"/>
        <v>15428.50103312604</v>
      </c>
      <c r="F107" s="12">
        <f t="shared" si="16"/>
        <v>4756.5533264313017</v>
      </c>
      <c r="G107" s="12">
        <f t="shared" si="16"/>
        <v>587.88861337915023</v>
      </c>
      <c r="H107" s="9"/>
      <c r="I107" s="12">
        <f t="shared" si="12"/>
        <v>1795.92853003138</v>
      </c>
      <c r="J107" s="12">
        <f t="shared" si="13"/>
        <v>418.37894923290503</v>
      </c>
      <c r="K107" s="12">
        <f t="shared" si="14"/>
        <v>51.709757770359104</v>
      </c>
    </row>
    <row r="108" spans="2:11" x14ac:dyDescent="0.25">
      <c r="B108" s="10">
        <v>104</v>
      </c>
      <c r="C108" s="11">
        <v>43995</v>
      </c>
      <c r="D108" s="12">
        <f t="shared" si="9"/>
        <v>500925.08526264114</v>
      </c>
      <c r="E108" s="12">
        <f t="shared" si="10"/>
        <v>16872.189429777354</v>
      </c>
      <c r="F108" s="12">
        <f t="shared" si="16"/>
        <v>5214.2655237473746</v>
      </c>
      <c r="G108" s="12">
        <f t="shared" si="16"/>
        <v>644.45978383394572</v>
      </c>
      <c r="H108" s="9"/>
      <c r="I108" s="12">
        <f t="shared" si="12"/>
        <v>1957.9717644221798</v>
      </c>
      <c r="J108" s="12">
        <f t="shared" si="13"/>
        <v>457.71219731607249</v>
      </c>
      <c r="K108" s="12">
        <f t="shared" si="14"/>
        <v>56.571170454795528</v>
      </c>
    </row>
    <row r="109" spans="2:11" x14ac:dyDescent="0.25">
      <c r="B109" s="10">
        <v>105</v>
      </c>
      <c r="C109" s="11">
        <v>43996</v>
      </c>
      <c r="D109" s="12">
        <f t="shared" si="9"/>
        <v>498792.00654295459</v>
      </c>
      <c r="E109" s="12">
        <f t="shared" si="10"/>
        <v>18442.861835137977</v>
      </c>
      <c r="F109" s="12">
        <f t="shared" si="16"/>
        <v>5714.8071434974363</v>
      </c>
      <c r="G109" s="12">
        <f t="shared" si="16"/>
        <v>706.32447840979603</v>
      </c>
      <c r="H109" s="9"/>
      <c r="I109" s="12">
        <f t="shared" si="12"/>
        <v>2133.0787196865358</v>
      </c>
      <c r="J109" s="12">
        <f t="shared" si="13"/>
        <v>500.54161975006144</v>
      </c>
      <c r="K109" s="12">
        <f t="shared" si="14"/>
        <v>61.864694575850351</v>
      </c>
    </row>
    <row r="110" spans="2:11" x14ac:dyDescent="0.25">
      <c r="B110" s="10">
        <v>106</v>
      </c>
      <c r="C110" s="11">
        <v>43997</v>
      </c>
      <c r="D110" s="12">
        <f t="shared" si="9"/>
        <v>496470.00859762699</v>
      </c>
      <c r="E110" s="12">
        <f t="shared" si="10"/>
        <v>20150.097719294314</v>
      </c>
      <c r="F110" s="12">
        <f t="shared" si="16"/>
        <v>6261.9453779398627</v>
      </c>
      <c r="G110" s="12">
        <f t="shared" si="16"/>
        <v>773.94830513863531</v>
      </c>
      <c r="H110" s="9"/>
      <c r="I110" s="12">
        <f t="shared" si="12"/>
        <v>2321.9979453276042</v>
      </c>
      <c r="J110" s="12">
        <f t="shared" si="13"/>
        <v>547.13823444242666</v>
      </c>
      <c r="K110" s="12">
        <f t="shared" si="14"/>
        <v>67.623826728839305</v>
      </c>
    </row>
    <row r="111" spans="2:11" x14ac:dyDescent="0.25">
      <c r="B111" s="10">
        <v>107</v>
      </c>
      <c r="C111" s="11">
        <v>43998</v>
      </c>
      <c r="D111" s="12">
        <f t="shared" si="9"/>
        <v>493944.54931187042</v>
      </c>
      <c r="E111" s="12">
        <f t="shared" si="10"/>
        <v>22003.887081074383</v>
      </c>
      <c r="F111" s="12">
        <f t="shared" si="16"/>
        <v>6859.7316102789273</v>
      </c>
      <c r="G111" s="12">
        <f t="shared" si="16"/>
        <v>847.83199677604784</v>
      </c>
      <c r="H111" s="9"/>
      <c r="I111" s="12">
        <f t="shared" si="12"/>
        <v>2525.4592857565463</v>
      </c>
      <c r="J111" s="12">
        <f t="shared" si="13"/>
        <v>597.78623233906467</v>
      </c>
      <c r="K111" s="12">
        <f t="shared" si="14"/>
        <v>73.883691637412554</v>
      </c>
    </row>
    <row r="112" spans="2:11" x14ac:dyDescent="0.25">
      <c r="B112" s="10">
        <v>108</v>
      </c>
      <c r="C112" s="11">
        <v>43999</v>
      </c>
      <c r="D112" s="12">
        <f t="shared" si="9"/>
        <v>491200.39093918778</v>
      </c>
      <c r="E112" s="12">
        <f t="shared" si="10"/>
        <v>24014.58255105454</v>
      </c>
      <c r="F112" s="12">
        <f t="shared" si="16"/>
        <v>7512.5135936841343</v>
      </c>
      <c r="G112" s="12">
        <f t="shared" si="16"/>
        <v>928.51291607332064</v>
      </c>
      <c r="H112" s="9"/>
      <c r="I112" s="12">
        <f t="shared" si="12"/>
        <v>2744.1583726826343</v>
      </c>
      <c r="J112" s="12">
        <f t="shared" si="13"/>
        <v>652.78198340520657</v>
      </c>
      <c r="K112" s="12">
        <f t="shared" si="14"/>
        <v>80.680919297272808</v>
      </c>
    </row>
    <row r="113" spans="2:11" x14ac:dyDescent="0.25">
      <c r="B113" s="10">
        <v>109</v>
      </c>
      <c r="C113" s="11">
        <v>44000</v>
      </c>
      <c r="D113" s="12">
        <f t="shared" si="9"/>
        <v>488221.65271133528</v>
      </c>
      <c r="E113" s="12">
        <f t="shared" si="10"/>
        <v>26192.834693871875</v>
      </c>
      <c r="F113" s="12">
        <f t="shared" si="16"/>
        <v>8224.9462093654183</v>
      </c>
      <c r="G113" s="12">
        <f t="shared" si="16"/>
        <v>1016.5663854271874</v>
      </c>
      <c r="H113" s="9"/>
      <c r="I113" s="12">
        <f t="shared" si="12"/>
        <v>2978.7382278524874</v>
      </c>
      <c r="J113" s="12">
        <f t="shared" si="13"/>
        <v>712.43261568128457</v>
      </c>
      <c r="K113" s="12">
        <f t="shared" si="14"/>
        <v>88.053469353866731</v>
      </c>
    </row>
    <row r="114" spans="2:11" x14ac:dyDescent="0.25">
      <c r="B114" s="10">
        <v>110</v>
      </c>
      <c r="C114" s="11">
        <v>44001</v>
      </c>
      <c r="D114" s="12">
        <f t="shared" si="9"/>
        <v>484991.88494953542</v>
      </c>
      <c r="E114" s="12">
        <f t="shared" si="10"/>
        <v>28549.507965875986</v>
      </c>
      <c r="F114" s="12">
        <f t="shared" si="16"/>
        <v>9002.0003052836164</v>
      </c>
      <c r="G114" s="12">
        <f t="shared" si="16"/>
        <v>1112.6067793047177</v>
      </c>
      <c r="H114" s="9"/>
      <c r="I114" s="12">
        <f t="shared" si="12"/>
        <v>3229.7677617998406</v>
      </c>
      <c r="J114" s="12">
        <f t="shared" si="13"/>
        <v>777.05409591819887</v>
      </c>
      <c r="K114" s="12">
        <f t="shared" si="14"/>
        <v>96.040393877530292</v>
      </c>
    </row>
    <row r="115" spans="2:11" x14ac:dyDescent="0.25">
      <c r="B115" s="10">
        <v>111</v>
      </c>
      <c r="C115" s="11">
        <v>44002</v>
      </c>
      <c r="D115" s="12">
        <f t="shared" si="9"/>
        <v>481494.16793342662</v>
      </c>
      <c r="E115" s="12">
        <f t="shared" si="10"/>
        <v>31095.574716455591</v>
      </c>
      <c r="F115" s="12">
        <f t="shared" si="16"/>
        <v>9848.9690416046033</v>
      </c>
      <c r="G115" s="12">
        <f t="shared" si="16"/>
        <v>1217.2883085129297</v>
      </c>
      <c r="H115" s="9"/>
      <c r="I115" s="12">
        <f t="shared" si="12"/>
        <v>3497.717016108807</v>
      </c>
      <c r="J115" s="12">
        <f t="shared" si="13"/>
        <v>846.96873632098743</v>
      </c>
      <c r="K115" s="12">
        <f t="shared" si="14"/>
        <v>104.68152920821204</v>
      </c>
    </row>
    <row r="116" spans="2:11" x14ac:dyDescent="0.25">
      <c r="B116" s="10">
        <v>112</v>
      </c>
      <c r="C116" s="11">
        <v>44003</v>
      </c>
      <c r="D116" s="12">
        <f t="shared" si="9"/>
        <v>477711.23884488962</v>
      </c>
      <c r="E116" s="12">
        <f t="shared" si="10"/>
        <v>33841.98464777739</v>
      </c>
      <c r="F116" s="12">
        <f t="shared" si="16"/>
        <v>10771.471091526118</v>
      </c>
      <c r="G116" s="12">
        <f t="shared" si="16"/>
        <v>1331.3054158066002</v>
      </c>
      <c r="H116" s="9"/>
      <c r="I116" s="12">
        <f t="shared" si="12"/>
        <v>3782.9290885369901</v>
      </c>
      <c r="J116" s="12">
        <f t="shared" si="13"/>
        <v>922.50204992151566</v>
      </c>
      <c r="K116" s="12">
        <f t="shared" si="14"/>
        <v>114.01710729367059</v>
      </c>
    </row>
    <row r="117" spans="2:11" x14ac:dyDescent="0.25">
      <c r="B117" s="10">
        <v>113</v>
      </c>
      <c r="C117" s="11">
        <v>44004</v>
      </c>
      <c r="D117" s="12">
        <f t="shared" si="9"/>
        <v>473625.65003703389</v>
      </c>
      <c r="E117" s="12">
        <f t="shared" si="10"/>
        <v>36799.507300707228</v>
      </c>
      <c r="F117" s="12">
        <f t="shared" si="16"/>
        <v>11775.449969410181</v>
      </c>
      <c r="G117" s="12">
        <f t="shared" si="16"/>
        <v>1455.3926928484507</v>
      </c>
      <c r="H117" s="9"/>
      <c r="I117" s="12">
        <f t="shared" si="12"/>
        <v>4085.5888078557468</v>
      </c>
      <c r="J117" s="12">
        <f t="shared" si="13"/>
        <v>1003.9788778840625</v>
      </c>
      <c r="K117" s="12">
        <f t="shared" si="14"/>
        <v>124.08727704185054</v>
      </c>
    </row>
    <row r="118" spans="2:11" x14ac:dyDescent="0.25">
      <c r="B118" s="10">
        <v>114</v>
      </c>
      <c r="C118" s="11">
        <v>44005</v>
      </c>
      <c r="D118" s="12">
        <f t="shared" si="9"/>
        <v>469219.96164340922</v>
      </c>
      <c r="E118" s="12">
        <f t="shared" si="10"/>
        <v>39978.54545097502</v>
      </c>
      <c r="F118" s="12">
        <f t="shared" ref="F118:G133" si="17">F117+J118</f>
        <v>12867.168685997829</v>
      </c>
      <c r="G118" s="12">
        <f t="shared" si="17"/>
        <v>1590.3242196177107</v>
      </c>
      <c r="H118" s="9"/>
      <c r="I118" s="12">
        <f t="shared" si="12"/>
        <v>4405.6883936246968</v>
      </c>
      <c r="J118" s="12">
        <f t="shared" si="13"/>
        <v>1091.7187165876478</v>
      </c>
      <c r="K118" s="12">
        <f t="shared" si="14"/>
        <v>134.93152676925996</v>
      </c>
    </row>
    <row r="119" spans="2:11" x14ac:dyDescent="0.25">
      <c r="B119" s="10">
        <v>115</v>
      </c>
      <c r="C119" s="11">
        <v>44006</v>
      </c>
      <c r="D119" s="12">
        <f t="shared" si="9"/>
        <v>464476.97109413909</v>
      </c>
      <c r="E119" s="12">
        <f t="shared" si="10"/>
        <v>43388.917818545997</v>
      </c>
      <c r="F119" s="12">
        <f t="shared" si="17"/>
        <v>14053.198867710087</v>
      </c>
      <c r="G119" s="12">
        <f t="shared" si="17"/>
        <v>1736.9122196046192</v>
      </c>
      <c r="H119" s="9"/>
      <c r="I119" s="12">
        <f t="shared" si="12"/>
        <v>4742.9905492701473</v>
      </c>
      <c r="J119" s="12">
        <f t="shared" si="13"/>
        <v>1186.0301817122588</v>
      </c>
      <c r="K119" s="12">
        <f t="shared" si="14"/>
        <v>146.58799998690853</v>
      </c>
    </row>
    <row r="120" spans="2:11" x14ac:dyDescent="0.25">
      <c r="B120" s="10">
        <v>116</v>
      </c>
      <c r="C120" s="11">
        <v>44007</v>
      </c>
      <c r="D120" s="12">
        <f t="shared" si="9"/>
        <v>459379.98139764892</v>
      </c>
      <c r="E120" s="12">
        <f t="shared" si="10"/>
        <v>47039.610254417967</v>
      </c>
      <c r="F120" s="12">
        <f t="shared" si="17"/>
        <v>15340.403429660284</v>
      </c>
      <c r="G120" s="12">
        <f t="shared" si="17"/>
        <v>1896.0049182726214</v>
      </c>
      <c r="H120" s="9"/>
      <c r="I120" s="12">
        <f t="shared" si="12"/>
        <v>5096.9896964901673</v>
      </c>
      <c r="J120" s="12">
        <f t="shared" si="13"/>
        <v>1287.2045619501978</v>
      </c>
      <c r="K120" s="12">
        <f t="shared" si="14"/>
        <v>159.09269866800213</v>
      </c>
    </row>
    <row r="121" spans="2:11" x14ac:dyDescent="0.25">
      <c r="B121" s="10">
        <v>117</v>
      </c>
      <c r="C121" s="11">
        <v>44008</v>
      </c>
      <c r="D121" s="12">
        <f t="shared" si="9"/>
        <v>453913.10903425125</v>
      </c>
      <c r="E121" s="12">
        <f t="shared" si="10"/>
        <v>50938.495609335019</v>
      </c>
      <c r="F121" s="12">
        <f t="shared" si="17"/>
        <v>16735.911867208019</v>
      </c>
      <c r="G121" s="12">
        <f t="shared" si="17"/>
        <v>2068.4834892054873</v>
      </c>
      <c r="H121" s="9"/>
      <c r="I121" s="12">
        <f t="shared" si="12"/>
        <v>5466.8723633976506</v>
      </c>
      <c r="J121" s="12">
        <f t="shared" si="13"/>
        <v>1395.5084375477329</v>
      </c>
      <c r="K121" s="12">
        <f t="shared" si="14"/>
        <v>172.47857093286603</v>
      </c>
    </row>
    <row r="122" spans="2:11" x14ac:dyDescent="0.25">
      <c r="B122" s="10">
        <v>118</v>
      </c>
      <c r="C122" s="11">
        <v>44009</v>
      </c>
      <c r="D122" s="12">
        <f t="shared" si="9"/>
        <v>448061.63095298305</v>
      </c>
      <c r="E122" s="12">
        <f t="shared" si="10"/>
        <v>55092.023836958717</v>
      </c>
      <c r="F122" s="12">
        <f t="shared" si="17"/>
        <v>18247.087236951626</v>
      </c>
      <c r="G122" s="12">
        <f t="shared" si="17"/>
        <v>2255.2579731063825</v>
      </c>
      <c r="H122" s="9"/>
      <c r="I122" s="12">
        <f t="shared" si="12"/>
        <v>5851.4780812681993</v>
      </c>
      <c r="J122" s="12">
        <f t="shared" si="13"/>
        <v>1511.1753697436054</v>
      </c>
      <c r="K122" s="12">
        <f t="shared" si="14"/>
        <v>186.77448390089523</v>
      </c>
    </row>
    <row r="123" spans="2:11" x14ac:dyDescent="0.25">
      <c r="B123" s="10">
        <v>119</v>
      </c>
      <c r="C123" s="11">
        <v>44010</v>
      </c>
      <c r="D123" s="12">
        <f t="shared" si="9"/>
        <v>441812.36844078434</v>
      </c>
      <c r="E123" s="12">
        <f t="shared" si="10"/>
        <v>59504.885554592154</v>
      </c>
      <c r="F123" s="12">
        <f t="shared" si="17"/>
        <v>19881.483944114734</v>
      </c>
      <c r="G123" s="12">
        <f t="shared" si="17"/>
        <v>2457.2620605085644</v>
      </c>
      <c r="H123" s="9"/>
      <c r="I123" s="12">
        <f t="shared" si="12"/>
        <v>6249.2625121987212</v>
      </c>
      <c r="J123" s="12">
        <f t="shared" si="13"/>
        <v>1634.3967071631084</v>
      </c>
      <c r="K123" s="12">
        <f t="shared" si="14"/>
        <v>202.00408740218214</v>
      </c>
    </row>
    <row r="124" spans="2:11" x14ac:dyDescent="0.25">
      <c r="B124" s="10">
        <v>120</v>
      </c>
      <c r="C124" s="11">
        <v>44011</v>
      </c>
      <c r="D124" s="12">
        <f t="shared" si="9"/>
        <v>435154.10353928414</v>
      </c>
      <c r="E124" s="12">
        <f t="shared" si="10"/>
        <v>64179.654270939303</v>
      </c>
      <c r="F124" s="12">
        <f t="shared" si="17"/>
        <v>21646.795548900969</v>
      </c>
      <c r="G124" s="12">
        <f t="shared" si="17"/>
        <v>2675.4466408754024</v>
      </c>
      <c r="H124" s="9"/>
      <c r="I124" s="12">
        <f t="shared" si="12"/>
        <v>6658.2649015002225</v>
      </c>
      <c r="J124" s="12">
        <f t="shared" si="13"/>
        <v>1765.3116047862338</v>
      </c>
      <c r="K124" s="12">
        <f t="shared" si="14"/>
        <v>218.18458036683808</v>
      </c>
    </row>
    <row r="125" spans="2:11" x14ac:dyDescent="0.25">
      <c r="B125" s="10">
        <v>121</v>
      </c>
      <c r="C125" s="13">
        <v>44012</v>
      </c>
      <c r="D125" s="12">
        <f t="shared" si="9"/>
        <v>428078.02124478167</v>
      </c>
      <c r="E125" s="12">
        <f t="shared" si="10"/>
        <v>69116.41475641045</v>
      </c>
      <c r="F125" s="12">
        <f t="shared" si="17"/>
        <v>23550.791958938837</v>
      </c>
      <c r="G125" s="12">
        <f t="shared" si="17"/>
        <v>2910.7720398688466</v>
      </c>
      <c r="H125" s="9"/>
      <c r="I125" s="12">
        <f t="shared" si="12"/>
        <v>7076.082294502462</v>
      </c>
      <c r="J125" s="12">
        <f t="shared" si="13"/>
        <v>1903.9964100378659</v>
      </c>
      <c r="K125" s="12">
        <f t="shared" si="14"/>
        <v>235.32539899344431</v>
      </c>
    </row>
    <row r="126" spans="2:11" x14ac:dyDescent="0.25">
      <c r="B126" s="10">
        <v>122</v>
      </c>
      <c r="C126" s="11">
        <v>44013</v>
      </c>
      <c r="D126" s="12">
        <f t="shared" si="9"/>
        <v>420578.16800597782</v>
      </c>
      <c r="E126" s="12">
        <f t="shared" si="10"/>
        <v>74312.387503333943</v>
      </c>
      <c r="F126" s="12">
        <f t="shared" si="17"/>
        <v>25601.245596712346</v>
      </c>
      <c r="G126" s="12">
        <f t="shared" si="17"/>
        <v>3164.1988939756852</v>
      </c>
      <c r="H126" s="9"/>
      <c r="I126" s="12">
        <f t="shared" si="12"/>
        <v>7499.8532388038393</v>
      </c>
      <c r="J126" s="12">
        <f t="shared" si="13"/>
        <v>2050.4536377735099</v>
      </c>
      <c r="K126" s="12">
        <f t="shared" si="14"/>
        <v>253.42685410683853</v>
      </c>
    </row>
    <row r="127" spans="2:11" x14ac:dyDescent="0.25">
      <c r="B127" s="10">
        <v>123</v>
      </c>
      <c r="C127" s="11">
        <v>44014</v>
      </c>
      <c r="D127" s="12">
        <f t="shared" si="9"/>
        <v>412651.91414310178</v>
      </c>
      <c r="E127" s="12">
        <f t="shared" si="10"/>
        <v>79761.561782765508</v>
      </c>
      <c r="F127" s="12">
        <f t="shared" si="17"/>
        <v>27805.846425977921</v>
      </c>
      <c r="G127" s="12">
        <f t="shared" si="17"/>
        <v>3436.6776481545767</v>
      </c>
      <c r="H127" s="9"/>
      <c r="I127" s="12">
        <f t="shared" si="12"/>
        <v>7926.2538628760412</v>
      </c>
      <c r="J127" s="12">
        <f t="shared" si="13"/>
        <v>2204.6008292655733</v>
      </c>
      <c r="K127" s="12">
        <f t="shared" si="14"/>
        <v>272.47875417889134</v>
      </c>
    </row>
    <row r="128" spans="2:11" x14ac:dyDescent="0.25">
      <c r="B128" s="10">
        <v>124</v>
      </c>
      <c r="C128" s="11">
        <v>44015</v>
      </c>
      <c r="D128" s="12">
        <f t="shared" si="9"/>
        <v>404300.40491530311</v>
      </c>
      <c r="E128" s="12">
        <f t="shared" si="10"/>
        <v>85454.352284471955</v>
      </c>
      <c r="F128" s="12">
        <f t="shared" si="17"/>
        <v>30172.106092199963</v>
      </c>
      <c r="G128" s="12">
        <f t="shared" si="17"/>
        <v>3729.1367080247173</v>
      </c>
      <c r="H128" s="9"/>
      <c r="I128" s="12">
        <f t="shared" si="12"/>
        <v>8351.509227798646</v>
      </c>
      <c r="J128" s="12">
        <f t="shared" si="13"/>
        <v>2366.2596662220435</v>
      </c>
      <c r="K128" s="12">
        <f t="shared" si="14"/>
        <v>292.45905987014049</v>
      </c>
    </row>
    <row r="129" spans="2:11" x14ac:dyDescent="0.25">
      <c r="B129" s="10">
        <v>125</v>
      </c>
      <c r="C129" s="11">
        <v>44016</v>
      </c>
      <c r="D129" s="12">
        <f t="shared" si="9"/>
        <v>395528.98227801954</v>
      </c>
      <c r="E129" s="12">
        <f t="shared" si="10"/>
        <v>91377.29651227314</v>
      </c>
      <c r="F129" s="12">
        <f t="shared" si="17"/>
        <v>32707.251876639297</v>
      </c>
      <c r="G129" s="12">
        <f t="shared" si="17"/>
        <v>4042.4693330677815</v>
      </c>
      <c r="H129" s="9"/>
      <c r="I129" s="12">
        <f t="shared" si="12"/>
        <v>8771.4226372835892</v>
      </c>
      <c r="J129" s="12">
        <f t="shared" si="13"/>
        <v>2535.1457844393344</v>
      </c>
      <c r="K129" s="12">
        <f t="shared" si="14"/>
        <v>313.33262504306407</v>
      </c>
    </row>
    <row r="130" spans="2:11" x14ac:dyDescent="0.25">
      <c r="B130" s="10">
        <v>126</v>
      </c>
      <c r="C130" s="11">
        <v>44017</v>
      </c>
      <c r="D130" s="12">
        <f t="shared" si="9"/>
        <v>386347.55716361123</v>
      </c>
      <c r="E130" s="12">
        <f t="shared" si="10"/>
        <v>97512.811742939011</v>
      </c>
      <c r="F130" s="12">
        <f t="shared" si="17"/>
        <v>35418.111673170068</v>
      </c>
      <c r="G130" s="12">
        <f t="shared" si="17"/>
        <v>4377.5194202794501</v>
      </c>
      <c r="H130" s="9"/>
      <c r="I130" s="12">
        <f t="shared" si="12"/>
        <v>9181.4251144083082</v>
      </c>
      <c r="J130" s="12">
        <f t="shared" si="13"/>
        <v>2710.8597965307695</v>
      </c>
      <c r="K130" s="12">
        <f t="shared" si="14"/>
        <v>335.05008721166848</v>
      </c>
    </row>
    <row r="131" spans="2:11" x14ac:dyDescent="0.25">
      <c r="B131" s="10">
        <v>127</v>
      </c>
      <c r="C131" s="11">
        <v>44018</v>
      </c>
      <c r="D131" s="12">
        <f t="shared" si="9"/>
        <v>376770.91068513313</v>
      </c>
      <c r="E131" s="12">
        <f t="shared" si="10"/>
        <v>103839.03116331913</v>
      </c>
      <c r="F131" s="12">
        <f t="shared" si="17"/>
        <v>38310.991754877257</v>
      </c>
      <c r="G131" s="12">
        <f t="shared" si="17"/>
        <v>4735.0663966702268</v>
      </c>
      <c r="H131" s="9"/>
      <c r="I131" s="12">
        <f t="shared" si="12"/>
        <v>9576.6464784780783</v>
      </c>
      <c r="J131" s="12">
        <f t="shared" si="13"/>
        <v>2892.8800817071901</v>
      </c>
      <c r="K131" s="12">
        <f t="shared" si="14"/>
        <v>357.54697639077671</v>
      </c>
    </row>
    <row r="132" spans="2:11" x14ac:dyDescent="0.25">
      <c r="B132" s="10">
        <v>128</v>
      </c>
      <c r="C132" s="11">
        <v>44019</v>
      </c>
      <c r="D132" s="12">
        <f t="shared" si="9"/>
        <v>366818.90231171815</v>
      </c>
      <c r="E132" s="12">
        <f t="shared" si="10"/>
        <v>110329.73849795685</v>
      </c>
      <c r="F132" s="12">
        <f t="shared" si="17"/>
        <v>41391.549679389056</v>
      </c>
      <c r="G132" s="12">
        <f t="shared" si="17"/>
        <v>5115.8095109357309</v>
      </c>
      <c r="H132" s="9"/>
      <c r="I132" s="12">
        <f t="shared" si="12"/>
        <v>9952.0083734150066</v>
      </c>
      <c r="J132" s="12">
        <f t="shared" si="13"/>
        <v>3080.5579245118006</v>
      </c>
      <c r="K132" s="12">
        <f t="shared" si="14"/>
        <v>380.74311426550383</v>
      </c>
    </row>
    <row r="133" spans="2:11" x14ac:dyDescent="0.25">
      <c r="B133" s="10">
        <v>129</v>
      </c>
      <c r="C133" s="11">
        <v>44020</v>
      </c>
      <c r="D133" s="12">
        <f t="shared" si="9"/>
        <v>356516.56407645321</v>
      </c>
      <c r="E133" s="12">
        <f t="shared" si="10"/>
        <v>116954.41878328989</v>
      </c>
      <c r="F133" s="12">
        <f t="shared" si="17"/>
        <v>44664.66525482844</v>
      </c>
      <c r="G133" s="12">
        <f t="shared" si="17"/>
        <v>5520.3518854282402</v>
      </c>
      <c r="H133" s="9"/>
      <c r="I133" s="12">
        <f t="shared" si="12"/>
        <v>10302.338235264933</v>
      </c>
      <c r="J133" s="12">
        <f t="shared" si="13"/>
        <v>3273.1155754393858</v>
      </c>
      <c r="K133" s="12">
        <f t="shared" si="14"/>
        <v>404.54237449250883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345894.06246887741</v>
      </c>
      <c r="E134" s="12">
        <f t="shared" ref="E134:E197" si="19">E133+I134-J134-K134</f>
        <v>123678.43976475605</v>
      </c>
      <c r="F134" s="12">
        <f t="shared" ref="F134:G149" si="20">F133+J134</f>
        <v>48134.313012066043</v>
      </c>
      <c r="G134" s="12">
        <f t="shared" si="20"/>
        <v>5949.1847543003032</v>
      </c>
      <c r="H134" s="9"/>
      <c r="I134" s="12">
        <f t="shared" ref="I134:I197" si="21">E133*N$6*D133/SUM(D133:F133)*N$7</f>
        <v>10622.501607575829</v>
      </c>
      <c r="J134" s="12">
        <f t="shared" ref="J134:J197" si="22">E133*N$8/N$5</f>
        <v>3469.6477572375998</v>
      </c>
      <c r="K134" s="12">
        <f t="shared" ref="K134:K197" si="23">E133*N$9/N$5</f>
        <v>428.83286887206327</v>
      </c>
    </row>
    <row r="135" spans="2:11" x14ac:dyDescent="0.25">
      <c r="B135" s="10">
        <v>131</v>
      </c>
      <c r="C135" s="11">
        <v>44022</v>
      </c>
      <c r="D135" s="12">
        <f t="shared" si="18"/>
        <v>334986.51393802447</v>
      </c>
      <c r="E135" s="12">
        <f t="shared" si="19"/>
        <v>130463.37363678378</v>
      </c>
      <c r="F135" s="12">
        <f t="shared" si="20"/>
        <v>51803.44005842047</v>
      </c>
      <c r="G135" s="12">
        <f t="shared" si="20"/>
        <v>6402.6723667710758</v>
      </c>
      <c r="H135" s="9"/>
      <c r="I135" s="12">
        <f t="shared" si="21"/>
        <v>10907.548530852941</v>
      </c>
      <c r="J135" s="12">
        <f t="shared" si="22"/>
        <v>3669.1270463544292</v>
      </c>
      <c r="K135" s="12">
        <f t="shared" si="23"/>
        <v>453.4876124707726</v>
      </c>
    </row>
    <row r="136" spans="2:11" x14ac:dyDescent="0.25">
      <c r="B136" s="10">
        <v>132</v>
      </c>
      <c r="C136" s="11">
        <v>44023</v>
      </c>
      <c r="D136" s="12">
        <f t="shared" si="18"/>
        <v>323833.64583969425</v>
      </c>
      <c r="E136" s="12">
        <f t="shared" si="19"/>
        <v>137267.46261388785</v>
      </c>
      <c r="F136" s="12">
        <f t="shared" si="20"/>
        <v>55673.85347631172</v>
      </c>
      <c r="G136" s="12">
        <f t="shared" si="20"/>
        <v>6881.0380701059503</v>
      </c>
      <c r="H136" s="9"/>
      <c r="I136" s="12">
        <f t="shared" si="21"/>
        <v>11152.868098330213</v>
      </c>
      <c r="J136" s="12">
        <f t="shared" si="22"/>
        <v>3870.4134178912518</v>
      </c>
      <c r="K136" s="12">
        <f t="shared" si="23"/>
        <v>478.3657033348743</v>
      </c>
    </row>
    <row r="137" spans="2:11" x14ac:dyDescent="0.25">
      <c r="B137" s="10">
        <v>133</v>
      </c>
      <c r="C137" s="11">
        <v>44024</v>
      </c>
      <c r="D137" s="12">
        <f t="shared" si="18"/>
        <v>312479.30197330669</v>
      </c>
      <c r="E137" s="12">
        <f t="shared" si="19"/>
        <v>144046.22439314579</v>
      </c>
      <c r="F137" s="12">
        <f t="shared" si="20"/>
        <v>59746.121533857062</v>
      </c>
      <c r="G137" s="12">
        <f t="shared" si="20"/>
        <v>7384.3520996902062</v>
      </c>
      <c r="H137" s="9"/>
      <c r="I137" s="12">
        <f t="shared" si="21"/>
        <v>11354.343866387528</v>
      </c>
      <c r="J137" s="12">
        <f t="shared" si="22"/>
        <v>4072.2680575453392</v>
      </c>
      <c r="K137" s="12">
        <f t="shared" si="23"/>
        <v>503.31402958425588</v>
      </c>
    </row>
    <row r="138" spans="2:11" x14ac:dyDescent="0.25">
      <c r="B138" s="10">
        <v>134</v>
      </c>
      <c r="C138" s="11">
        <v>44025</v>
      </c>
      <c r="D138" s="12">
        <f t="shared" si="18"/>
        <v>300970.80014873686</v>
      </c>
      <c r="E138" s="12">
        <f t="shared" si="19"/>
        <v>150753.18540461076</v>
      </c>
      <c r="F138" s="12">
        <f t="shared" si="20"/>
        <v>64019.492857520388</v>
      </c>
      <c r="G138" s="12">
        <f t="shared" si="20"/>
        <v>7912.5215891317412</v>
      </c>
      <c r="H138" s="9"/>
      <c r="I138" s="12">
        <f t="shared" si="21"/>
        <v>11508.501824569832</v>
      </c>
      <c r="J138" s="12">
        <f t="shared" si="22"/>
        <v>4273.3713236633248</v>
      </c>
      <c r="K138" s="12">
        <f t="shared" si="23"/>
        <v>528.16948944153512</v>
      </c>
    </row>
    <row r="139" spans="2:11" x14ac:dyDescent="0.25">
      <c r="B139" s="10">
        <v>135</v>
      </c>
      <c r="C139" s="11">
        <v>44026</v>
      </c>
      <c r="D139" s="12">
        <f t="shared" si="18"/>
        <v>289358.15790877683</v>
      </c>
      <c r="E139" s="12">
        <f t="shared" si="19"/>
        <v>157340.72146441706</v>
      </c>
      <c r="F139" s="12">
        <f t="shared" si="20"/>
        <v>68491.837357857177</v>
      </c>
      <c r="G139" s="12">
        <f t="shared" si="20"/>
        <v>8465.2832689486477</v>
      </c>
      <c r="H139" s="9"/>
      <c r="I139" s="12">
        <f t="shared" si="21"/>
        <v>11612.642239960009</v>
      </c>
      <c r="J139" s="12">
        <f t="shared" si="22"/>
        <v>4472.3445003367851</v>
      </c>
      <c r="K139" s="12">
        <f t="shared" si="23"/>
        <v>552.76167981690662</v>
      </c>
    </row>
    <row r="140" spans="2:11" x14ac:dyDescent="0.25">
      <c r="B140" s="10">
        <v>136</v>
      </c>
      <c r="C140" s="11">
        <v>44027</v>
      </c>
      <c r="D140" s="12">
        <f t="shared" si="18"/>
        <v>277693.21089013934</v>
      </c>
      <c r="E140" s="12">
        <f t="shared" si="19"/>
        <v>163760.97776757396</v>
      </c>
      <c r="F140" s="12">
        <f t="shared" si="20"/>
        <v>73159.612094634882</v>
      </c>
      <c r="G140" s="12">
        <f t="shared" si="20"/>
        <v>9042.1992476515115</v>
      </c>
      <c r="H140" s="9"/>
      <c r="I140" s="12">
        <f t="shared" si="21"/>
        <v>11664.947018637478</v>
      </c>
      <c r="J140" s="12">
        <f t="shared" si="22"/>
        <v>4667.7747367777056</v>
      </c>
      <c r="K140" s="12">
        <f t="shared" si="23"/>
        <v>576.91597870286307</v>
      </c>
    </row>
    <row r="141" spans="2:11" x14ac:dyDescent="0.25">
      <c r="B141" s="10">
        <v>137</v>
      </c>
      <c r="C141" s="11">
        <v>44028</v>
      </c>
      <c r="D141" s="12">
        <f t="shared" si="18"/>
        <v>266028.65556687361</v>
      </c>
      <c r="E141" s="12">
        <f t="shared" si="19"/>
        <v>169966.83383192052</v>
      </c>
      <c r="F141" s="12">
        <f t="shared" si="20"/>
        <v>78017.854435072906</v>
      </c>
      <c r="G141" s="12">
        <f t="shared" si="20"/>
        <v>9642.6561661326159</v>
      </c>
      <c r="H141" s="9"/>
      <c r="I141" s="12">
        <f t="shared" si="21"/>
        <v>11664.5553232657</v>
      </c>
      <c r="J141" s="12">
        <f t="shared" si="22"/>
        <v>4858.242340438027</v>
      </c>
      <c r="K141" s="12">
        <f t="shared" si="23"/>
        <v>600.45691848110505</v>
      </c>
    </row>
    <row r="142" spans="2:11" x14ac:dyDescent="0.25">
      <c r="B142" s="10">
        <v>138</v>
      </c>
      <c r="C142" s="11">
        <v>44029</v>
      </c>
      <c r="D142" s="12">
        <f t="shared" si="18"/>
        <v>254417.05355970096</v>
      </c>
      <c r="E142" s="12">
        <f t="shared" si="19"/>
        <v>175912.8747113625</v>
      </c>
      <c r="F142" s="12">
        <f t="shared" si="20"/>
        <v>83060.203838753208</v>
      </c>
      <c r="G142" s="12">
        <f t="shared" si="20"/>
        <v>10265.867890182992</v>
      </c>
      <c r="H142" s="9"/>
      <c r="I142" s="12">
        <f t="shared" si="21"/>
        <v>11611.60200717264</v>
      </c>
      <c r="J142" s="12">
        <f t="shared" si="22"/>
        <v>5042.3494036803077</v>
      </c>
      <c r="K142" s="12">
        <f t="shared" si="23"/>
        <v>623.21172405037578</v>
      </c>
    </row>
    <row r="143" spans="2:11" x14ac:dyDescent="0.25">
      <c r="B143" s="10">
        <v>139</v>
      </c>
      <c r="C143" s="11">
        <v>44030</v>
      </c>
      <c r="D143" s="12">
        <f t="shared" si="18"/>
        <v>242909.83772950363</v>
      </c>
      <c r="E143" s="12">
        <f t="shared" si="19"/>
        <v>181556.32805118107</v>
      </c>
      <c r="F143" s="12">
        <f t="shared" si="20"/>
        <v>88278.952455190301</v>
      </c>
      <c r="G143" s="12">
        <f t="shared" si="20"/>
        <v>10910.881764124655</v>
      </c>
      <c r="H143" s="9"/>
      <c r="I143" s="12">
        <f t="shared" si="21"/>
        <v>11507.21583019733</v>
      </c>
      <c r="J143" s="12">
        <f t="shared" si="22"/>
        <v>5218.7486164370875</v>
      </c>
      <c r="K143" s="12">
        <f t="shared" si="23"/>
        <v>645.01387394166306</v>
      </c>
    </row>
    <row r="144" spans="2:11" x14ac:dyDescent="0.25">
      <c r="B144" s="10">
        <v>140</v>
      </c>
      <c r="C144" s="11">
        <v>44031</v>
      </c>
      <c r="D144" s="12">
        <f t="shared" si="18"/>
        <v>231556.36054665243</v>
      </c>
      <c r="E144" s="12">
        <f t="shared" si="19"/>
        <v>186857.92763232623</v>
      </c>
      <c r="F144" s="12">
        <f t="shared" si="20"/>
        <v>93665.123520708672</v>
      </c>
      <c r="G144" s="12">
        <f t="shared" si="20"/>
        <v>11576.58830031232</v>
      </c>
      <c r="H144" s="9"/>
      <c r="I144" s="12">
        <f t="shared" si="21"/>
        <v>11353.477182851213</v>
      </c>
      <c r="J144" s="12">
        <f t="shared" si="22"/>
        <v>5386.1710655183715</v>
      </c>
      <c r="K144" s="12">
        <f t="shared" si="23"/>
        <v>665.7065361876646</v>
      </c>
    </row>
    <row r="145" spans="2:11" x14ac:dyDescent="0.25">
      <c r="B145" s="10">
        <v>141</v>
      </c>
      <c r="C145" s="11">
        <v>44032</v>
      </c>
      <c r="D145" s="12">
        <f t="shared" si="18"/>
        <v>220403.02266805165</v>
      </c>
      <c r="E145" s="12">
        <f t="shared" si="19"/>
        <v>191782.6679231828</v>
      </c>
      <c r="F145" s="12">
        <f t="shared" si="20"/>
        <v>99208.57537380101</v>
      </c>
      <c r="G145" s="12">
        <f t="shared" si="20"/>
        <v>12261.734034964184</v>
      </c>
      <c r="H145" s="9"/>
      <c r="I145" s="12">
        <f t="shared" si="21"/>
        <v>11153.337878600771</v>
      </c>
      <c r="J145" s="12">
        <f t="shared" si="22"/>
        <v>5543.4518530923442</v>
      </c>
      <c r="K145" s="12">
        <f t="shared" si="23"/>
        <v>685.14573465186345</v>
      </c>
    </row>
    <row r="146" spans="2:11" x14ac:dyDescent="0.25">
      <c r="B146" s="10">
        <v>142</v>
      </c>
      <c r="C146" s="11">
        <v>44033</v>
      </c>
      <c r="D146" s="12">
        <f t="shared" si="18"/>
        <v>209492.51448976411</v>
      </c>
      <c r="E146" s="12">
        <f t="shared" si="19"/>
        <v>196300.42050403089</v>
      </c>
      <c r="F146" s="12">
        <f t="shared" si="20"/>
        <v>104898.12785552209</v>
      </c>
      <c r="G146" s="12">
        <f t="shared" si="20"/>
        <v>12964.937150682521</v>
      </c>
      <c r="H146" s="9"/>
      <c r="I146" s="12">
        <f t="shared" si="21"/>
        <v>10910.508178287542</v>
      </c>
      <c r="J146" s="12">
        <f t="shared" si="22"/>
        <v>5689.552481721089</v>
      </c>
      <c r="K146" s="12">
        <f t="shared" si="23"/>
        <v>703.20311571833759</v>
      </c>
    </row>
    <row r="147" spans="2:11" x14ac:dyDescent="0.25">
      <c r="B147" s="10">
        <v>143</v>
      </c>
      <c r="C147" s="11">
        <v>44034</v>
      </c>
      <c r="D147" s="12">
        <f t="shared" si="18"/>
        <v>198863.19617671269</v>
      </c>
      <c r="E147" s="12">
        <f t="shared" si="19"/>
        <v>200386.39146694794</v>
      </c>
      <c r="F147" s="12">
        <f t="shared" si="20"/>
        <v>110721.70699714168</v>
      </c>
      <c r="G147" s="12">
        <f t="shared" si="20"/>
        <v>13684.705359197302</v>
      </c>
      <c r="H147" s="9"/>
      <c r="I147" s="12">
        <f t="shared" si="21"/>
        <v>10629.318313051435</v>
      </c>
      <c r="J147" s="12">
        <f t="shared" si="22"/>
        <v>5823.5791416195825</v>
      </c>
      <c r="K147" s="12">
        <f t="shared" si="23"/>
        <v>719.76820851478055</v>
      </c>
    </row>
    <row r="148" spans="2:11" x14ac:dyDescent="0.25">
      <c r="B148" s="10">
        <v>144</v>
      </c>
      <c r="C148" s="11">
        <v>44035</v>
      </c>
      <c r="D148" s="12">
        <f t="shared" si="18"/>
        <v>188548.63300835551</v>
      </c>
      <c r="E148" s="12">
        <f t="shared" si="19"/>
        <v>204021.40825307352</v>
      </c>
      <c r="F148" s="12">
        <f t="shared" si="20"/>
        <v>116666.50327732781</v>
      </c>
      <c r="G148" s="12">
        <f t="shared" si="20"/>
        <v>14419.455461242778</v>
      </c>
      <c r="H148" s="9"/>
      <c r="I148" s="12">
        <f t="shared" si="21"/>
        <v>10314.563168357183</v>
      </c>
      <c r="J148" s="12">
        <f t="shared" si="22"/>
        <v>5944.7962801861222</v>
      </c>
      <c r="K148" s="12">
        <f t="shared" si="23"/>
        <v>734.75010204547641</v>
      </c>
    </row>
    <row r="149" spans="2:11" x14ac:dyDescent="0.25">
      <c r="B149" s="10">
        <v>145</v>
      </c>
      <c r="C149" s="11">
        <v>44036</v>
      </c>
      <c r="D149" s="12">
        <f t="shared" si="18"/>
        <v>178577.29363436639</v>
      </c>
      <c r="E149" s="12">
        <f t="shared" si="19"/>
        <v>207192.03401862684</v>
      </c>
      <c r="F149" s="12">
        <f t="shared" si="20"/>
        <v>122719.13838883565</v>
      </c>
      <c r="G149" s="12">
        <f t="shared" si="20"/>
        <v>15167.533958170716</v>
      </c>
      <c r="H149" s="9"/>
      <c r="I149" s="12">
        <f t="shared" si="21"/>
        <v>9971.3393739891308</v>
      </c>
      <c r="J149" s="12">
        <f t="shared" si="22"/>
        <v>6052.6351115078469</v>
      </c>
      <c r="K149" s="12">
        <f t="shared" si="23"/>
        <v>748.07849692793695</v>
      </c>
    </row>
    <row r="150" spans="2:11" x14ac:dyDescent="0.25">
      <c r="B150" s="10">
        <v>146</v>
      </c>
      <c r="C150" s="11">
        <v>44037</v>
      </c>
      <c r="D150" s="12">
        <f t="shared" si="18"/>
        <v>168972.40982233611</v>
      </c>
      <c r="E150" s="12">
        <f t="shared" si="19"/>
        <v>209890.51669670289</v>
      </c>
      <c r="F150" s="12">
        <f t="shared" ref="F150:G165" si="24">F149+J150</f>
        <v>128865.83539805491</v>
      </c>
      <c r="G150" s="12">
        <f t="shared" si="24"/>
        <v>15927.238082905682</v>
      </c>
      <c r="H150" s="9"/>
      <c r="I150" s="12">
        <f t="shared" si="21"/>
        <v>9604.8838120302698</v>
      </c>
      <c r="J150" s="12">
        <f t="shared" si="22"/>
        <v>6146.6970092192623</v>
      </c>
      <c r="K150" s="12">
        <f t="shared" si="23"/>
        <v>759.70412473496583</v>
      </c>
    </row>
    <row r="151" spans="2:11" x14ac:dyDescent="0.25">
      <c r="B151" s="10">
        <v>147</v>
      </c>
      <c r="C151" s="11">
        <v>44038</v>
      </c>
      <c r="D151" s="12">
        <f t="shared" si="18"/>
        <v>159751.9882180992</v>
      </c>
      <c r="E151" s="12">
        <f t="shared" si="19"/>
        <v>212114.58774438305</v>
      </c>
      <c r="F151" s="12">
        <f t="shared" si="24"/>
        <v>135092.58739339042</v>
      </c>
      <c r="G151" s="12">
        <f t="shared" si="24"/>
        <v>16696.836644126928</v>
      </c>
      <c r="H151" s="9"/>
      <c r="I151" s="12">
        <f t="shared" si="21"/>
        <v>9220.4216042368989</v>
      </c>
      <c r="J151" s="12">
        <f t="shared" si="22"/>
        <v>6226.7519953355186</v>
      </c>
      <c r="K151" s="12">
        <f t="shared" si="23"/>
        <v>769.59856122124461</v>
      </c>
    </row>
    <row r="152" spans="2:11" x14ac:dyDescent="0.25">
      <c r="B152" s="10">
        <v>148</v>
      </c>
      <c r="C152" s="11">
        <v>44039</v>
      </c>
      <c r="D152" s="12">
        <f t="shared" si="18"/>
        <v>150928.95807396475</v>
      </c>
      <c r="E152" s="12">
        <f t="shared" si="19"/>
        <v>213867.13163037141</v>
      </c>
      <c r="F152" s="12">
        <f t="shared" si="24"/>
        <v>141385.32016314045</v>
      </c>
      <c r="G152" s="12">
        <f t="shared" si="24"/>
        <v>17474.590132523001</v>
      </c>
      <c r="H152" s="9"/>
      <c r="I152" s="12">
        <f t="shared" si="21"/>
        <v>8823.0301441344582</v>
      </c>
      <c r="J152" s="12">
        <f t="shared" si="22"/>
        <v>6292.7327697500295</v>
      </c>
      <c r="K152" s="12">
        <f t="shared" si="23"/>
        <v>777.75348839607193</v>
      </c>
    </row>
    <row r="153" spans="2:11" x14ac:dyDescent="0.25">
      <c r="B153" s="10">
        <v>149</v>
      </c>
      <c r="C153" s="11">
        <v>44040</v>
      </c>
      <c r="D153" s="12">
        <f t="shared" si="18"/>
        <v>142511.43416208675</v>
      </c>
      <c r="E153" s="12">
        <f t="shared" si="19"/>
        <v>215155.75115457037</v>
      </c>
      <c r="F153" s="12">
        <f t="shared" si="24"/>
        <v>147730.0450681748</v>
      </c>
      <c r="G153" s="12">
        <f t="shared" si="24"/>
        <v>18258.769615167697</v>
      </c>
      <c r="H153" s="9"/>
      <c r="I153" s="12">
        <f t="shared" si="21"/>
        <v>8417.5239118780028</v>
      </c>
      <c r="J153" s="12">
        <f t="shared" si="22"/>
        <v>6344.7249050343517</v>
      </c>
      <c r="K153" s="12">
        <f t="shared" si="23"/>
        <v>784.1794826446959</v>
      </c>
    </row>
    <row r="154" spans="2:11" x14ac:dyDescent="0.25">
      <c r="B154" s="10">
        <v>150</v>
      </c>
      <c r="C154" s="11">
        <v>44041</v>
      </c>
      <c r="D154" s="12">
        <f t="shared" si="18"/>
        <v>134503.07128931774</v>
      </c>
      <c r="E154" s="12">
        <f t="shared" si="19"/>
        <v>215992.25565552036</v>
      </c>
      <c r="F154" s="12">
        <f t="shared" si="24"/>
        <v>154112.99901909372</v>
      </c>
      <c r="G154" s="12">
        <f t="shared" si="24"/>
        <v>19047.67403606779</v>
      </c>
      <c r="H154" s="9"/>
      <c r="I154" s="12">
        <f t="shared" si="21"/>
        <v>8008.3628727690066</v>
      </c>
      <c r="J154" s="12">
        <f t="shared" si="22"/>
        <v>6382.9539509189208</v>
      </c>
      <c r="K154" s="12">
        <f t="shared" si="23"/>
        <v>788.90442090009208</v>
      </c>
    </row>
    <row r="155" spans="2:11" x14ac:dyDescent="0.25">
      <c r="B155" s="10">
        <v>151</v>
      </c>
      <c r="C155" s="11">
        <v>44042</v>
      </c>
      <c r="D155" s="12">
        <f t="shared" si="18"/>
        <v>126903.48587810992</v>
      </c>
      <c r="E155" s="12">
        <f t="shared" si="19"/>
        <v>216392.09921154418</v>
      </c>
      <c r="F155" s="12">
        <f t="shared" si="24"/>
        <v>160520.7692702075</v>
      </c>
      <c r="G155" s="12">
        <f t="shared" si="24"/>
        <v>19839.645640138031</v>
      </c>
      <c r="H155" s="9"/>
      <c r="I155" s="12">
        <f t="shared" si="21"/>
        <v>7599.5854112078268</v>
      </c>
      <c r="J155" s="12">
        <f t="shared" si="22"/>
        <v>6407.7702511137704</v>
      </c>
      <c r="K155" s="12">
        <f t="shared" si="23"/>
        <v>791.97160407024205</v>
      </c>
    </row>
    <row r="156" spans="2:11" x14ac:dyDescent="0.25">
      <c r="B156" s="10">
        <v>152</v>
      </c>
      <c r="C156" s="13">
        <v>44043</v>
      </c>
      <c r="D156" s="12">
        <f t="shared" si="18"/>
        <v>119708.72073426306</v>
      </c>
      <c r="E156" s="12">
        <f t="shared" si="19"/>
        <v>216373.79438167289</v>
      </c>
      <c r="F156" s="12">
        <f t="shared" si="24"/>
        <v>166940.40154681663</v>
      </c>
      <c r="G156" s="12">
        <f t="shared" si="24"/>
        <v>20633.083337247026</v>
      </c>
      <c r="H156" s="9"/>
      <c r="I156" s="12">
        <f t="shared" si="21"/>
        <v>7194.7651438468647</v>
      </c>
      <c r="J156" s="12">
        <f t="shared" si="22"/>
        <v>6419.6322766091434</v>
      </c>
      <c r="K156" s="12">
        <f t="shared" si="23"/>
        <v>793.43769710899608</v>
      </c>
    </row>
    <row r="157" spans="2:11" x14ac:dyDescent="0.25">
      <c r="B157" s="10">
        <v>153</v>
      </c>
      <c r="C157" s="21">
        <v>44044</v>
      </c>
      <c r="D157" s="12">
        <f t="shared" si="18"/>
        <v>112911.73104779859</v>
      </c>
      <c r="E157" s="12">
        <f t="shared" si="19"/>
        <v>215958.32425541495</v>
      </c>
      <c r="F157" s="12">
        <f t="shared" si="24"/>
        <v>173359.4907801396</v>
      </c>
      <c r="G157" s="12">
        <f t="shared" si="24"/>
        <v>21426.453916646493</v>
      </c>
      <c r="H157" s="9"/>
      <c r="I157" s="12">
        <f t="shared" si="21"/>
        <v>6796.9896864644725</v>
      </c>
      <c r="J157" s="12">
        <f t="shared" si="22"/>
        <v>6419.0892333229613</v>
      </c>
      <c r="K157" s="12">
        <f t="shared" si="23"/>
        <v>793.37057939946806</v>
      </c>
    </row>
    <row r="158" spans="2:11" x14ac:dyDescent="0.25">
      <c r="B158" s="10">
        <v>154</v>
      </c>
      <c r="C158" s="21">
        <v>44045</v>
      </c>
      <c r="D158" s="12">
        <f t="shared" si="18"/>
        <v>106502.87248717656</v>
      </c>
      <c r="E158" s="12">
        <f t="shared" si="19"/>
        <v>215168.57200752315</v>
      </c>
      <c r="F158" s="12">
        <f t="shared" si="24"/>
        <v>179766.25439971691</v>
      </c>
      <c r="G158" s="12">
        <f t="shared" si="24"/>
        <v>22218.301105583014</v>
      </c>
      <c r="H158" s="9"/>
      <c r="I158" s="12">
        <f t="shared" si="21"/>
        <v>6408.8585606220249</v>
      </c>
      <c r="J158" s="12">
        <f t="shared" si="22"/>
        <v>6406.7636195773093</v>
      </c>
      <c r="K158" s="12">
        <f t="shared" si="23"/>
        <v>791.84718893652223</v>
      </c>
    </row>
    <row r="159" spans="2:11" x14ac:dyDescent="0.25">
      <c r="B159" s="10">
        <v>155</v>
      </c>
      <c r="C159" s="21">
        <v>44046</v>
      </c>
      <c r="D159" s="12">
        <f t="shared" si="18"/>
        <v>100470.37557468988</v>
      </c>
      <c r="E159" s="12">
        <f t="shared" si="19"/>
        <v>214028.78318642572</v>
      </c>
      <c r="F159" s="12">
        <f t="shared" si="24"/>
        <v>186149.58870260676</v>
      </c>
      <c r="G159" s="12">
        <f t="shared" si="24"/>
        <v>23007.252536277265</v>
      </c>
      <c r="H159" s="9"/>
      <c r="I159" s="12">
        <f t="shared" si="21"/>
        <v>6032.4969124866811</v>
      </c>
      <c r="J159" s="12">
        <f t="shared" si="22"/>
        <v>6383.3343028898526</v>
      </c>
      <c r="K159" s="12">
        <f t="shared" si="23"/>
        <v>788.95143069425228</v>
      </c>
    </row>
    <row r="160" spans="2:11" x14ac:dyDescent="0.25">
      <c r="B160" s="10">
        <v>156</v>
      </c>
      <c r="C160" s="21">
        <v>44047</v>
      </c>
      <c r="D160" s="12">
        <f t="shared" si="18"/>
        <v>94800.794039112036</v>
      </c>
      <c r="E160" s="12">
        <f t="shared" si="19"/>
        <v>212564.07194912268</v>
      </c>
      <c r="F160" s="12">
        <f t="shared" si="24"/>
        <v>192499.10927047074</v>
      </c>
      <c r="G160" s="12">
        <f t="shared" si="24"/>
        <v>23792.024741294161</v>
      </c>
      <c r="H160" s="9"/>
      <c r="I160" s="12">
        <f t="shared" si="21"/>
        <v>5669.5815355778459</v>
      </c>
      <c r="J160" s="12">
        <f t="shared" si="22"/>
        <v>6349.5205678639622</v>
      </c>
      <c r="K160" s="12">
        <f t="shared" si="23"/>
        <v>784.7722050168951</v>
      </c>
    </row>
    <row r="161" spans="2:11" x14ac:dyDescent="0.25">
      <c r="B161" s="10">
        <v>157</v>
      </c>
      <c r="C161" s="21">
        <v>44048</v>
      </c>
      <c r="D161" s="12">
        <f t="shared" si="18"/>
        <v>89479.418261074519</v>
      </c>
      <c r="E161" s="12">
        <f t="shared" si="19"/>
        <v>210799.97866218942</v>
      </c>
      <c r="F161" s="12">
        <f t="shared" si="24"/>
        <v>198805.17673829471</v>
      </c>
      <c r="G161" s="12">
        <f t="shared" si="24"/>
        <v>24571.426338440946</v>
      </c>
      <c r="H161" s="9"/>
      <c r="I161" s="12">
        <f t="shared" si="21"/>
        <v>5321.3757780375136</v>
      </c>
      <c r="J161" s="12">
        <f t="shared" si="22"/>
        <v>6306.067467823972</v>
      </c>
      <c r="K161" s="12">
        <f t="shared" si="23"/>
        <v>779.40159714678384</v>
      </c>
    </row>
    <row r="162" spans="2:11" x14ac:dyDescent="0.25">
      <c r="B162" s="10">
        <v>158</v>
      </c>
      <c r="C162" s="21">
        <v>44049</v>
      </c>
      <c r="D162" s="12">
        <f t="shared" si="18"/>
        <v>84490.648060321255</v>
      </c>
      <c r="E162" s="12">
        <f t="shared" si="19"/>
        <v>208762.08290753639</v>
      </c>
      <c r="F162" s="12">
        <f t="shared" si="24"/>
        <v>205058.90943860632</v>
      </c>
      <c r="G162" s="12">
        <f t="shared" si="24"/>
        <v>25344.359593535642</v>
      </c>
      <c r="H162" s="9"/>
      <c r="I162" s="12">
        <f t="shared" si="21"/>
        <v>4988.7702007532653</v>
      </c>
      <c r="J162" s="12">
        <f t="shared" si="22"/>
        <v>6253.7327003116188</v>
      </c>
      <c r="K162" s="12">
        <f t="shared" si="23"/>
        <v>772.93325509469514</v>
      </c>
    </row>
    <row r="163" spans="2:11" x14ac:dyDescent="0.25">
      <c r="B163" s="10">
        <v>159</v>
      </c>
      <c r="C163" s="21">
        <v>44050</v>
      </c>
      <c r="D163" s="12">
        <f t="shared" si="18"/>
        <v>79818.321796303295</v>
      </c>
      <c r="E163" s="12">
        <f t="shared" si="19"/>
        <v>206475.67307463646</v>
      </c>
      <c r="F163" s="12">
        <f t="shared" si="24"/>
        <v>211252.18456486324</v>
      </c>
      <c r="G163" s="12">
        <f t="shared" si="24"/>
        <v>26109.820564196609</v>
      </c>
      <c r="H163" s="9"/>
      <c r="I163" s="12">
        <f t="shared" si="21"/>
        <v>4672.3262640179601</v>
      </c>
      <c r="J163" s="12">
        <f t="shared" si="22"/>
        <v>6193.2751262569118</v>
      </c>
      <c r="K163" s="12">
        <f t="shared" si="23"/>
        <v>765.46097066096752</v>
      </c>
    </row>
    <row r="164" spans="2:11" x14ac:dyDescent="0.25">
      <c r="B164" s="10">
        <v>160</v>
      </c>
      <c r="C164" s="21">
        <v>44051</v>
      </c>
      <c r="D164" s="12">
        <f t="shared" si="18"/>
        <v>75446.001001768484</v>
      </c>
      <c r="E164" s="12">
        <f t="shared" si="19"/>
        <v>203965.47143335006</v>
      </c>
      <c r="F164" s="12">
        <f t="shared" si="24"/>
        <v>217377.62953274412</v>
      </c>
      <c r="G164" s="12">
        <f t="shared" si="24"/>
        <v>26866.898032136942</v>
      </c>
      <c r="H164" s="9"/>
      <c r="I164" s="12">
        <f t="shared" si="21"/>
        <v>4372.3207945348186</v>
      </c>
      <c r="J164" s="12">
        <f t="shared" si="22"/>
        <v>6125.4449678808805</v>
      </c>
      <c r="K164" s="12">
        <f t="shared" si="23"/>
        <v>757.07746794033437</v>
      </c>
    </row>
    <row r="165" spans="2:11" x14ac:dyDescent="0.25">
      <c r="B165" s="10">
        <v>161</v>
      </c>
      <c r="C165" s="21">
        <v>44052</v>
      </c>
      <c r="D165" s="12">
        <f t="shared" si="18"/>
        <v>71357.211530845569</v>
      </c>
      <c r="E165" s="12">
        <f t="shared" si="19"/>
        <v>201255.41185649461</v>
      </c>
      <c r="F165" s="12">
        <f t="shared" si="24"/>
        <v>223428.60518526685</v>
      </c>
      <c r="G165" s="12">
        <f t="shared" si="24"/>
        <v>27614.771427392559</v>
      </c>
      <c r="H165" s="9"/>
      <c r="I165" s="12">
        <f t="shared" si="21"/>
        <v>4088.7894709229122</v>
      </c>
      <c r="J165" s="12">
        <f t="shared" si="22"/>
        <v>6050.9756525227176</v>
      </c>
      <c r="K165" s="12">
        <f t="shared" si="23"/>
        <v>747.87339525561754</v>
      </c>
    </row>
    <row r="166" spans="2:11" x14ac:dyDescent="0.25">
      <c r="B166" s="10">
        <v>162</v>
      </c>
      <c r="C166" s="21">
        <v>44053</v>
      </c>
      <c r="D166" s="12">
        <f t="shared" si="18"/>
        <v>67535.643503384839</v>
      </c>
      <c r="E166" s="12">
        <f t="shared" si="19"/>
        <v>198368.46615540553</v>
      </c>
      <c r="F166" s="12">
        <f t="shared" ref="F166:G181" si="25">F165+J166</f>
        <v>229399.18240367618</v>
      </c>
      <c r="G166" s="12">
        <f t="shared" si="25"/>
        <v>28352.70793753304</v>
      </c>
      <c r="H166" s="9"/>
      <c r="I166" s="12">
        <f t="shared" si="21"/>
        <v>3821.5680274607316</v>
      </c>
      <c r="J166" s="12">
        <f t="shared" si="22"/>
        <v>5970.5772184093394</v>
      </c>
      <c r="K166" s="12">
        <f t="shared" si="23"/>
        <v>737.93651014048089</v>
      </c>
    </row>
    <row r="167" spans="2:11" x14ac:dyDescent="0.25">
      <c r="B167" s="10">
        <v>163</v>
      </c>
      <c r="C167" s="21">
        <v>44054</v>
      </c>
      <c r="D167" s="12">
        <f t="shared" si="18"/>
        <v>63965.313214850925</v>
      </c>
      <c r="E167" s="12">
        <f t="shared" si="19"/>
        <v>195326.51423875926</v>
      </c>
      <c r="F167" s="12">
        <f t="shared" si="25"/>
        <v>235284.11356628654</v>
      </c>
      <c r="G167" s="12">
        <f t="shared" si="25"/>
        <v>29080.058980102862</v>
      </c>
      <c r="H167" s="9"/>
      <c r="I167" s="12">
        <f t="shared" si="21"/>
        <v>3570.3302885339144</v>
      </c>
      <c r="J167" s="12">
        <f t="shared" si="22"/>
        <v>5884.9311626103636</v>
      </c>
      <c r="K167" s="12">
        <f t="shared" si="23"/>
        <v>727.35104256982095</v>
      </c>
    </row>
    <row r="168" spans="2:11" x14ac:dyDescent="0.25">
      <c r="B168" s="10">
        <v>164</v>
      </c>
      <c r="C168" s="21">
        <v>44055</v>
      </c>
      <c r="D168" s="12">
        <f t="shared" si="18"/>
        <v>60630.690717763682</v>
      </c>
      <c r="E168" s="12">
        <f t="shared" si="19"/>
        <v>192150.25292788784</v>
      </c>
      <c r="F168" s="12">
        <f t="shared" si="25"/>
        <v>241078.80015536974</v>
      </c>
      <c r="G168" s="12">
        <f t="shared" si="25"/>
        <v>29796.256198978313</v>
      </c>
      <c r="H168" s="9"/>
      <c r="I168" s="12">
        <f t="shared" si="21"/>
        <v>3334.6224970872413</v>
      </c>
      <c r="J168" s="12">
        <f t="shared" si="22"/>
        <v>5794.6865890831914</v>
      </c>
      <c r="K168" s="12">
        <f t="shared" si="23"/>
        <v>716.19721887545131</v>
      </c>
    </row>
    <row r="169" spans="2:11" x14ac:dyDescent="0.25">
      <c r="B169" s="10">
        <v>165</v>
      </c>
      <c r="C169" s="21">
        <v>44056</v>
      </c>
      <c r="D169" s="12">
        <f t="shared" si="18"/>
        <v>57516.79703281448</v>
      </c>
      <c r="E169" s="12">
        <f t="shared" si="19"/>
        <v>188859.13818190744</v>
      </c>
      <c r="F169" s="12">
        <f t="shared" si="25"/>
        <v>246779.25765889708</v>
      </c>
      <c r="G169" s="12">
        <f t="shared" si="25"/>
        <v>30500.807126380569</v>
      </c>
      <c r="H169" s="9"/>
      <c r="I169" s="12">
        <f t="shared" si="21"/>
        <v>3113.8936849492002</v>
      </c>
      <c r="J169" s="12">
        <f t="shared" si="22"/>
        <v>5700.4575035273392</v>
      </c>
      <c r="K169" s="12">
        <f t="shared" si="23"/>
        <v>704.55092740225598</v>
      </c>
    </row>
    <row r="170" spans="2:11" x14ac:dyDescent="0.25">
      <c r="B170" s="10">
        <v>166</v>
      </c>
      <c r="C170" s="21">
        <v>44057</v>
      </c>
      <c r="D170" s="12">
        <f t="shared" si="18"/>
        <v>54609.274979766175</v>
      </c>
      <c r="E170" s="12">
        <f t="shared" si="19"/>
        <v>185471.35562889217</v>
      </c>
      <c r="F170" s="12">
        <f t="shared" si="25"/>
        <v>252382.07875829368</v>
      </c>
      <c r="G170" s="12">
        <f t="shared" si="25"/>
        <v>31193.290633047563</v>
      </c>
      <c r="H170" s="9"/>
      <c r="I170" s="12">
        <f t="shared" si="21"/>
        <v>2907.522053048303</v>
      </c>
      <c r="J170" s="12">
        <f t="shared" si="22"/>
        <v>5602.8210993965868</v>
      </c>
      <c r="K170" s="12">
        <f t="shared" si="23"/>
        <v>692.48350666699457</v>
      </c>
    </row>
    <row r="171" spans="2:11" x14ac:dyDescent="0.25">
      <c r="B171" s="10">
        <v>167</v>
      </c>
      <c r="C171" s="21">
        <v>44058</v>
      </c>
      <c r="D171" s="12">
        <f t="shared" si="18"/>
        <v>51894.437488634103</v>
      </c>
      <c r="E171" s="12">
        <f t="shared" si="19"/>
        <v>182003.81459906118</v>
      </c>
      <c r="F171" s="12">
        <f t="shared" si="25"/>
        <v>257884.3956419508</v>
      </c>
      <c r="G171" s="12">
        <f t="shared" si="25"/>
        <v>31873.352270353502</v>
      </c>
      <c r="H171" s="9"/>
      <c r="I171" s="12">
        <f t="shared" si="21"/>
        <v>2714.8374911320725</v>
      </c>
      <c r="J171" s="12">
        <f t="shared" si="22"/>
        <v>5502.3168836571331</v>
      </c>
      <c r="K171" s="12">
        <f t="shared" si="23"/>
        <v>680.06163730593858</v>
      </c>
    </row>
    <row r="172" spans="2:11" x14ac:dyDescent="0.25">
      <c r="B172" s="10">
        <v>168</v>
      </c>
      <c r="C172" s="21">
        <v>44059</v>
      </c>
      <c r="D172" s="12">
        <f t="shared" si="18"/>
        <v>49359.297010951566</v>
      </c>
      <c r="E172" s="12">
        <f t="shared" si="19"/>
        <v>178472.16125677503</v>
      </c>
      <c r="F172" s="12">
        <f t="shared" si="25"/>
        <v>263283.84214172297</v>
      </c>
      <c r="G172" s="12">
        <f t="shared" si="25"/>
        <v>32540.699590550059</v>
      </c>
      <c r="H172" s="9"/>
      <c r="I172" s="12">
        <f t="shared" si="21"/>
        <v>2535.1404776825393</v>
      </c>
      <c r="J172" s="12">
        <f t="shared" si="22"/>
        <v>5399.4464997721479</v>
      </c>
      <c r="K172" s="12">
        <f t="shared" si="23"/>
        <v>667.34732019655826</v>
      </c>
    </row>
    <row r="173" spans="2:11" x14ac:dyDescent="0.25">
      <c r="B173" s="10">
        <v>169</v>
      </c>
      <c r="C173" s="21">
        <v>44060</v>
      </c>
      <c r="D173" s="12">
        <f t="shared" si="18"/>
        <v>46991.57934078815</v>
      </c>
      <c r="E173" s="12">
        <f t="shared" si="19"/>
        <v>174890.80688504592</v>
      </c>
      <c r="F173" s="12">
        <f t="shared" si="25"/>
        <v>268578.51625900727</v>
      </c>
      <c r="G173" s="12">
        <f t="shared" si="25"/>
        <v>33195.097515158232</v>
      </c>
      <c r="H173" s="9"/>
      <c r="I173" s="12">
        <f t="shared" si="21"/>
        <v>2367.7176701634148</v>
      </c>
      <c r="J173" s="12">
        <f t="shared" si="22"/>
        <v>5294.6741172843258</v>
      </c>
      <c r="K173" s="12">
        <f t="shared" si="23"/>
        <v>654.39792460817569</v>
      </c>
    </row>
    <row r="174" spans="2:11" x14ac:dyDescent="0.25">
      <c r="B174" s="10">
        <v>170</v>
      </c>
      <c r="C174" s="21">
        <v>44061</v>
      </c>
      <c r="D174" s="12">
        <f t="shared" si="18"/>
        <v>44779.72480852672</v>
      </c>
      <c r="E174" s="12">
        <f t="shared" si="19"/>
        <v>171272.96785447252</v>
      </c>
      <c r="F174" s="12">
        <f t="shared" si="25"/>
        <v>273766.94352993031</v>
      </c>
      <c r="G174" s="12">
        <f t="shared" si="25"/>
        <v>33836.363807070069</v>
      </c>
      <c r="H174" s="9"/>
      <c r="I174" s="12">
        <f t="shared" si="21"/>
        <v>2211.8545322614318</v>
      </c>
      <c r="J174" s="12">
        <f t="shared" si="22"/>
        <v>5188.4272709230281</v>
      </c>
      <c r="K174" s="12">
        <f t="shared" si="23"/>
        <v>641.26629191183565</v>
      </c>
    </row>
    <row r="175" spans="2:11" x14ac:dyDescent="0.25">
      <c r="B175" s="10">
        <v>171</v>
      </c>
      <c r="C175" s="21">
        <v>44062</v>
      </c>
      <c r="D175" s="12">
        <f t="shared" si="18"/>
        <v>42712.879452141802</v>
      </c>
      <c r="E175" s="12">
        <f t="shared" si="19"/>
        <v>167630.714282375</v>
      </c>
      <c r="F175" s="12">
        <f t="shared" si="25"/>
        <v>278848.04157627968</v>
      </c>
      <c r="G175" s="12">
        <f t="shared" si="25"/>
        <v>34464.364689203132</v>
      </c>
      <c r="H175" s="9"/>
      <c r="I175" s="12">
        <f t="shared" si="21"/>
        <v>2066.8453563849171</v>
      </c>
      <c r="J175" s="12">
        <f t="shared" si="22"/>
        <v>5081.0980463493506</v>
      </c>
      <c r="K175" s="12">
        <f t="shared" si="23"/>
        <v>628.00088213306651</v>
      </c>
    </row>
    <row r="176" spans="2:11" x14ac:dyDescent="0.25">
      <c r="B176" s="10">
        <v>172</v>
      </c>
      <c r="C176" s="21">
        <v>44063</v>
      </c>
      <c r="D176" s="12">
        <f t="shared" si="18"/>
        <v>40780.878418858971</v>
      </c>
      <c r="E176" s="12">
        <f t="shared" si="19"/>
        <v>163975.02483957869</v>
      </c>
      <c r="F176" s="12">
        <f t="shared" si="25"/>
        <v>283821.08609999012</v>
      </c>
      <c r="G176" s="12">
        <f t="shared" si="25"/>
        <v>35079.01064157184</v>
      </c>
      <c r="H176" s="9"/>
      <c r="I176" s="12">
        <f t="shared" si="21"/>
        <v>1932.0010332828281</v>
      </c>
      <c r="J176" s="12">
        <f t="shared" si="22"/>
        <v>4973.0445237104577</v>
      </c>
      <c r="K176" s="12">
        <f t="shared" si="23"/>
        <v>614.64595236870889</v>
      </c>
    </row>
    <row r="177" spans="2:11" x14ac:dyDescent="0.25">
      <c r="B177" s="10">
        <v>173</v>
      </c>
      <c r="C177" s="21">
        <v>44064</v>
      </c>
      <c r="D177" s="12">
        <f t="shared" si="18"/>
        <v>38974.22351686468</v>
      </c>
      <c r="E177" s="12">
        <f t="shared" si="19"/>
        <v>160315.84558025366</v>
      </c>
      <c r="F177" s="12">
        <f t="shared" si="25"/>
        <v>288685.67850356427</v>
      </c>
      <c r="G177" s="12">
        <f t="shared" si="25"/>
        <v>35680.25239931696</v>
      </c>
      <c r="H177" s="9"/>
      <c r="I177" s="12">
        <f t="shared" si="21"/>
        <v>1806.6549019942897</v>
      </c>
      <c r="J177" s="12">
        <f t="shared" si="22"/>
        <v>4864.5924035741673</v>
      </c>
      <c r="K177" s="12">
        <f t="shared" si="23"/>
        <v>601.2417577451223</v>
      </c>
    </row>
    <row r="178" spans="2:11" x14ac:dyDescent="0.25">
      <c r="B178" s="10">
        <v>174</v>
      </c>
      <c r="C178" s="21">
        <v>44065</v>
      </c>
      <c r="D178" s="12">
        <f t="shared" si="18"/>
        <v>37284.056529846734</v>
      </c>
      <c r="E178" s="12">
        <f t="shared" si="19"/>
        <v>156662.15104792983</v>
      </c>
      <c r="F178" s="12">
        <f t="shared" si="25"/>
        <v>293441.71525577846</v>
      </c>
      <c r="G178" s="12">
        <f t="shared" si="25"/>
        <v>36268.077166444556</v>
      </c>
      <c r="H178" s="9"/>
      <c r="I178" s="12">
        <f t="shared" si="21"/>
        <v>1690.1669870179471</v>
      </c>
      <c r="J178" s="12">
        <f t="shared" si="22"/>
        <v>4756.0367522141914</v>
      </c>
      <c r="K178" s="12">
        <f t="shared" si="23"/>
        <v>587.82476712759728</v>
      </c>
    </row>
    <row r="179" spans="2:11" x14ac:dyDescent="0.25">
      <c r="B179" s="10">
        <v>175</v>
      </c>
      <c r="C179" s="21">
        <v>44066</v>
      </c>
      <c r="D179" s="12">
        <f t="shared" si="18"/>
        <v>35702.129630719581</v>
      </c>
      <c r="E179" s="12">
        <f t="shared" si="19"/>
        <v>153022.00624545928</v>
      </c>
      <c r="F179" s="12">
        <f t="shared" si="25"/>
        <v>298089.35907020036</v>
      </c>
      <c r="G179" s="12">
        <f t="shared" si="25"/>
        <v>36842.505053620298</v>
      </c>
      <c r="H179" s="9"/>
      <c r="I179" s="12">
        <f t="shared" si="21"/>
        <v>1581.926899127152</v>
      </c>
      <c r="J179" s="12">
        <f t="shared" si="22"/>
        <v>4647.6438144219173</v>
      </c>
      <c r="K179" s="12">
        <f t="shared" si="23"/>
        <v>574.42788717574319</v>
      </c>
    </row>
    <row r="180" spans="2:11" x14ac:dyDescent="0.25">
      <c r="B180" s="10">
        <v>176</v>
      </c>
      <c r="C180" s="21">
        <v>44067</v>
      </c>
      <c r="D180" s="12">
        <f t="shared" si="18"/>
        <v>34220.773986462533</v>
      </c>
      <c r="E180" s="12">
        <f t="shared" si="19"/>
        <v>149402.62834820102</v>
      </c>
      <c r="F180" s="12">
        <f t="shared" si="25"/>
        <v>302629.01192214899</v>
      </c>
      <c r="G180" s="12">
        <f t="shared" si="25"/>
        <v>37403.585743186981</v>
      </c>
      <c r="H180" s="9"/>
      <c r="I180" s="12">
        <f t="shared" si="21"/>
        <v>1481.3556442570471</v>
      </c>
      <c r="J180" s="12">
        <f t="shared" si="22"/>
        <v>4539.6528519486255</v>
      </c>
      <c r="K180" s="12">
        <f t="shared" si="23"/>
        <v>561.08068956668455</v>
      </c>
    </row>
    <row r="181" spans="2:11" x14ac:dyDescent="0.25">
      <c r="B181" s="10">
        <v>177</v>
      </c>
      <c r="C181" s="21">
        <v>44068</v>
      </c>
      <c r="D181" s="12">
        <f t="shared" si="18"/>
        <v>32832.867433265892</v>
      </c>
      <c r="E181" s="12">
        <f t="shared" si="19"/>
        <v>145810.44728979093</v>
      </c>
      <c r="F181" s="12">
        <f t="shared" si="25"/>
        <v>307061.28989647893</v>
      </c>
      <c r="G181" s="12">
        <f t="shared" si="25"/>
        <v>37951.39538046372</v>
      </c>
      <c r="H181" s="9"/>
      <c r="I181" s="12">
        <f t="shared" si="21"/>
        <v>1387.9065531966385</v>
      </c>
      <c r="J181" s="12">
        <f t="shared" si="22"/>
        <v>4432.2779743299634</v>
      </c>
      <c r="K181" s="12">
        <f t="shared" si="23"/>
        <v>547.80963727673759</v>
      </c>
    </row>
    <row r="182" spans="2:11" x14ac:dyDescent="0.25">
      <c r="B182" s="10">
        <v>178</v>
      </c>
      <c r="C182" s="21">
        <v>44069</v>
      </c>
      <c r="D182" s="12">
        <f t="shared" si="18"/>
        <v>31531.801918599565</v>
      </c>
      <c r="E182" s="12">
        <f t="shared" si="19"/>
        <v>142251.16456146422</v>
      </c>
      <c r="F182" s="12">
        <f t="shared" ref="F182:G197" si="26">F181+J182</f>
        <v>311386.99983274273</v>
      </c>
      <c r="G182" s="12">
        <f t="shared" si="26"/>
        <v>38486.033687192954</v>
      </c>
      <c r="H182" s="9"/>
      <c r="I182" s="12">
        <f t="shared" si="21"/>
        <v>1301.065514666325</v>
      </c>
      <c r="J182" s="12">
        <f t="shared" si="22"/>
        <v>4325.7099362637973</v>
      </c>
      <c r="K182" s="12">
        <f t="shared" si="23"/>
        <v>534.63830672923393</v>
      </c>
    </row>
    <row r="183" spans="2:11" x14ac:dyDescent="0.25">
      <c r="B183" s="10">
        <v>179</v>
      </c>
      <c r="C183" s="21">
        <v>44070</v>
      </c>
      <c r="D183" s="12">
        <f t="shared" si="18"/>
        <v>30311.45125208894</v>
      </c>
      <c r="E183" s="12">
        <f t="shared" si="19"/>
        <v>138729.80974259268</v>
      </c>
      <c r="F183" s="12">
        <f t="shared" si="26"/>
        <v>315607.11771473283</v>
      </c>
      <c r="G183" s="12">
        <f t="shared" si="26"/>
        <v>39007.62129058499</v>
      </c>
      <c r="H183" s="9"/>
      <c r="I183" s="12">
        <f t="shared" si="21"/>
        <v>1220.3506665106238</v>
      </c>
      <c r="J183" s="12">
        <f t="shared" si="22"/>
        <v>4220.1178819901052</v>
      </c>
      <c r="K183" s="12">
        <f t="shared" si="23"/>
        <v>521.58760339203593</v>
      </c>
    </row>
    <row r="184" spans="2:11" x14ac:dyDescent="0.25">
      <c r="B184" s="10">
        <v>180</v>
      </c>
      <c r="C184" s="21">
        <v>44071</v>
      </c>
      <c r="D184" s="12">
        <f t="shared" si="18"/>
        <v>29166.13957749361</v>
      </c>
      <c r="E184" s="12">
        <f t="shared" si="19"/>
        <v>135250.79442576825</v>
      </c>
      <c r="F184" s="12">
        <f t="shared" si="26"/>
        <v>319722.7687370964</v>
      </c>
      <c r="G184" s="12">
        <f t="shared" si="26"/>
        <v>39516.297259641164</v>
      </c>
      <c r="H184" s="9"/>
      <c r="I184" s="12">
        <f t="shared" si="21"/>
        <v>1145.3116745953291</v>
      </c>
      <c r="J184" s="12">
        <f t="shared" si="22"/>
        <v>4115.6510223635823</v>
      </c>
      <c r="K184" s="12">
        <f t="shared" si="23"/>
        <v>508.67596905617364</v>
      </c>
    </row>
    <row r="185" spans="2:11" x14ac:dyDescent="0.25">
      <c r="B185" s="10">
        <v>181</v>
      </c>
      <c r="C185" s="21">
        <v>44072</v>
      </c>
      <c r="D185" s="12">
        <f t="shared" si="18"/>
        <v>28090.610870771987</v>
      </c>
      <c r="E185" s="12">
        <f t="shared" si="19"/>
        <v>131817.96331829758</v>
      </c>
      <c r="F185" s="12">
        <f t="shared" si="26"/>
        <v>323735.20897172752</v>
      </c>
      <c r="G185" s="12">
        <f t="shared" si="26"/>
        <v>40012.216839202316</v>
      </c>
      <c r="H185" s="9"/>
      <c r="I185" s="12">
        <f t="shared" si="21"/>
        <v>1075.5287067216229</v>
      </c>
      <c r="J185" s="12">
        <f t="shared" si="22"/>
        <v>4012.4402346311244</v>
      </c>
      <c r="K185" s="12">
        <f t="shared" si="23"/>
        <v>495.91957956115067</v>
      </c>
    </row>
    <row r="186" spans="2:11" x14ac:dyDescent="0.25">
      <c r="B186" s="10">
        <v>182</v>
      </c>
      <c r="C186" s="21">
        <v>44073</v>
      </c>
      <c r="D186" s="12">
        <f t="shared" si="18"/>
        <v>27079.999681338049</v>
      </c>
      <c r="E186" s="12">
        <f t="shared" si="19"/>
        <v>128434.6423971216</v>
      </c>
      <c r="F186" s="12">
        <f t="shared" si="26"/>
        <v>327645.80855017033</v>
      </c>
      <c r="G186" s="12">
        <f t="shared" si="26"/>
        <v>40495.549371369409</v>
      </c>
      <c r="H186" s="9"/>
      <c r="I186" s="12">
        <f t="shared" si="21"/>
        <v>1010.6111894339388</v>
      </c>
      <c r="J186" s="12">
        <f t="shared" si="22"/>
        <v>3910.5995784428278</v>
      </c>
      <c r="K186" s="12">
        <f t="shared" si="23"/>
        <v>483.33253216709159</v>
      </c>
    </row>
    <row r="187" spans="2:11" x14ac:dyDescent="0.25">
      <c r="B187" s="10">
        <v>183</v>
      </c>
      <c r="C187" s="13">
        <v>44074</v>
      </c>
      <c r="D187" s="12">
        <f t="shared" si="18"/>
        <v>26129.803262472768</v>
      </c>
      <c r="E187" s="12">
        <f t="shared" si="19"/>
        <v>125103.68406941617</v>
      </c>
      <c r="F187" s="12">
        <f t="shared" si="26"/>
        <v>331456.03627461829</v>
      </c>
      <c r="G187" s="12">
        <f t="shared" si="26"/>
        <v>40966.476393492187</v>
      </c>
      <c r="H187" s="9"/>
      <c r="I187" s="12">
        <f t="shared" si="21"/>
        <v>950.19641886528211</v>
      </c>
      <c r="J187" s="12">
        <f t="shared" si="22"/>
        <v>3810.2277244479405</v>
      </c>
      <c r="K187" s="12">
        <f t="shared" si="23"/>
        <v>470.92702212277965</v>
      </c>
    </row>
    <row r="188" spans="2:11" x14ac:dyDescent="0.25">
      <c r="B188" s="10">
        <v>184</v>
      </c>
      <c r="C188" s="21">
        <v>44075</v>
      </c>
      <c r="D188" s="12">
        <f t="shared" si="18"/>
        <v>25235.855179947524</v>
      </c>
      <c r="E188" s="12">
        <f t="shared" si="19"/>
        <v>121827.50934962754</v>
      </c>
      <c r="F188" s="12">
        <f t="shared" si="26"/>
        <v>335167.44556867762</v>
      </c>
      <c r="G188" s="12">
        <f t="shared" si="26"/>
        <v>41425.189901746715</v>
      </c>
      <c r="H188" s="9"/>
      <c r="I188" s="12">
        <f t="shared" si="21"/>
        <v>893.94808252524251</v>
      </c>
      <c r="J188" s="12">
        <f t="shared" si="22"/>
        <v>3711.4092940593459</v>
      </c>
      <c r="K188" s="12">
        <f t="shared" si="23"/>
        <v>458.71350825452635</v>
      </c>
    </row>
    <row r="189" spans="2:11" x14ac:dyDescent="0.25">
      <c r="B189" s="10">
        <v>185</v>
      </c>
      <c r="C189" s="21">
        <v>44076</v>
      </c>
      <c r="D189" s="12">
        <f t="shared" si="18"/>
        <v>24394.300442999891</v>
      </c>
      <c r="E189" s="12">
        <f t="shared" si="19"/>
        <v>118608.14710825426</v>
      </c>
      <c r="F189" s="12">
        <f t="shared" si="26"/>
        <v>338781.66167938325</v>
      </c>
      <c r="G189" s="12">
        <f t="shared" si="26"/>
        <v>41871.890769362013</v>
      </c>
      <c r="H189" s="9"/>
      <c r="I189" s="12">
        <f t="shared" si="21"/>
        <v>841.55473694763373</v>
      </c>
      <c r="J189" s="12">
        <f t="shared" si="22"/>
        <v>3614.2161107056163</v>
      </c>
      <c r="K189" s="12">
        <f t="shared" si="23"/>
        <v>446.70086761530132</v>
      </c>
    </row>
    <row r="190" spans="2:11" x14ac:dyDescent="0.25">
      <c r="B190" s="10">
        <v>186</v>
      </c>
      <c r="C190" s="21">
        <v>44077</v>
      </c>
      <c r="D190" s="12">
        <f t="shared" si="18"/>
        <v>23601.57216688052</v>
      </c>
      <c r="E190" s="12">
        <f t="shared" si="19"/>
        <v>115447.27048076515</v>
      </c>
      <c r="F190" s="12">
        <f t="shared" si="26"/>
        <v>342300.3700435948</v>
      </c>
      <c r="G190" s="12">
        <f t="shared" si="26"/>
        <v>42306.787308758947</v>
      </c>
      <c r="H190" s="9"/>
      <c r="I190" s="12">
        <f t="shared" si="21"/>
        <v>792.72827611936998</v>
      </c>
      <c r="J190" s="12">
        <f t="shared" si="22"/>
        <v>3518.7083642115422</v>
      </c>
      <c r="K190" s="12">
        <f t="shared" si="23"/>
        <v>434.89653939693267</v>
      </c>
    </row>
    <row r="191" spans="2:11" x14ac:dyDescent="0.25">
      <c r="B191" s="10">
        <v>187</v>
      </c>
      <c r="C191" s="21">
        <v>44078</v>
      </c>
      <c r="D191" s="12">
        <f t="shared" si="18"/>
        <v>22854.369749524747</v>
      </c>
      <c r="E191" s="12">
        <f t="shared" si="19"/>
        <v>112346.23054876208</v>
      </c>
      <c r="F191" s="12">
        <f t="shared" si="26"/>
        <v>345725.30573452415</v>
      </c>
      <c r="G191" s="12">
        <f t="shared" si="26"/>
        <v>42730.093967188419</v>
      </c>
      <c r="H191" s="9"/>
      <c r="I191" s="12">
        <f t="shared" si="21"/>
        <v>747.20241735577156</v>
      </c>
      <c r="J191" s="12">
        <f t="shared" si="22"/>
        <v>3424.9356909293656</v>
      </c>
      <c r="K191" s="12">
        <f t="shared" si="23"/>
        <v>423.30665842947258</v>
      </c>
    </row>
    <row r="192" spans="2:11" x14ac:dyDescent="0.25">
      <c r="B192" s="10">
        <v>188</v>
      </c>
      <c r="C192" s="21">
        <v>44079</v>
      </c>
      <c r="D192" s="12">
        <f t="shared" si="18"/>
        <v>22149.638524995516</v>
      </c>
      <c r="E192" s="12">
        <f t="shared" si="19"/>
        <v>109306.0874216659</v>
      </c>
      <c r="F192" s="12">
        <f t="shared" si="26"/>
        <v>349058.24390747078</v>
      </c>
      <c r="G192" s="12">
        <f t="shared" si="26"/>
        <v>43142.030145867211</v>
      </c>
      <c r="H192" s="9"/>
      <c r="I192" s="12">
        <f t="shared" si="21"/>
        <v>704.73122452923042</v>
      </c>
      <c r="J192" s="12">
        <f t="shared" si="22"/>
        <v>3332.9381729466081</v>
      </c>
      <c r="K192" s="12">
        <f t="shared" si="23"/>
        <v>411.93617867879465</v>
      </c>
    </row>
    <row r="193" spans="2:11" x14ac:dyDescent="0.25">
      <c r="B193" s="10">
        <v>189</v>
      </c>
      <c r="C193" s="21">
        <v>44080</v>
      </c>
      <c r="D193" s="12">
        <f t="shared" si="18"/>
        <v>21484.550841918899</v>
      </c>
      <c r="E193" s="12">
        <f t="shared" si="19"/>
        <v>106327.63885735367</v>
      </c>
      <c r="F193" s="12">
        <f t="shared" si="26"/>
        <v>352300.99116764689</v>
      </c>
      <c r="G193" s="12">
        <f t="shared" si="26"/>
        <v>43542.819133079989</v>
      </c>
      <c r="H193" s="9"/>
      <c r="I193" s="12">
        <f t="shared" si="21"/>
        <v>665.08768307661785</v>
      </c>
      <c r="J193" s="12">
        <f t="shared" si="22"/>
        <v>3242.7472601760883</v>
      </c>
      <c r="K193" s="12">
        <f t="shared" si="23"/>
        <v>400.78898721277534</v>
      </c>
    </row>
    <row r="194" spans="2:11" x14ac:dyDescent="0.25">
      <c r="B194" s="10">
        <v>190</v>
      </c>
      <c r="C194" s="21">
        <v>44081</v>
      </c>
      <c r="D194" s="12">
        <f t="shared" si="18"/>
        <v>20856.488505112095</v>
      </c>
      <c r="E194" s="12">
        <f t="shared" si="19"/>
        <v>103411.44656558202</v>
      </c>
      <c r="F194" s="12">
        <f t="shared" si="26"/>
        <v>355455.3777870817</v>
      </c>
      <c r="G194" s="12">
        <f t="shared" si="26"/>
        <v>43932.687142223622</v>
      </c>
      <c r="H194" s="9"/>
      <c r="I194" s="12">
        <f t="shared" si="21"/>
        <v>628.06233680680327</v>
      </c>
      <c r="J194" s="12">
        <f t="shared" si="22"/>
        <v>3154.3866194348252</v>
      </c>
      <c r="K194" s="12">
        <f t="shared" si="23"/>
        <v>389.8680091436305</v>
      </c>
    </row>
    <row r="195" spans="2:11" x14ac:dyDescent="0.25">
      <c r="B195" s="10">
        <v>191</v>
      </c>
      <c r="C195" s="21">
        <v>44082</v>
      </c>
      <c r="D195" s="12">
        <f t="shared" si="18"/>
        <v>20263.026512084962</v>
      </c>
      <c r="E195" s="12">
        <f t="shared" si="19"/>
        <v>100557.86033975643</v>
      </c>
      <c r="F195" s="12">
        <f t="shared" si="26"/>
        <v>358523.25070186064</v>
      </c>
      <c r="G195" s="12">
        <f t="shared" si="26"/>
        <v>44311.862446297426</v>
      </c>
      <c r="H195" s="9"/>
      <c r="I195" s="12">
        <f t="shared" si="21"/>
        <v>593.46199302713171</v>
      </c>
      <c r="J195" s="12">
        <f t="shared" si="22"/>
        <v>3067.8729147789331</v>
      </c>
      <c r="K195" s="12">
        <f t="shared" si="23"/>
        <v>379.1753040738011</v>
      </c>
    </row>
    <row r="196" spans="2:11" x14ac:dyDescent="0.25">
      <c r="B196" s="10">
        <v>192</v>
      </c>
      <c r="C196" s="21">
        <v>44083</v>
      </c>
      <c r="D196" s="12">
        <f t="shared" si="18"/>
        <v>19701.918012331618</v>
      </c>
      <c r="E196" s="12">
        <f t="shared" si="19"/>
        <v>97767.0401615179</v>
      </c>
      <c r="F196" s="12">
        <f t="shared" si="26"/>
        <v>361506.46722527343</v>
      </c>
      <c r="G196" s="12">
        <f t="shared" si="26"/>
        <v>44680.574600876535</v>
      </c>
      <c r="H196" s="9"/>
      <c r="I196" s="12">
        <f t="shared" si="21"/>
        <v>561.10849975334509</v>
      </c>
      <c r="J196" s="12">
        <f t="shared" si="22"/>
        <v>2983.2165234127738</v>
      </c>
      <c r="K196" s="12">
        <f t="shared" si="23"/>
        <v>368.71215457910722</v>
      </c>
    </row>
    <row r="197" spans="2:11" x14ac:dyDescent="0.25">
      <c r="B197" s="10">
        <v>193</v>
      </c>
      <c r="C197" s="21">
        <v>44084</v>
      </c>
      <c r="D197" s="12">
        <f t="shared" si="18"/>
        <v>19171.080415702429</v>
      </c>
      <c r="E197" s="12">
        <f t="shared" si="19"/>
        <v>95038.976419429833</v>
      </c>
      <c r="F197" s="12">
        <f t="shared" si="26"/>
        <v>364406.88941673178</v>
      </c>
      <c r="G197" s="12">
        <f t="shared" si="26"/>
        <v>45039.053748135433</v>
      </c>
      <c r="H197" s="9"/>
      <c r="I197" s="12">
        <f t="shared" si="21"/>
        <v>530.83759662918874</v>
      </c>
      <c r="J197" s="12">
        <f t="shared" si="22"/>
        <v>2900.4221914583641</v>
      </c>
      <c r="K197" s="12">
        <f t="shared" si="23"/>
        <v>358.47914725889927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18668.582576155088</v>
      </c>
      <c r="E198" s="12">
        <f t="shared" ref="E198:E204" si="28">E197+I198-J198-K198</f>
        <v>92373.508378329512</v>
      </c>
      <c r="F198" s="12">
        <f t="shared" ref="F198:G204" si="29">F197+J198</f>
        <v>367226.3790505082</v>
      </c>
      <c r="G198" s="12">
        <f t="shared" si="29"/>
        <v>45387.529995006676</v>
      </c>
      <c r="H198" s="9"/>
      <c r="I198" s="12">
        <f t="shared" ref="I198:I204" si="30">E197*N$6*D197/SUM(D197:F197)*N$7</f>
        <v>502.49783954734124</v>
      </c>
      <c r="J198" s="12">
        <f t="shared" ref="J198:J204" si="31">E197*N$8/N$5</f>
        <v>2819.489633776418</v>
      </c>
      <c r="K198" s="12">
        <f t="shared" ref="K198:K204" si="32">E197*N$9/N$5</f>
        <v>348.47624687124306</v>
      </c>
    </row>
    <row r="199" spans="2:11" x14ac:dyDescent="0.25">
      <c r="B199" s="10">
        <v>195</v>
      </c>
      <c r="C199" s="21">
        <v>44086</v>
      </c>
      <c r="D199" s="12">
        <f t="shared" si="27"/>
        <v>18192.632978417769</v>
      </c>
      <c r="E199" s="12">
        <f t="shared" si="28"/>
        <v>89770.341030122509</v>
      </c>
      <c r="F199" s="12">
        <f t="shared" si="29"/>
        <v>369966.79313239863</v>
      </c>
      <c r="G199" s="12">
        <f t="shared" si="29"/>
        <v>45726.232859060554</v>
      </c>
      <c r="H199" s="9"/>
      <c r="I199" s="12">
        <f t="shared" si="30"/>
        <v>475.94959773731995</v>
      </c>
      <c r="J199" s="12">
        <f t="shared" si="31"/>
        <v>2740.414081890442</v>
      </c>
      <c r="K199" s="12">
        <f t="shared" si="32"/>
        <v>338.7028640538752</v>
      </c>
    </row>
    <row r="200" spans="2:11" x14ac:dyDescent="0.25">
      <c r="B200" s="10">
        <v>196</v>
      </c>
      <c r="C200" s="21">
        <v>44087</v>
      </c>
      <c r="D200" s="12">
        <f t="shared" si="27"/>
        <v>17741.568857228725</v>
      </c>
      <c r="E200" s="12">
        <f t="shared" si="28"/>
        <v>87229.060450307472</v>
      </c>
      <c r="F200" s="12">
        <f t="shared" si="29"/>
        <v>372629.97991629224</v>
      </c>
      <c r="G200" s="12">
        <f t="shared" si="29"/>
        <v>46055.390776171</v>
      </c>
      <c r="H200" s="9"/>
      <c r="I200" s="12">
        <f t="shared" si="30"/>
        <v>451.06412118904177</v>
      </c>
      <c r="J200" s="12">
        <f t="shared" si="31"/>
        <v>2663.1867838936337</v>
      </c>
      <c r="K200" s="12">
        <f t="shared" si="32"/>
        <v>329.15791711044949</v>
      </c>
    </row>
    <row r="201" spans="2:11" x14ac:dyDescent="0.25">
      <c r="B201" s="10">
        <v>197</v>
      </c>
      <c r="C201" s="21">
        <v>44088</v>
      </c>
      <c r="D201" s="12">
        <f t="shared" si="27"/>
        <v>17313.846181582201</v>
      </c>
      <c r="E201" s="12">
        <f t="shared" si="28"/>
        <v>84749.1477776104</v>
      </c>
      <c r="F201" s="12">
        <f t="shared" si="29"/>
        <v>375217.77537631802</v>
      </c>
      <c r="G201" s="12">
        <f t="shared" si="29"/>
        <v>46375.230664488794</v>
      </c>
      <c r="H201" s="9"/>
      <c r="I201" s="12">
        <f t="shared" si="30"/>
        <v>427.72267564652356</v>
      </c>
      <c r="J201" s="12">
        <f t="shared" si="31"/>
        <v>2587.7954600257881</v>
      </c>
      <c r="K201" s="12">
        <f t="shared" si="32"/>
        <v>319.83988831779436</v>
      </c>
    </row>
    <row r="202" spans="2:11" x14ac:dyDescent="0.25">
      <c r="B202" s="10">
        <v>198</v>
      </c>
      <c r="C202" s="21">
        <v>44089</v>
      </c>
      <c r="D202" s="12">
        <f t="shared" si="27"/>
        <v>16908.030439602135</v>
      </c>
      <c r="E202" s="12">
        <f t="shared" si="28"/>
        <v>82329.991927003459</v>
      </c>
      <c r="F202" s="12">
        <f t="shared" si="29"/>
        <v>377732.00009372045</v>
      </c>
      <c r="G202" s="12">
        <f t="shared" si="29"/>
        <v>46685.977539673368</v>
      </c>
      <c r="H202" s="9"/>
      <c r="I202" s="12">
        <f t="shared" si="30"/>
        <v>405.81574198006768</v>
      </c>
      <c r="J202" s="12">
        <f t="shared" si="31"/>
        <v>2514.2247174024419</v>
      </c>
      <c r="K202" s="12">
        <f t="shared" si="32"/>
        <v>310.74687518457176</v>
      </c>
    </row>
    <row r="203" spans="2:11" x14ac:dyDescent="0.25">
      <c r="B203" s="10">
        <v>199</v>
      </c>
      <c r="C203" s="21">
        <v>44090</v>
      </c>
      <c r="D203" s="12">
        <f t="shared" si="27"/>
        <v>16522.788163119887</v>
      </c>
      <c r="E203" s="12">
        <f t="shared" si="28"/>
        <v>79970.901139252252</v>
      </c>
      <c r="F203" s="12">
        <f t="shared" si="29"/>
        <v>380174.4565208882</v>
      </c>
      <c r="G203" s="12">
        <f t="shared" si="29"/>
        <v>46987.854176739049</v>
      </c>
      <c r="H203" s="9"/>
      <c r="I203" s="12">
        <f t="shared" si="30"/>
        <v>385.24227648224678</v>
      </c>
      <c r="J203" s="12">
        <f t="shared" si="31"/>
        <v>2442.4564271677687</v>
      </c>
      <c r="K203" s="12">
        <f t="shared" si="32"/>
        <v>301.87663706567963</v>
      </c>
    </row>
    <row r="204" spans="2:11" x14ac:dyDescent="0.25">
      <c r="B204" s="20">
        <v>200</v>
      </c>
      <c r="C204" s="21">
        <v>44091</v>
      </c>
      <c r="D204" s="12">
        <f t="shared" si="27"/>
        <v>16156.879134623481</v>
      </c>
      <c r="E204" s="12">
        <f t="shared" si="28"/>
        <v>77671.113463106914</v>
      </c>
      <c r="F204" s="12">
        <f t="shared" si="29"/>
        <v>382546.92658801936</v>
      </c>
      <c r="G204" s="12">
        <f t="shared" si="29"/>
        <v>47281.080814249639</v>
      </c>
      <c r="H204" s="9"/>
      <c r="I204" s="12">
        <f t="shared" si="30"/>
        <v>365.9090284964056</v>
      </c>
      <c r="J204" s="12">
        <f t="shared" si="31"/>
        <v>2372.4700671311498</v>
      </c>
      <c r="K204" s="12">
        <f t="shared" si="32"/>
        <v>293.22663751059184</v>
      </c>
    </row>
    <row r="205" spans="2:11" x14ac:dyDescent="0.25">
      <c r="B205" s="19"/>
      <c r="C205" s="1"/>
      <c r="E205" s="12">
        <f>MAX(E4:E204)</f>
        <v>216392.09921154418</v>
      </c>
      <c r="I205" s="12">
        <f>MAX(I4:I204)</f>
        <v>11664.947018637478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2:N762"/>
  <sheetViews>
    <sheetView showGridLines="0" topLeftCell="A199" workbookViewId="0">
      <selection activeCell="I205" sqref="I205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4" t="s">
        <v>26</v>
      </c>
      <c r="E2" s="35"/>
      <c r="F2" s="35"/>
      <c r="G2" s="36"/>
      <c r="I2" s="34" t="s">
        <v>27</v>
      </c>
      <c r="J2" s="35"/>
      <c r="K2" s="36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438960</v>
      </c>
    </row>
    <row r="4" spans="2:14" x14ac:dyDescent="0.25">
      <c r="B4" s="10">
        <v>0</v>
      </c>
      <c r="C4" s="11">
        <v>43891</v>
      </c>
      <c r="D4" s="12">
        <f>N3</f>
        <v>438960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438959.86800030072</v>
      </c>
      <c r="E5" s="12">
        <f>E4+I5-J5-K5</f>
        <v>1.0986663659565807</v>
      </c>
      <c r="F5" s="12">
        <f>F4+J5</f>
        <v>2.9666666666666664E-2</v>
      </c>
      <c r="G5" s="12">
        <f>G4+K5</f>
        <v>3.6666666666666701E-3</v>
      </c>
      <c r="H5" s="9"/>
      <c r="I5" s="12">
        <f>E4*N$6*D4/SUM(D4:F4)*N$7</f>
        <v>0.13199969928991415</v>
      </c>
      <c r="J5" s="12">
        <f>E4*N$8/N$5</f>
        <v>2.9666666666666664E-2</v>
      </c>
      <c r="K5" s="12">
        <f>E4*N$9/N$5</f>
        <v>3.6666666666666701E-3</v>
      </c>
      <c r="M5" s="2" t="s">
        <v>7</v>
      </c>
      <c r="N5" s="18">
        <f>Datos!G3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438959.72297671321</v>
      </c>
      <c r="E6" s="12">
        <f t="shared" ref="E6:E69" si="1">E5+I6-J6-K6</f>
        <v>1.2070677412855617</v>
      </c>
      <c r="F6" s="12">
        <f t="shared" ref="F6:G21" si="2">F5+J6</f>
        <v>6.2260435523378552E-2</v>
      </c>
      <c r="G6" s="12">
        <f t="shared" si="2"/>
        <v>7.6951100085074706E-3</v>
      </c>
      <c r="H6" s="9"/>
      <c r="I6" s="12">
        <f t="shared" ref="I6:I69" si="3">E5*N$6*D5/SUM(D5:F5)*N$7</f>
        <v>0.14502358752753364</v>
      </c>
      <c r="J6" s="12">
        <f t="shared" ref="J6:J69" si="4">E5*N$8/N$5</f>
        <v>3.2593768856711891E-2</v>
      </c>
      <c r="K6" s="12">
        <f t="shared" ref="K6:K69" si="5">E5*N$9/N$5</f>
        <v>4.0284433418408001E-3</v>
      </c>
      <c r="M6" s="2" t="s">
        <v>8</v>
      </c>
      <c r="N6" s="3">
        <f>Datos!G4</f>
        <v>2</v>
      </c>
    </row>
    <row r="7" spans="2:14" x14ac:dyDescent="0.25">
      <c r="B7" s="10">
        <v>3</v>
      </c>
      <c r="C7" s="11">
        <v>43894</v>
      </c>
      <c r="D7" s="12">
        <f t="shared" si="0"/>
        <v>438959.56364423211</v>
      </c>
      <c r="E7" s="12">
        <f t="shared" si="1"/>
        <v>1.3261646310215651</v>
      </c>
      <c r="F7" s="12">
        <f t="shared" si="2"/>
        <v>9.8070111848183539E-2</v>
      </c>
      <c r="G7" s="12">
        <f t="shared" si="2"/>
        <v>1.2121025059887868E-2</v>
      </c>
      <c r="H7" s="9"/>
      <c r="I7" s="12">
        <f t="shared" si="3"/>
        <v>0.1593324811121887</v>
      </c>
      <c r="J7" s="12">
        <f t="shared" si="4"/>
        <v>3.5809676324804994E-2</v>
      </c>
      <c r="K7" s="12">
        <f t="shared" si="5"/>
        <v>4.4259150513803972E-3</v>
      </c>
      <c r="M7" s="2" t="s">
        <v>9</v>
      </c>
      <c r="N7" s="4">
        <f>Datos!G5</f>
        <v>6.6000000000000003E-2</v>
      </c>
    </row>
    <row r="8" spans="2:14" x14ac:dyDescent="0.25">
      <c r="B8" s="10">
        <v>4</v>
      </c>
      <c r="C8" s="11">
        <v>43895</v>
      </c>
      <c r="D8" s="12">
        <f t="shared" si="0"/>
        <v>438959.3885910688</v>
      </c>
      <c r="E8" s="12">
        <f t="shared" si="1"/>
        <v>1.4570123066435656</v>
      </c>
      <c r="F8" s="12">
        <f t="shared" si="2"/>
        <v>0.13741299590182329</v>
      </c>
      <c r="G8" s="12">
        <f t="shared" si="2"/>
        <v>1.6983628706966944E-2</v>
      </c>
      <c r="H8" s="9"/>
      <c r="I8" s="12">
        <f t="shared" si="3"/>
        <v>0.17505316332271958</v>
      </c>
      <c r="J8" s="12">
        <f t="shared" si="4"/>
        <v>3.9342884053639761E-2</v>
      </c>
      <c r="K8" s="12">
        <f t="shared" si="5"/>
        <v>4.8626036470790761E-3</v>
      </c>
      <c r="M8" s="2" t="s">
        <v>10</v>
      </c>
      <c r="N8" s="5">
        <f>Datos!G6</f>
        <v>0.8899999999999999</v>
      </c>
    </row>
    <row r="9" spans="2:14" x14ac:dyDescent="0.25">
      <c r="B9" s="10">
        <v>5</v>
      </c>
      <c r="C9" s="11">
        <v>43896</v>
      </c>
      <c r="D9" s="12">
        <f t="shared" si="0"/>
        <v>438959.19626614288</v>
      </c>
      <c r="E9" s="12">
        <f t="shared" si="1"/>
        <v>1.6007701556535854</v>
      </c>
      <c r="F9" s="12">
        <f t="shared" si="2"/>
        <v>0.18063769433224908</v>
      </c>
      <c r="G9" s="12">
        <f t="shared" si="2"/>
        <v>2.2326007164660024E-2</v>
      </c>
      <c r="H9" s="9"/>
      <c r="I9" s="12">
        <f t="shared" si="3"/>
        <v>0.19232492589813874</v>
      </c>
      <c r="J9" s="12">
        <f t="shared" si="4"/>
        <v>4.3224698430425777E-2</v>
      </c>
      <c r="K9" s="12">
        <f t="shared" si="5"/>
        <v>5.3423784576930779E-3</v>
      </c>
      <c r="M9" s="2" t="s">
        <v>11</v>
      </c>
      <c r="N9" s="5">
        <f>Datos!G7</f>
        <v>0.1100000000000001</v>
      </c>
    </row>
    <row r="10" spans="2:14" x14ac:dyDescent="0.25">
      <c r="B10" s="10">
        <v>6</v>
      </c>
      <c r="C10" s="11">
        <v>43897</v>
      </c>
      <c r="D10" s="12">
        <f t="shared" si="0"/>
        <v>438958.98496533983</v>
      </c>
      <c r="E10" s="12">
        <f t="shared" si="1"/>
        <v>1.7587119534991076</v>
      </c>
      <c r="F10" s="12">
        <f t="shared" si="2"/>
        <v>0.2281272089499721</v>
      </c>
      <c r="G10" s="12">
        <f t="shared" si="2"/>
        <v>2.8195497735389843E-2</v>
      </c>
      <c r="H10" s="9"/>
      <c r="I10" s="12">
        <f t="shared" si="3"/>
        <v>0.21130080303397503</v>
      </c>
      <c r="J10" s="12">
        <f t="shared" si="4"/>
        <v>4.7489514617723029E-2</v>
      </c>
      <c r="K10" s="12">
        <f t="shared" si="5"/>
        <v>5.8694905707298182E-3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438958.75281641271</v>
      </c>
      <c r="E11" s="12">
        <f t="shared" si="1"/>
        <v>1.9322371488130461</v>
      </c>
      <c r="F11" s="12">
        <f t="shared" si="2"/>
        <v>0.28030233023711226</v>
      </c>
      <c r="G11" s="12">
        <f t="shared" si="2"/>
        <v>3.4644108231553242E-2</v>
      </c>
      <c r="H11" s="9"/>
      <c r="I11" s="12">
        <f t="shared" si="3"/>
        <v>0.23214892709724208</v>
      </c>
      <c r="J11" s="12">
        <f t="shared" si="4"/>
        <v>5.2175121287140185E-2</v>
      </c>
      <c r="K11" s="12">
        <f t="shared" si="5"/>
        <v>6.4486104961633999E-3</v>
      </c>
      <c r="M11" s="2" t="s">
        <v>12</v>
      </c>
      <c r="N11" s="7">
        <f>SUM(I5:I204)+E4</f>
        <v>425952.03828681243</v>
      </c>
    </row>
    <row r="12" spans="2:14" x14ac:dyDescent="0.25">
      <c r="B12" s="10">
        <v>8</v>
      </c>
      <c r="C12" s="11">
        <v>43899</v>
      </c>
      <c r="D12" s="12">
        <f t="shared" si="0"/>
        <v>438958.49776239466</v>
      </c>
      <c r="E12" s="12">
        <f t="shared" si="1"/>
        <v>2.1228832619148155</v>
      </c>
      <c r="F12" s="12">
        <f t="shared" si="2"/>
        <v>0.33762536565189927</v>
      </c>
      <c r="G12" s="12">
        <f t="shared" si="2"/>
        <v>4.1728977777201082E-2</v>
      </c>
      <c r="H12" s="9"/>
      <c r="I12" s="12">
        <f t="shared" si="3"/>
        <v>0.25505401806220401</v>
      </c>
      <c r="J12" s="12">
        <f t="shared" si="4"/>
        <v>5.7323035414787026E-2</v>
      </c>
      <c r="K12" s="12">
        <f t="shared" si="5"/>
        <v>7.0848695456478417E-3</v>
      </c>
      <c r="M12" s="2" t="s">
        <v>13</v>
      </c>
      <c r="N12" s="7">
        <f>SUM(J5:J204)</f>
        <v>324250.39046221081</v>
      </c>
    </row>
    <row r="13" spans="2:14" x14ac:dyDescent="0.25">
      <c r="B13" s="10">
        <v>9</v>
      </c>
      <c r="C13" s="11">
        <v>43900</v>
      </c>
      <c r="D13" s="12">
        <f t="shared" si="0"/>
        <v>438958.21754337481</v>
      </c>
      <c r="E13" s="12">
        <f t="shared" si="1"/>
        <v>2.3323395063694439</v>
      </c>
      <c r="F13" s="12">
        <f t="shared" si="2"/>
        <v>0.40060423575537213</v>
      </c>
      <c r="G13" s="12">
        <f t="shared" si="2"/>
        <v>4.9512883070888747E-2</v>
      </c>
      <c r="H13" s="9"/>
      <c r="I13" s="12">
        <f t="shared" si="3"/>
        <v>0.28021901985178893</v>
      </c>
      <c r="J13" s="12">
        <f t="shared" si="4"/>
        <v>6.2978870103472848E-2</v>
      </c>
      <c r="K13" s="12">
        <f t="shared" si="5"/>
        <v>7.7839052936876634E-3</v>
      </c>
      <c r="M13" s="2" t="s">
        <v>14</v>
      </c>
      <c r="N13" s="7">
        <f>SUM(K5:K204)</f>
        <v>40075.890956003641</v>
      </c>
    </row>
    <row r="14" spans="2:14" x14ac:dyDescent="0.25">
      <c r="B14" s="10">
        <v>10</v>
      </c>
      <c r="C14" s="11">
        <v>43901</v>
      </c>
      <c r="D14" s="12">
        <f t="shared" si="0"/>
        <v>438957.90967647673</v>
      </c>
      <c r="E14" s="12">
        <f t="shared" si="1"/>
        <v>2.5624617542256858</v>
      </c>
      <c r="F14" s="12">
        <f t="shared" si="2"/>
        <v>0.46979697444433227</v>
      </c>
      <c r="G14" s="12">
        <f t="shared" si="2"/>
        <v>5.806479459424338E-2</v>
      </c>
      <c r="H14" s="9"/>
      <c r="I14" s="12">
        <f t="shared" si="3"/>
        <v>0.30786689806855722</v>
      </c>
      <c r="J14" s="12">
        <f t="shared" si="4"/>
        <v>6.9192738688960156E-2</v>
      </c>
      <c r="K14" s="12">
        <f t="shared" si="5"/>
        <v>8.5519115233546345E-3</v>
      </c>
      <c r="M14" s="2" t="s">
        <v>15</v>
      </c>
      <c r="N14" s="7">
        <f>SUM(D4:G4)-N11</f>
        <v>13008.961713187571</v>
      </c>
    </row>
    <row r="15" spans="2:14" x14ac:dyDescent="0.25">
      <c r="B15" s="10">
        <v>11</v>
      </c>
      <c r="C15" s="11">
        <v>43902</v>
      </c>
      <c r="D15" s="12">
        <f t="shared" si="0"/>
        <v>438957.57143386168</v>
      </c>
      <c r="E15" s="12">
        <f t="shared" si="1"/>
        <v>2.8152889774441374</v>
      </c>
      <c r="F15" s="12">
        <f t="shared" si="2"/>
        <v>0.54581667315302762</v>
      </c>
      <c r="G15" s="12">
        <f t="shared" si="2"/>
        <v>6.7460487693070906E-2</v>
      </c>
      <c r="H15" s="9"/>
      <c r="I15" s="12">
        <f t="shared" si="3"/>
        <v>0.33824261502597464</v>
      </c>
      <c r="J15" s="12">
        <f t="shared" si="4"/>
        <v>7.6019698708695335E-2</v>
      </c>
      <c r="K15" s="12">
        <f t="shared" si="5"/>
        <v>9.3956930988275227E-3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438957.19981856213</v>
      </c>
      <c r="E16" s="12">
        <f t="shared" si="1"/>
        <v>3.0930613110872387</v>
      </c>
      <c r="F16" s="12">
        <f t="shared" si="2"/>
        <v>0.62933691281720372</v>
      </c>
      <c r="G16" s="12">
        <f t="shared" si="2"/>
        <v>7.7783213943699414E-2</v>
      </c>
      <c r="H16" s="9"/>
      <c r="I16" s="12">
        <f t="shared" si="3"/>
        <v>0.3716152995579059</v>
      </c>
      <c r="J16" s="12">
        <f t="shared" si="4"/>
        <v>8.3520239664176071E-2</v>
      </c>
      <c r="K16" s="12">
        <f t="shared" si="5"/>
        <v>1.0322726250628514E-2</v>
      </c>
      <c r="M16" s="2" t="s">
        <v>16</v>
      </c>
      <c r="N16" s="7">
        <f>MAX(E4:E204)</f>
        <v>181398.51236376935</v>
      </c>
    </row>
    <row r="17" spans="2:14" x14ac:dyDescent="0.25">
      <c r="B17" s="10">
        <v>13</v>
      </c>
      <c r="C17" s="11">
        <v>43904</v>
      </c>
      <c r="D17" s="12">
        <f t="shared" si="0"/>
        <v>438956.79153793131</v>
      </c>
      <c r="E17" s="12">
        <f t="shared" si="1"/>
        <v>3.398239898189805</v>
      </c>
      <c r="F17" s="12">
        <f t="shared" si="2"/>
        <v>0.72109773171279179</v>
      </c>
      <c r="G17" s="12">
        <f t="shared" si="2"/>
        <v>8.9124438751019303E-2</v>
      </c>
      <c r="H17" s="9"/>
      <c r="I17" s="12">
        <f t="shared" si="3"/>
        <v>0.40828063080547394</v>
      </c>
      <c r="J17" s="12">
        <f t="shared" si="4"/>
        <v>9.176081889558807E-2</v>
      </c>
      <c r="K17" s="12">
        <f t="shared" si="5"/>
        <v>1.1341224807319885E-2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438956.34297447425</v>
      </c>
      <c r="E18" s="12">
        <f t="shared" si="1"/>
        <v>3.7335286919876296</v>
      </c>
      <c r="F18" s="12">
        <f t="shared" si="2"/>
        <v>0.821912182025756</v>
      </c>
      <c r="G18" s="12">
        <f t="shared" si="2"/>
        <v>0.10158465171104861</v>
      </c>
      <c r="H18" s="9"/>
      <c r="I18" s="12">
        <f t="shared" si="3"/>
        <v>0.44856345707081802</v>
      </c>
      <c r="J18" s="12">
        <f t="shared" si="4"/>
        <v>0.10081445031296421</v>
      </c>
      <c r="K18" s="12">
        <f t="shared" si="5"/>
        <v>1.2460212960029297E-2</v>
      </c>
      <c r="M18" s="2" t="s">
        <v>17</v>
      </c>
      <c r="N18" s="7">
        <f>MAX(I5:I204)</f>
        <v>9780.4200482797623</v>
      </c>
    </row>
    <row r="19" spans="2:14" x14ac:dyDescent="0.25">
      <c r="B19" s="10">
        <v>15</v>
      </c>
      <c r="C19" s="11">
        <v>43906</v>
      </c>
      <c r="D19" s="12">
        <f t="shared" si="0"/>
        <v>438955.85015380132</v>
      </c>
      <c r="E19" s="12">
        <f t="shared" si="1"/>
        <v>4.1018984084914161</v>
      </c>
      <c r="F19" s="12">
        <f t="shared" si="2"/>
        <v>0.93267353322138902</v>
      </c>
      <c r="G19" s="12">
        <f t="shared" si="2"/>
        <v>0.11527425691500326</v>
      </c>
      <c r="H19" s="9"/>
      <c r="I19" s="12">
        <f t="shared" si="3"/>
        <v>0.49282067290337378</v>
      </c>
      <c r="J19" s="12">
        <f t="shared" si="4"/>
        <v>0.11076135119563299</v>
      </c>
      <c r="K19" s="12">
        <f t="shared" si="5"/>
        <v>1.3689605203954654E-2</v>
      </c>
      <c r="M19" s="2" t="s">
        <v>18</v>
      </c>
      <c r="N19" s="7">
        <f>MAX(J5:J204)</f>
        <v>5381.4892001251565</v>
      </c>
    </row>
    <row r="20" spans="2:14" x14ac:dyDescent="0.25">
      <c r="B20" s="10">
        <v>16</v>
      </c>
      <c r="C20" s="11">
        <v>43907</v>
      </c>
      <c r="D20" s="12">
        <f t="shared" si="0"/>
        <v>438955.30870942149</v>
      </c>
      <c r="E20" s="12">
        <f t="shared" si="1"/>
        <v>4.5066128414059499</v>
      </c>
      <c r="F20" s="12">
        <f t="shared" si="2"/>
        <v>1.0543631860066343</v>
      </c>
      <c r="G20" s="12">
        <f t="shared" si="2"/>
        <v>0.13031455107947179</v>
      </c>
      <c r="H20" s="9"/>
      <c r="I20" s="12">
        <f t="shared" si="3"/>
        <v>0.54144437986424754</v>
      </c>
      <c r="J20" s="12">
        <f t="shared" si="4"/>
        <v>0.12168965278524534</v>
      </c>
      <c r="K20" s="12">
        <f t="shared" si="5"/>
        <v>1.5040294164468539E-2</v>
      </c>
      <c r="M20" s="2" t="s">
        <v>19</v>
      </c>
      <c r="N20" s="7">
        <f>MAX(K5:K204)</f>
        <v>665.12787866715496</v>
      </c>
    </row>
    <row r="21" spans="2:14" x14ac:dyDescent="0.25">
      <c r="B21" s="10">
        <v>17</v>
      </c>
      <c r="C21" s="11">
        <v>43908</v>
      </c>
      <c r="D21" s="12">
        <f t="shared" si="0"/>
        <v>438954.71384406259</v>
      </c>
      <c r="E21" s="12">
        <f t="shared" si="1"/>
        <v>4.9512577722770601</v>
      </c>
      <c r="F21" s="12">
        <f t="shared" si="2"/>
        <v>1.1880593669683441</v>
      </c>
      <c r="G21" s="12">
        <f t="shared" si="2"/>
        <v>0.14683879816462694</v>
      </c>
      <c r="H21" s="9"/>
      <c r="I21" s="12">
        <f t="shared" si="3"/>
        <v>0.59486535891797576</v>
      </c>
      <c r="J21" s="12">
        <f t="shared" si="4"/>
        <v>0.13369618096170982</v>
      </c>
      <c r="K21" s="12">
        <f t="shared" si="5"/>
        <v>1.6524247085155163E-2</v>
      </c>
    </row>
    <row r="22" spans="2:14" x14ac:dyDescent="0.25">
      <c r="B22" s="10">
        <v>18</v>
      </c>
      <c r="C22" s="11">
        <v>43909</v>
      </c>
      <c r="D22" s="12">
        <f t="shared" si="0"/>
        <v>438954.06028717745</v>
      </c>
      <c r="E22" s="12">
        <f t="shared" si="1"/>
        <v>5.4397727316847728</v>
      </c>
      <c r="F22" s="12">
        <f t="shared" ref="F22:G37" si="6">F21+J22</f>
        <v>1.3349466808792303</v>
      </c>
      <c r="G22" s="12">
        <f t="shared" si="6"/>
        <v>0.16499340999630951</v>
      </c>
      <c r="H22" s="9"/>
      <c r="I22" s="12">
        <f t="shared" si="3"/>
        <v>0.65355688515028099</v>
      </c>
      <c r="J22" s="12">
        <f t="shared" si="4"/>
        <v>0.14688731391088611</v>
      </c>
      <c r="K22" s="12">
        <f t="shared" si="5"/>
        <v>1.8154611831682568E-2</v>
      </c>
    </row>
    <row r="23" spans="2:14" x14ac:dyDescent="0.25">
      <c r="B23" s="10">
        <v>19</v>
      </c>
      <c r="C23" s="11">
        <v>43910</v>
      </c>
      <c r="D23" s="12">
        <f t="shared" si="0"/>
        <v>438953.34224825894</v>
      </c>
      <c r="E23" s="12">
        <f t="shared" si="1"/>
        <v>5.9764858924912465</v>
      </c>
      <c r="F23" s="12">
        <f t="shared" si="6"/>
        <v>1.4963266052525452</v>
      </c>
      <c r="G23" s="12">
        <f t="shared" si="6"/>
        <v>0.18493924334582038</v>
      </c>
      <c r="H23" s="9"/>
      <c r="I23" s="12">
        <f t="shared" si="3"/>
        <v>0.71803891852929969</v>
      </c>
      <c r="J23" s="12">
        <f t="shared" si="4"/>
        <v>0.16137992437331491</v>
      </c>
      <c r="K23" s="12">
        <f t="shared" si="5"/>
        <v>1.994583334951085E-2</v>
      </c>
    </row>
    <row r="24" spans="2:14" x14ac:dyDescent="0.25">
      <c r="B24" s="10">
        <v>20</v>
      </c>
      <c r="C24" s="11">
        <v>43911</v>
      </c>
      <c r="D24" s="12">
        <f t="shared" si="0"/>
        <v>438952.55336555117</v>
      </c>
      <c r="E24" s="12">
        <f t="shared" si="1"/>
        <v>6.5661524038172603</v>
      </c>
      <c r="F24" s="12">
        <f t="shared" si="6"/>
        <v>1.6736290200631188</v>
      </c>
      <c r="G24" s="12">
        <f t="shared" si="6"/>
        <v>0.20685302495162164</v>
      </c>
      <c r="H24" s="9"/>
      <c r="I24" s="12">
        <f t="shared" si="3"/>
        <v>0.78888270774238811</v>
      </c>
      <c r="J24" s="12">
        <f t="shared" si="4"/>
        <v>0.17730241481057363</v>
      </c>
      <c r="K24" s="12">
        <f t="shared" si="5"/>
        <v>2.1913781605801257E-2</v>
      </c>
    </row>
    <row r="25" spans="2:14" x14ac:dyDescent="0.25">
      <c r="B25" s="10">
        <v>21</v>
      </c>
      <c r="C25" s="11">
        <v>43912</v>
      </c>
      <c r="D25" s="12">
        <f t="shared" si="0"/>
        <v>438951.68664970336</v>
      </c>
      <c r="E25" s="12">
        <f t="shared" si="1"/>
        <v>7.2139965048031378</v>
      </c>
      <c r="F25" s="12">
        <f t="shared" si="6"/>
        <v>1.8684248747096974</v>
      </c>
      <c r="G25" s="12">
        <f t="shared" si="6"/>
        <v>0.23092891709895161</v>
      </c>
      <c r="H25" s="9"/>
      <c r="I25" s="12">
        <f t="shared" si="3"/>
        <v>0.86671584777978605</v>
      </c>
      <c r="J25" s="12">
        <f t="shared" si="4"/>
        <v>0.19479585464657873</v>
      </c>
      <c r="K25" s="12">
        <f t="shared" si="5"/>
        <v>2.4075892147329976E-2</v>
      </c>
    </row>
    <row r="26" spans="2:14" x14ac:dyDescent="0.25">
      <c r="B26" s="10">
        <v>22</v>
      </c>
      <c r="C26" s="11">
        <v>43913</v>
      </c>
      <c r="D26" s="12">
        <f t="shared" si="0"/>
        <v>438950.73442186741</v>
      </c>
      <c r="E26" s="12">
        <f t="shared" si="1"/>
        <v>7.925757790574635</v>
      </c>
      <c r="F26" s="12">
        <f t="shared" si="6"/>
        <v>2.0824401043521905</v>
      </c>
      <c r="G26" s="12">
        <f t="shared" si="6"/>
        <v>0.25738023761656315</v>
      </c>
      <c r="H26" s="9"/>
      <c r="I26" s="12">
        <f t="shared" si="3"/>
        <v>0.95222783593160243</v>
      </c>
      <c r="J26" s="12">
        <f t="shared" si="4"/>
        <v>0.21401522964249306</v>
      </c>
      <c r="K26" s="12">
        <f t="shared" si="5"/>
        <v>2.6451320517611527E-2</v>
      </c>
    </row>
    <row r="27" spans="2:14" x14ac:dyDescent="0.25">
      <c r="B27" s="10">
        <v>23</v>
      </c>
      <c r="C27" s="11">
        <v>43914</v>
      </c>
      <c r="D27" s="12">
        <f t="shared" si="0"/>
        <v>438949.68824569217</v>
      </c>
      <c r="E27" s="12">
        <f t="shared" si="1"/>
        <v>8.7077420394724587</v>
      </c>
      <c r="F27" s="12">
        <f t="shared" si="6"/>
        <v>2.3175709188059046</v>
      </c>
      <c r="G27" s="12">
        <f t="shared" si="6"/>
        <v>0.28644134951533684</v>
      </c>
      <c r="H27" s="9"/>
      <c r="I27" s="12">
        <f t="shared" si="3"/>
        <v>1.0461761752503123</v>
      </c>
      <c r="J27" s="12">
        <f t="shared" si="4"/>
        <v>0.23513081445371414</v>
      </c>
      <c r="K27" s="12">
        <f t="shared" si="5"/>
        <v>2.9061111898773688E-2</v>
      </c>
    </row>
    <row r="28" spans="2:14" x14ac:dyDescent="0.25">
      <c r="B28" s="10">
        <v>24</v>
      </c>
      <c r="C28" s="11">
        <v>43915</v>
      </c>
      <c r="D28" s="12">
        <f t="shared" si="0"/>
        <v>438948.53885261284</v>
      </c>
      <c r="E28" s="12">
        <f t="shared" si="1"/>
        <v>9.5668770508350196</v>
      </c>
      <c r="F28" s="12">
        <f t="shared" si="6"/>
        <v>2.5759005993102542</v>
      </c>
      <c r="G28" s="12">
        <f t="shared" si="6"/>
        <v>0.31836973699340254</v>
      </c>
      <c r="H28" s="9"/>
      <c r="I28" s="12">
        <f t="shared" si="3"/>
        <v>1.1493930793449765</v>
      </c>
      <c r="J28" s="12">
        <f t="shared" si="4"/>
        <v>0.25832968050434957</v>
      </c>
      <c r="K28" s="12">
        <f t="shared" si="5"/>
        <v>3.1928387478065715E-2</v>
      </c>
    </row>
    <row r="29" spans="2:14" x14ac:dyDescent="0.25">
      <c r="B29" s="10">
        <v>25</v>
      </c>
      <c r="C29" s="11">
        <v>43916</v>
      </c>
      <c r="D29" s="12">
        <f t="shared" si="0"/>
        <v>438947.27605977521</v>
      </c>
      <c r="E29" s="12">
        <f t="shared" si="1"/>
        <v>10.510773986797574</v>
      </c>
      <c r="F29" s="12">
        <f t="shared" si="6"/>
        <v>2.8597179518183595</v>
      </c>
      <c r="G29" s="12">
        <f t="shared" si="6"/>
        <v>0.35344828617979762</v>
      </c>
      <c r="H29" s="9"/>
      <c r="I29" s="12">
        <f t="shared" si="3"/>
        <v>1.2627928376570545</v>
      </c>
      <c r="J29" s="12">
        <f t="shared" si="4"/>
        <v>0.28381735250810552</v>
      </c>
      <c r="K29" s="12">
        <f t="shared" si="5"/>
        <v>3.5078549186395101E-2</v>
      </c>
    </row>
    <row r="30" spans="2:14" x14ac:dyDescent="0.25">
      <c r="B30" s="10">
        <v>26</v>
      </c>
      <c r="C30" s="11">
        <v>43917</v>
      </c>
      <c r="D30" s="12">
        <f t="shared" si="0"/>
        <v>438945.88867986907</v>
      </c>
      <c r="E30" s="12">
        <f t="shared" si="1"/>
        <v>11.547794760070554</v>
      </c>
      <c r="F30" s="12">
        <f t="shared" si="6"/>
        <v>3.1715375800933541</v>
      </c>
      <c r="G30" s="12">
        <f t="shared" si="6"/>
        <v>0.39198779079805546</v>
      </c>
      <c r="H30" s="9"/>
      <c r="I30" s="12">
        <f t="shared" si="3"/>
        <v>1.3873799061662326</v>
      </c>
      <c r="J30" s="12">
        <f t="shared" si="4"/>
        <v>0.31181962827499465</v>
      </c>
      <c r="K30" s="12">
        <f t="shared" si="5"/>
        <v>3.8539504618257808E-2</v>
      </c>
    </row>
    <row r="31" spans="2:14" x14ac:dyDescent="0.25">
      <c r="B31" s="10">
        <v>27</v>
      </c>
      <c r="C31" s="11">
        <v>43918</v>
      </c>
      <c r="D31" s="12">
        <f t="shared" si="0"/>
        <v>438944.36442207423</v>
      </c>
      <c r="E31" s="12">
        <f t="shared" si="1"/>
        <v>12.687126062905778</v>
      </c>
      <c r="F31" s="12">
        <f t="shared" si="6"/>
        <v>3.5141221579754474</v>
      </c>
      <c r="G31" s="12">
        <f t="shared" si="6"/>
        <v>0.43432970491831419</v>
      </c>
      <c r="H31" s="9"/>
      <c r="I31" s="12">
        <f t="shared" si="3"/>
        <v>1.5242577948375755</v>
      </c>
      <c r="J31" s="12">
        <f t="shared" si="4"/>
        <v>0.34258457788209307</v>
      </c>
      <c r="K31" s="12">
        <f t="shared" si="5"/>
        <v>4.2341914120258735E-2</v>
      </c>
    </row>
    <row r="32" spans="2:14" x14ac:dyDescent="0.25">
      <c r="B32" s="10">
        <v>28</v>
      </c>
      <c r="C32" s="11">
        <v>43919</v>
      </c>
      <c r="D32" s="12">
        <f t="shared" si="0"/>
        <v>438942.6897832441</v>
      </c>
      <c r="E32" s="12">
        <f t="shared" si="1"/>
        <v>13.93886069091154</v>
      </c>
      <c r="F32" s="12">
        <f t="shared" si="6"/>
        <v>3.8905068978416519</v>
      </c>
      <c r="G32" s="12">
        <f t="shared" si="6"/>
        <v>0.48084916714896875</v>
      </c>
      <c r="H32" s="9"/>
      <c r="I32" s="12">
        <f t="shared" si="3"/>
        <v>1.6746388301026216</v>
      </c>
      <c r="J32" s="12">
        <f t="shared" si="4"/>
        <v>0.37638473986620469</v>
      </c>
      <c r="K32" s="12">
        <f t="shared" si="5"/>
        <v>4.6519462230654555E-2</v>
      </c>
    </row>
    <row r="33" spans="2:11" x14ac:dyDescent="0.25">
      <c r="B33" s="10">
        <v>29</v>
      </c>
      <c r="C33" s="11">
        <v>43920</v>
      </c>
      <c r="D33" s="12">
        <f t="shared" si="0"/>
        <v>438940.84992836579</v>
      </c>
      <c r="E33" s="12">
        <f t="shared" si="1"/>
        <v>15.314086879540339</v>
      </c>
      <c r="F33" s="12">
        <f t="shared" si="6"/>
        <v>4.3040264316720274</v>
      </c>
      <c r="G33" s="12">
        <f t="shared" si="6"/>
        <v>0.53195832301564439</v>
      </c>
      <c r="H33" s="9"/>
      <c r="I33" s="12">
        <f t="shared" si="3"/>
        <v>1.8398548783258521</v>
      </c>
      <c r="J33" s="12">
        <f t="shared" si="4"/>
        <v>0.4135195338303756</v>
      </c>
      <c r="K33" s="12">
        <f t="shared" si="5"/>
        <v>5.1109155866675686E-2</v>
      </c>
    </row>
    <row r="34" spans="2:11" x14ac:dyDescent="0.25">
      <c r="B34" s="10">
        <v>30</v>
      </c>
      <c r="C34" s="13">
        <v>43921</v>
      </c>
      <c r="D34" s="12">
        <f t="shared" si="0"/>
        <v>438938.8285592412</v>
      </c>
      <c r="E34" s="12">
        <f t="shared" si="1"/>
        <v>16.824986441497764</v>
      </c>
      <c r="F34" s="12">
        <f t="shared" si="6"/>
        <v>4.758344342431724</v>
      </c>
      <c r="G34" s="12">
        <f t="shared" si="6"/>
        <v>0.58810997490729233</v>
      </c>
      <c r="H34" s="9"/>
      <c r="I34" s="12">
        <f t="shared" si="3"/>
        <v>2.0213691246087682</v>
      </c>
      <c r="J34" s="12">
        <f t="shared" si="4"/>
        <v>0.45431791075969669</v>
      </c>
      <c r="K34" s="12">
        <f t="shared" si="5"/>
        <v>5.6151651891647961E-2</v>
      </c>
    </row>
    <row r="35" spans="2:11" x14ac:dyDescent="0.25">
      <c r="B35" s="10">
        <v>31</v>
      </c>
      <c r="C35" s="11">
        <v>43922</v>
      </c>
      <c r="D35" s="12">
        <f t="shared" si="0"/>
        <v>438936.60777023068</v>
      </c>
      <c r="E35" s="12">
        <f t="shared" si="1"/>
        <v>18.484942570611519</v>
      </c>
      <c r="F35" s="12">
        <f t="shared" si="6"/>
        <v>5.257485606862824</v>
      </c>
      <c r="G35" s="12">
        <f t="shared" si="6"/>
        <v>0.64980159185945086</v>
      </c>
      <c r="H35" s="9"/>
      <c r="I35" s="12">
        <f t="shared" si="3"/>
        <v>2.2207890104970152</v>
      </c>
      <c r="J35" s="12">
        <f t="shared" si="4"/>
        <v>0.49914126443110024</v>
      </c>
      <c r="K35" s="12">
        <f t="shared" si="5"/>
        <v>6.1691616952158523E-2</v>
      </c>
    </row>
    <row r="36" spans="2:11" x14ac:dyDescent="0.25">
      <c r="B36" s="10">
        <v>32</v>
      </c>
      <c r="C36" s="11">
        <v>43923</v>
      </c>
      <c r="D36" s="12">
        <f t="shared" si="0"/>
        <v>438934.16788978642</v>
      </c>
      <c r="E36" s="12">
        <f t="shared" si="1"/>
        <v>20.308658262516101</v>
      </c>
      <c r="F36" s="12">
        <f t="shared" si="6"/>
        <v>5.8058722364576321</v>
      </c>
      <c r="G36" s="12">
        <f t="shared" si="6"/>
        <v>0.71757971461835979</v>
      </c>
      <c r="H36" s="9"/>
      <c r="I36" s="12">
        <f t="shared" si="3"/>
        <v>2.4398804442582995</v>
      </c>
      <c r="J36" s="12">
        <f t="shared" si="4"/>
        <v>0.54838662959480833</v>
      </c>
      <c r="K36" s="12">
        <f t="shared" si="5"/>
        <v>6.777812275890896E-2</v>
      </c>
    </row>
    <row r="37" spans="2:11" x14ac:dyDescent="0.25">
      <c r="B37" s="10">
        <v>33</v>
      </c>
      <c r="C37" s="11">
        <v>43924</v>
      </c>
      <c r="D37" s="12">
        <f t="shared" si="0"/>
        <v>438931.48730637797</v>
      </c>
      <c r="E37" s="12">
        <f t="shared" si="1"/>
        <v>22.312286395572837</v>
      </c>
      <c r="F37" s="12">
        <f t="shared" si="6"/>
        <v>6.4083624315789427</v>
      </c>
      <c r="G37" s="12">
        <f t="shared" si="6"/>
        <v>0.79204479491425217</v>
      </c>
      <c r="H37" s="9"/>
      <c r="I37" s="12">
        <f t="shared" si="3"/>
        <v>2.6805834084739386</v>
      </c>
      <c r="J37" s="12">
        <f t="shared" si="4"/>
        <v>0.60249019512131086</v>
      </c>
      <c r="K37" s="12">
        <f t="shared" si="5"/>
        <v>7.4465080295892438E-2</v>
      </c>
    </row>
    <row r="38" spans="2:11" x14ac:dyDescent="0.25">
      <c r="B38" s="10">
        <v>34</v>
      </c>
      <c r="C38" s="11">
        <v>43925</v>
      </c>
      <c r="D38" s="12">
        <f t="shared" si="0"/>
        <v>438928.54227727617</v>
      </c>
      <c r="E38" s="12">
        <f t="shared" si="1"/>
        <v>24.513572617546092</v>
      </c>
      <c r="F38" s="12">
        <f t="shared" ref="F38:G53" si="7">F37+J38</f>
        <v>7.0702935946476035</v>
      </c>
      <c r="G38" s="12">
        <f t="shared" si="7"/>
        <v>0.87385651169801926</v>
      </c>
      <c r="H38" s="9"/>
      <c r="I38" s="12">
        <f t="shared" si="3"/>
        <v>2.9450291018256856</v>
      </c>
      <c r="J38" s="12">
        <f t="shared" si="4"/>
        <v>0.66193116306866073</v>
      </c>
      <c r="K38" s="12">
        <f t="shared" si="5"/>
        <v>8.1811716783767141E-2</v>
      </c>
    </row>
    <row r="39" spans="2:11" x14ac:dyDescent="0.25">
      <c r="B39" s="10">
        <v>35</v>
      </c>
      <c r="C39" s="11">
        <v>43926</v>
      </c>
      <c r="D39" s="12">
        <f t="shared" si="0"/>
        <v>438925.30671851092</v>
      </c>
      <c r="E39" s="12">
        <f t="shared" si="1"/>
        <v>26.932012295555587</v>
      </c>
      <c r="F39" s="12">
        <f t="shared" si="7"/>
        <v>7.797529582301471</v>
      </c>
      <c r="G39" s="12">
        <f t="shared" si="7"/>
        <v>0.9637396112956883</v>
      </c>
      <c r="H39" s="9"/>
      <c r="I39" s="12">
        <f t="shared" si="3"/>
        <v>3.2355587652610294</v>
      </c>
      <c r="J39" s="12">
        <f t="shared" si="4"/>
        <v>0.72723598765386732</v>
      </c>
      <c r="K39" s="12">
        <f t="shared" si="5"/>
        <v>8.9883099597669089E-2</v>
      </c>
    </row>
    <row r="40" spans="2:11" x14ac:dyDescent="0.25">
      <c r="B40" s="10">
        <v>36</v>
      </c>
      <c r="C40" s="11">
        <v>43927</v>
      </c>
      <c r="D40" s="12">
        <f t="shared" si="0"/>
        <v>438921.75197415362</v>
      </c>
      <c r="E40" s="12">
        <f t="shared" si="1"/>
        <v>29.589022909662368</v>
      </c>
      <c r="F40" s="12">
        <f t="shared" si="7"/>
        <v>8.5965126137362873</v>
      </c>
      <c r="G40" s="12">
        <f t="shared" si="7"/>
        <v>1.0624903230460589</v>
      </c>
      <c r="H40" s="9"/>
      <c r="I40" s="12">
        <f t="shared" si="3"/>
        <v>3.5547443572919675</v>
      </c>
      <c r="J40" s="12">
        <f t="shared" si="4"/>
        <v>0.79898303143481564</v>
      </c>
      <c r="K40" s="12">
        <f t="shared" si="5"/>
        <v>9.8750711750370576E-2</v>
      </c>
    </row>
    <row r="41" spans="2:11" x14ac:dyDescent="0.25">
      <c r="B41" s="10">
        <v>37</v>
      </c>
      <c r="C41" s="11">
        <v>43928</v>
      </c>
      <c r="D41" s="12">
        <f t="shared" si="0"/>
        <v>438917.84656289447</v>
      </c>
      <c r="E41" s="12">
        <f t="shared" si="1"/>
        <v>32.508133405147753</v>
      </c>
      <c r="F41" s="12">
        <f t="shared" si="7"/>
        <v>9.4743202933896047</v>
      </c>
      <c r="G41" s="12">
        <f t="shared" si="7"/>
        <v>1.1709834070481544</v>
      </c>
      <c r="H41" s="9"/>
      <c r="I41" s="12">
        <f t="shared" si="3"/>
        <v>3.9054112591407981</v>
      </c>
      <c r="J41" s="12">
        <f t="shared" si="4"/>
        <v>0.87780767965331685</v>
      </c>
      <c r="K41" s="12">
        <f t="shared" si="5"/>
        <v>0.10849308400209545</v>
      </c>
    </row>
    <row r="42" spans="2:11" x14ac:dyDescent="0.25">
      <c r="B42" s="10">
        <v>38</v>
      </c>
      <c r="C42" s="11">
        <v>43929</v>
      </c>
      <c r="D42" s="12">
        <f t="shared" si="0"/>
        <v>438913.55589968653</v>
      </c>
      <c r="E42" s="12">
        <f t="shared" si="1"/>
        <v>35.715192166227808</v>
      </c>
      <c r="F42" s="12">
        <f t="shared" si="7"/>
        <v>10.438728251075654</v>
      </c>
      <c r="G42" s="12">
        <f t="shared" si="7"/>
        <v>1.290179896200363</v>
      </c>
      <c r="H42" s="9"/>
      <c r="I42" s="12">
        <f t="shared" si="3"/>
        <v>4.2906632079183158</v>
      </c>
      <c r="J42" s="12">
        <f t="shared" si="4"/>
        <v>0.96440795768604981</v>
      </c>
      <c r="K42" s="12">
        <f t="shared" si="5"/>
        <v>0.11919648915220854</v>
      </c>
    </row>
    <row r="43" spans="2:11" x14ac:dyDescent="0.25">
      <c r="B43" s="10">
        <v>39</v>
      </c>
      <c r="C43" s="11">
        <v>43930</v>
      </c>
      <c r="D43" s="12">
        <f t="shared" si="0"/>
        <v>438908.84199001139</v>
      </c>
      <c r="E43" s="12">
        <f t="shared" si="1"/>
        <v>39.238595435828159</v>
      </c>
      <c r="F43" s="12">
        <f t="shared" si="7"/>
        <v>11.498278952007079</v>
      </c>
      <c r="G43" s="12">
        <f t="shared" si="7"/>
        <v>1.421135600809865</v>
      </c>
      <c r="H43" s="9"/>
      <c r="I43" s="12">
        <f t="shared" si="3"/>
        <v>4.7139096751412826</v>
      </c>
      <c r="J43" s="12">
        <f t="shared" si="4"/>
        <v>1.0595507009314249</v>
      </c>
      <c r="K43" s="12">
        <f t="shared" si="5"/>
        <v>0.13095570460950209</v>
      </c>
    </row>
    <row r="44" spans="2:11" x14ac:dyDescent="0.25">
      <c r="B44" s="10">
        <v>40</v>
      </c>
      <c r="C44" s="11">
        <v>43931</v>
      </c>
      <c r="D44" s="12">
        <f t="shared" si="0"/>
        <v>438903.66309408256</v>
      </c>
      <c r="E44" s="12">
        <f t="shared" si="1"/>
        <v>43.109538183448727</v>
      </c>
      <c r="F44" s="12">
        <f t="shared" si="7"/>
        <v>12.66235728326998</v>
      </c>
      <c r="G44" s="12">
        <f t="shared" si="7"/>
        <v>1.565010450741235</v>
      </c>
      <c r="H44" s="9"/>
      <c r="I44" s="12">
        <f t="shared" si="3"/>
        <v>5.1788959288148382</v>
      </c>
      <c r="J44" s="12">
        <f t="shared" si="4"/>
        <v>1.1640783312629019</v>
      </c>
      <c r="K44" s="12">
        <f t="shared" si="5"/>
        <v>0.14387484993137004</v>
      </c>
    </row>
    <row r="45" spans="2:11" x14ac:dyDescent="0.25">
      <c r="B45" s="10">
        <v>41</v>
      </c>
      <c r="C45" s="11">
        <v>43932</v>
      </c>
      <c r="D45" s="12">
        <f t="shared" si="0"/>
        <v>438897.97335804236</v>
      </c>
      <c r="E45" s="12">
        <f t="shared" si="1"/>
        <v>47.36228961751425</v>
      </c>
      <c r="F45" s="12">
        <f t="shared" si="7"/>
        <v>13.941273582712292</v>
      </c>
      <c r="G45" s="12">
        <f t="shared" si="7"/>
        <v>1.7230787574138806</v>
      </c>
      <c r="H45" s="9"/>
      <c r="I45" s="12">
        <f t="shared" si="3"/>
        <v>5.6897360401804882</v>
      </c>
      <c r="J45" s="12">
        <f t="shared" si="4"/>
        <v>1.278916299442312</v>
      </c>
      <c r="K45" s="12">
        <f t="shared" si="5"/>
        <v>0.15806830667264549</v>
      </c>
    </row>
    <row r="46" spans="2:11" x14ac:dyDescent="0.25">
      <c r="B46" s="10">
        <v>42</v>
      </c>
      <c r="C46" s="11">
        <v>43933</v>
      </c>
      <c r="D46" s="12">
        <f t="shared" si="0"/>
        <v>438891.72240892111</v>
      </c>
      <c r="E46" s="12">
        <f t="shared" si="1"/>
        <v>52.034495751495889</v>
      </c>
      <c r="F46" s="12">
        <f t="shared" si="7"/>
        <v>15.346354841365214</v>
      </c>
      <c r="G46" s="12">
        <f t="shared" si="7"/>
        <v>1.896740486011433</v>
      </c>
      <c r="H46" s="9"/>
      <c r="I46" s="12">
        <f t="shared" si="3"/>
        <v>6.2509491212321073</v>
      </c>
      <c r="J46" s="12">
        <f t="shared" si="4"/>
        <v>1.4050812586529227</v>
      </c>
      <c r="K46" s="12">
        <f t="shared" si="5"/>
        <v>0.17366172859755241</v>
      </c>
    </row>
    <row r="47" spans="2:11" x14ac:dyDescent="0.25">
      <c r="B47" s="10">
        <v>43</v>
      </c>
      <c r="C47" s="11">
        <v>43934</v>
      </c>
      <c r="D47" s="12">
        <f t="shared" si="0"/>
        <v>438884.85490981472</v>
      </c>
      <c r="E47" s="12">
        <f t="shared" si="1"/>
        <v>57.167511666193562</v>
      </c>
      <c r="F47" s="12">
        <f t="shared" si="7"/>
        <v>16.890044881992925</v>
      </c>
      <c r="G47" s="12">
        <f t="shared" si="7"/>
        <v>2.0875336371002513</v>
      </c>
      <c r="H47" s="9"/>
      <c r="I47" s="12">
        <f t="shared" si="3"/>
        <v>6.8674991064142006</v>
      </c>
      <c r="J47" s="12">
        <f t="shared" si="4"/>
        <v>1.5436900406277112</v>
      </c>
      <c r="K47" s="12">
        <f t="shared" si="5"/>
        <v>0.19079315108881845</v>
      </c>
    </row>
    <row r="48" spans="2:11" x14ac:dyDescent="0.25">
      <c r="B48" s="10">
        <v>44</v>
      </c>
      <c r="C48" s="11">
        <v>43935</v>
      </c>
      <c r="D48" s="12">
        <f t="shared" si="0"/>
        <v>438877.31007139297</v>
      </c>
      <c r="E48" s="12">
        <f t="shared" si="1"/>
        <v>62.806766365721067</v>
      </c>
      <c r="F48" s="12">
        <f t="shared" si="7"/>
        <v>18.586014394756667</v>
      </c>
      <c r="G48" s="12">
        <f t="shared" si="7"/>
        <v>2.2971478465429613</v>
      </c>
      <c r="H48" s="9"/>
      <c r="I48" s="12">
        <f t="shared" si="3"/>
        <v>7.5448384217339628</v>
      </c>
      <c r="J48" s="12">
        <f t="shared" si="4"/>
        <v>1.6959695127637422</v>
      </c>
      <c r="K48" s="12">
        <f t="shared" si="5"/>
        <v>0.20961420944270992</v>
      </c>
    </row>
    <row r="49" spans="2:11" x14ac:dyDescent="0.25">
      <c r="B49" s="10">
        <v>45</v>
      </c>
      <c r="C49" s="11">
        <v>43936</v>
      </c>
      <c r="D49" s="12">
        <f t="shared" si="0"/>
        <v>438869.02111547592</v>
      </c>
      <c r="E49" s="12">
        <f t="shared" si="1"/>
        <v>69.002163403913485</v>
      </c>
      <c r="F49" s="12">
        <f t="shared" si="7"/>
        <v>20.449281796939726</v>
      </c>
      <c r="G49" s="12">
        <f t="shared" si="7"/>
        <v>2.5274393232172723</v>
      </c>
      <c r="H49" s="9"/>
      <c r="I49" s="12">
        <f t="shared" si="3"/>
        <v>8.2889559170497797</v>
      </c>
      <c r="J49" s="12">
        <f t="shared" si="4"/>
        <v>1.8632674021830582</v>
      </c>
      <c r="K49" s="12">
        <f t="shared" si="5"/>
        <v>0.2302914766743108</v>
      </c>
    </row>
    <row r="50" spans="2:11" x14ac:dyDescent="0.25">
      <c r="B50" s="10">
        <v>46</v>
      </c>
      <c r="C50" s="11">
        <v>43937</v>
      </c>
      <c r="D50" s="12">
        <f t="shared" si="0"/>
        <v>438859.91468600318</v>
      </c>
      <c r="E50" s="12">
        <f t="shared" si="1"/>
        <v>75.808520763214091</v>
      </c>
      <c r="F50" s="12">
        <f t="shared" si="7"/>
        <v>22.496345977922491</v>
      </c>
      <c r="G50" s="12">
        <f t="shared" si="7"/>
        <v>2.7804472556982884</v>
      </c>
      <c r="H50" s="9"/>
      <c r="I50" s="12">
        <f t="shared" si="3"/>
        <v>9.1064294727643844</v>
      </c>
      <c r="J50" s="12">
        <f t="shared" si="4"/>
        <v>2.0470641809827668</v>
      </c>
      <c r="K50" s="12">
        <f t="shared" si="5"/>
        <v>0.25300793248101633</v>
      </c>
    </row>
    <row r="51" spans="2:11" x14ac:dyDescent="0.25">
      <c r="B51" s="10">
        <v>47</v>
      </c>
      <c r="C51" s="11">
        <v>43938</v>
      </c>
      <c r="D51" s="12">
        <f t="shared" si="0"/>
        <v>438849.91020227241</v>
      </c>
      <c r="E51" s="12">
        <f t="shared" si="1"/>
        <v>83.286053801890958</v>
      </c>
      <c r="F51" s="12">
        <f t="shared" si="7"/>
        <v>24.745332093897844</v>
      </c>
      <c r="G51" s="12">
        <f t="shared" si="7"/>
        <v>3.0584118318300737</v>
      </c>
      <c r="H51" s="9"/>
      <c r="I51" s="12">
        <f t="shared" si="3"/>
        <v>10.004483730784004</v>
      </c>
      <c r="J51" s="12">
        <f t="shared" si="4"/>
        <v>2.248986115975351</v>
      </c>
      <c r="K51" s="12">
        <f t="shared" si="5"/>
        <v>0.27796457613178521</v>
      </c>
    </row>
    <row r="52" spans="2:11" x14ac:dyDescent="0.25">
      <c r="B52" s="10">
        <v>48</v>
      </c>
      <c r="C52" s="11">
        <v>43939</v>
      </c>
      <c r="D52" s="12">
        <f t="shared" si="0"/>
        <v>438838.91914883076</v>
      </c>
      <c r="E52" s="12">
        <f t="shared" si="1"/>
        <v>91.500905450144316</v>
      </c>
      <c r="F52" s="12">
        <f t="shared" si="7"/>
        <v>27.21615169002061</v>
      </c>
      <c r="G52" s="12">
        <f t="shared" si="7"/>
        <v>3.3637940291036741</v>
      </c>
      <c r="H52" s="9"/>
      <c r="I52" s="12">
        <f t="shared" si="3"/>
        <v>10.991053441649724</v>
      </c>
      <c r="J52" s="12">
        <f t="shared" si="4"/>
        <v>2.470819596122765</v>
      </c>
      <c r="K52" s="12">
        <f t="shared" si="5"/>
        <v>0.3053821972736005</v>
      </c>
    </row>
    <row r="53" spans="2:11" x14ac:dyDescent="0.25">
      <c r="B53" s="10">
        <v>49</v>
      </c>
      <c r="C53" s="11">
        <v>43940</v>
      </c>
      <c r="D53" s="12">
        <f t="shared" si="0"/>
        <v>438826.84429586527</v>
      </c>
      <c r="E53" s="12">
        <f t="shared" si="1"/>
        <v>100.52572823393118</v>
      </c>
      <c r="F53" s="12">
        <f t="shared" si="7"/>
        <v>29.930678551708223</v>
      </c>
      <c r="G53" s="12">
        <f t="shared" si="7"/>
        <v>3.6992973490875367</v>
      </c>
      <c r="H53" s="9"/>
      <c r="I53" s="12">
        <f t="shared" si="3"/>
        <v>12.074852965458341</v>
      </c>
      <c r="J53" s="12">
        <f t="shared" si="4"/>
        <v>2.7145268616876144</v>
      </c>
      <c r="K53" s="12">
        <f t="shared" si="5"/>
        <v>0.33550331998386279</v>
      </c>
    </row>
    <row r="54" spans="2:11" x14ac:dyDescent="0.25">
      <c r="B54" s="10">
        <v>50</v>
      </c>
      <c r="C54" s="11">
        <v>43941</v>
      </c>
      <c r="D54" s="12">
        <f t="shared" si="0"/>
        <v>438813.57884335145</v>
      </c>
      <c r="E54" s="12">
        <f t="shared" si="1"/>
        <v>110.44032313996357</v>
      </c>
      <c r="F54" s="12">
        <f t="shared" ref="F54:G69" si="8">F53+J54</f>
        <v>32.912941822648179</v>
      </c>
      <c r="G54" s="12">
        <f t="shared" si="8"/>
        <v>4.0678916859452849</v>
      </c>
      <c r="H54" s="9"/>
      <c r="I54" s="12">
        <f t="shared" si="3"/>
        <v>13.265452513830091</v>
      </c>
      <c r="J54" s="12">
        <f t="shared" si="4"/>
        <v>2.9822632709399581</v>
      </c>
      <c r="K54" s="12">
        <f t="shared" si="5"/>
        <v>0.36859433685774795</v>
      </c>
    </row>
    <row r="55" spans="2:11" x14ac:dyDescent="0.25">
      <c r="B55" s="10">
        <v>51</v>
      </c>
      <c r="C55" s="11">
        <v>43942</v>
      </c>
      <c r="D55" s="12">
        <f t="shared" si="0"/>
        <v>438799.00548157742</v>
      </c>
      <c r="E55" s="12">
        <f t="shared" si="1"/>
        <v>121.33234080931629</v>
      </c>
      <c r="F55" s="12">
        <f t="shared" si="8"/>
        <v>36.189338075800428</v>
      </c>
      <c r="G55" s="12">
        <f t="shared" si="8"/>
        <v>4.4728395374584853</v>
      </c>
      <c r="H55" s="9"/>
      <c r="I55" s="12">
        <f t="shared" si="3"/>
        <v>14.57336177401818</v>
      </c>
      <c r="J55" s="12">
        <f t="shared" si="4"/>
        <v>3.2763962531522521</v>
      </c>
      <c r="K55" s="12">
        <f t="shared" si="5"/>
        <v>0.40494785151320012</v>
      </c>
    </row>
    <row r="56" spans="2:11" x14ac:dyDescent="0.25">
      <c r="B56" s="10">
        <v>52</v>
      </c>
      <c r="C56" s="11">
        <v>43943</v>
      </c>
      <c r="D56" s="12">
        <f t="shared" si="0"/>
        <v>438782.99535996286</v>
      </c>
      <c r="E56" s="12">
        <f t="shared" si="1"/>
        <v>133.29805106356625</v>
      </c>
      <c r="F56" s="12">
        <f t="shared" si="8"/>
        <v>39.788864186476815</v>
      </c>
      <c r="G56" s="12">
        <f t="shared" si="8"/>
        <v>4.917724787092645</v>
      </c>
      <c r="H56" s="9"/>
      <c r="I56" s="12">
        <f t="shared" si="3"/>
        <v>16.010121614560497</v>
      </c>
      <c r="J56" s="12">
        <f t="shared" si="4"/>
        <v>3.5995261106763832</v>
      </c>
      <c r="K56" s="12">
        <f t="shared" si="5"/>
        <v>0.4448852496341601</v>
      </c>
    </row>
    <row r="57" spans="2:11" x14ac:dyDescent="0.25">
      <c r="B57" s="10">
        <v>53</v>
      </c>
      <c r="C57" s="11">
        <v>43944</v>
      </c>
      <c r="D57" s="12">
        <f t="shared" si="0"/>
        <v>438765.40695532796</v>
      </c>
      <c r="E57" s="12">
        <f t="shared" si="1"/>
        <v>146.44318732969649</v>
      </c>
      <c r="F57" s="12">
        <f t="shared" si="8"/>
        <v>43.743373034695949</v>
      </c>
      <c r="G57" s="12">
        <f t="shared" si="8"/>
        <v>5.4064843076590554</v>
      </c>
      <c r="H57" s="9"/>
      <c r="I57" s="12">
        <f t="shared" si="3"/>
        <v>17.588404634915783</v>
      </c>
      <c r="J57" s="12">
        <f t="shared" si="4"/>
        <v>3.954508848219132</v>
      </c>
      <c r="K57" s="12">
        <f t="shared" si="5"/>
        <v>0.48875952056641003</v>
      </c>
    </row>
    <row r="58" spans="2:11" x14ac:dyDescent="0.25">
      <c r="B58" s="10">
        <v>54</v>
      </c>
      <c r="C58" s="11">
        <v>43945</v>
      </c>
      <c r="D58" s="12">
        <f t="shared" si="0"/>
        <v>438746.08482993837</v>
      </c>
      <c r="E58" s="12">
        <f t="shared" si="1"/>
        <v>160.8838731416036</v>
      </c>
      <c r="F58" s="12">
        <f t="shared" si="8"/>
        <v>48.087854258810282</v>
      </c>
      <c r="G58" s="12">
        <f t="shared" si="8"/>
        <v>5.9434426612012761</v>
      </c>
      <c r="H58" s="9"/>
      <c r="I58" s="12">
        <f t="shared" si="3"/>
        <v>19.322125389563666</v>
      </c>
      <c r="J58" s="12">
        <f t="shared" si="4"/>
        <v>4.3444812241143289</v>
      </c>
      <c r="K58" s="12">
        <f t="shared" si="5"/>
        <v>0.53695835354222099</v>
      </c>
    </row>
    <row r="59" spans="2:11" x14ac:dyDescent="0.25">
      <c r="B59" s="10">
        <v>55</v>
      </c>
      <c r="C59" s="11">
        <v>43946</v>
      </c>
      <c r="D59" s="12">
        <f t="shared" si="0"/>
        <v>438724.85826874804</v>
      </c>
      <c r="E59" s="12">
        <f t="shared" si="1"/>
        <v>176.74763856054076</v>
      </c>
      <c r="F59" s="12">
        <f t="shared" si="8"/>
        <v>52.860742495344525</v>
      </c>
      <c r="G59" s="12">
        <f t="shared" si="8"/>
        <v>6.5333501960538234</v>
      </c>
      <c r="H59" s="9"/>
      <c r="I59" s="12">
        <f t="shared" si="3"/>
        <v>21.226561190323963</v>
      </c>
      <c r="J59" s="12">
        <f t="shared" si="4"/>
        <v>4.7728882365342402</v>
      </c>
      <c r="K59" s="12">
        <f t="shared" si="5"/>
        <v>0.58990753485254699</v>
      </c>
    </row>
    <row r="60" spans="2:11" x14ac:dyDescent="0.25">
      <c r="B60" s="10">
        <v>56</v>
      </c>
      <c r="C60" s="11">
        <v>43947</v>
      </c>
      <c r="D60" s="12">
        <f t="shared" si="0"/>
        <v>438701.53978427866</v>
      </c>
      <c r="E60" s="12">
        <f t="shared" si="1"/>
        <v>194.17453507790358</v>
      </c>
      <c r="F60" s="12">
        <f t="shared" si="8"/>
        <v>58.10425577264057</v>
      </c>
      <c r="G60" s="12">
        <f t="shared" si="8"/>
        <v>7.1814248707758068</v>
      </c>
      <c r="H60" s="9"/>
      <c r="I60" s="12">
        <f t="shared" si="3"/>
        <v>23.318484469380852</v>
      </c>
      <c r="J60" s="12">
        <f t="shared" si="4"/>
        <v>5.2435132772960422</v>
      </c>
      <c r="K60" s="12">
        <f t="shared" si="5"/>
        <v>0.64807467472198332</v>
      </c>
    </row>
    <row r="61" spans="2:11" x14ac:dyDescent="0.25">
      <c r="B61" s="10">
        <v>57</v>
      </c>
      <c r="C61" s="11">
        <v>43948</v>
      </c>
      <c r="D61" s="12">
        <f t="shared" si="0"/>
        <v>438675.92347650882</v>
      </c>
      <c r="E61" s="12">
        <f t="shared" si="1"/>
        <v>213.31835834516636</v>
      </c>
      <c r="F61" s="12">
        <f t="shared" si="8"/>
        <v>63.86476697995171</v>
      </c>
      <c r="G61" s="12">
        <f t="shared" si="8"/>
        <v>7.8933981660614538</v>
      </c>
      <c r="H61" s="9"/>
      <c r="I61" s="12">
        <f t="shared" si="3"/>
        <v>25.616307769859549</v>
      </c>
      <c r="J61" s="12">
        <f t="shared" si="4"/>
        <v>5.7605112073111391</v>
      </c>
      <c r="K61" s="12">
        <f t="shared" si="5"/>
        <v>0.71197329528564712</v>
      </c>
    </row>
    <row r="62" spans="2:11" x14ac:dyDescent="0.25">
      <c r="B62" s="10">
        <v>58</v>
      </c>
      <c r="C62" s="11">
        <v>43949</v>
      </c>
      <c r="D62" s="12">
        <f t="shared" si="0"/>
        <v>438647.78323398792</v>
      </c>
      <c r="E62" s="12">
        <f t="shared" si="1"/>
        <v>234.34798892124493</v>
      </c>
      <c r="F62" s="12">
        <f t="shared" si="8"/>
        <v>70.193211610858313</v>
      </c>
      <c r="G62" s="12">
        <f t="shared" si="8"/>
        <v>8.6755654799937307</v>
      </c>
      <c r="H62" s="9"/>
      <c r="I62" s="12">
        <f t="shared" si="3"/>
        <v>28.140242520917468</v>
      </c>
      <c r="J62" s="12">
        <f t="shared" si="4"/>
        <v>6.3284446309066018</v>
      </c>
      <c r="K62" s="12">
        <f t="shared" si="5"/>
        <v>0.78216731393227734</v>
      </c>
    </row>
    <row r="63" spans="2:11" x14ac:dyDescent="0.25">
      <c r="B63" s="10">
        <v>59</v>
      </c>
      <c r="C63" s="11">
        <v>43950</v>
      </c>
      <c r="D63" s="12">
        <f t="shared" si="0"/>
        <v>438616.87076113769</v>
      </c>
      <c r="E63" s="12">
        <f t="shared" si="1"/>
        <v>257.44886214076223</v>
      </c>
      <c r="F63" s="12">
        <f t="shared" si="8"/>
        <v>77.145535282188575</v>
      </c>
      <c r="G63" s="12">
        <f t="shared" si="8"/>
        <v>9.534841439371629</v>
      </c>
      <c r="H63" s="9"/>
      <c r="I63" s="12">
        <f t="shared" si="3"/>
        <v>30.912472850225416</v>
      </c>
      <c r="J63" s="12">
        <f t="shared" si="4"/>
        <v>6.952323671330265</v>
      </c>
      <c r="K63" s="12">
        <f t="shared" si="5"/>
        <v>0.8592759593778988</v>
      </c>
    </row>
    <row r="64" spans="2:11" x14ac:dyDescent="0.25">
      <c r="B64" s="10">
        <v>60</v>
      </c>
      <c r="C64" s="13">
        <v>43951</v>
      </c>
      <c r="D64" s="12">
        <f t="shared" si="0"/>
        <v>438582.91341534932</v>
      </c>
      <c r="E64" s="12">
        <f t="shared" si="1"/>
        <v>282.82457919110925</v>
      </c>
      <c r="F64" s="12">
        <f t="shared" si="8"/>
        <v>84.783184859031181</v>
      </c>
      <c r="G64" s="12">
        <f t="shared" si="8"/>
        <v>10.478820600554425</v>
      </c>
      <c r="H64" s="9"/>
      <c r="I64" s="12">
        <f t="shared" si="3"/>
        <v>33.957345788372436</v>
      </c>
      <c r="J64" s="12">
        <f t="shared" si="4"/>
        <v>7.6376495768426116</v>
      </c>
      <c r="K64" s="12">
        <f t="shared" si="5"/>
        <v>0.94397916118279568</v>
      </c>
    </row>
    <row r="65" spans="2:11" x14ac:dyDescent="0.25">
      <c r="B65" s="10">
        <v>61</v>
      </c>
      <c r="C65" s="11">
        <v>43952</v>
      </c>
      <c r="D65" s="12">
        <f t="shared" si="0"/>
        <v>438545.61183602235</v>
      </c>
      <c r="E65" s="12">
        <f t="shared" si="1"/>
        <v>310.69867254501929</v>
      </c>
      <c r="F65" s="12">
        <f t="shared" si="8"/>
        <v>93.173647375034093</v>
      </c>
      <c r="G65" s="12">
        <f t="shared" si="8"/>
        <v>11.515844057588493</v>
      </c>
      <c r="H65" s="9"/>
      <c r="I65" s="12">
        <f t="shared" si="3"/>
        <v>37.301579326947028</v>
      </c>
      <c r="J65" s="12">
        <f t="shared" si="4"/>
        <v>8.3904625160029074</v>
      </c>
      <c r="K65" s="12">
        <f t="shared" si="5"/>
        <v>1.0370234570340682</v>
      </c>
    </row>
    <row r="66" spans="2:11" x14ac:dyDescent="0.25">
      <c r="B66" s="10">
        <v>62</v>
      </c>
      <c r="C66" s="11">
        <v>43953</v>
      </c>
      <c r="D66" s="12">
        <f t="shared" si="0"/>
        <v>438504.63734611787</v>
      </c>
      <c r="E66" s="12">
        <f t="shared" si="1"/>
        <v>341.31654003132707</v>
      </c>
      <c r="F66" s="12">
        <f t="shared" si="8"/>
        <v>102.391041327203</v>
      </c>
      <c r="G66" s="12">
        <f t="shared" si="8"/>
        <v>12.655072523586899</v>
      </c>
      <c r="H66" s="9"/>
      <c r="I66" s="12">
        <f t="shared" si="3"/>
        <v>40.974489904475064</v>
      </c>
      <c r="J66" s="12">
        <f t="shared" si="4"/>
        <v>9.2173939521689032</v>
      </c>
      <c r="K66" s="12">
        <f t="shared" si="5"/>
        <v>1.1392284659984049</v>
      </c>
    </row>
    <row r="67" spans="2:11" x14ac:dyDescent="0.25">
      <c r="B67" s="10">
        <v>63</v>
      </c>
      <c r="C67" s="11">
        <v>43954</v>
      </c>
      <c r="D67" s="12">
        <f t="shared" si="0"/>
        <v>438459.6291051064</v>
      </c>
      <c r="E67" s="12">
        <f t="shared" si="1"/>
        <v>374.94756304174956</v>
      </c>
      <c r="F67" s="12">
        <f t="shared" si="8"/>
        <v>112.51676534813237</v>
      </c>
      <c r="G67" s="12">
        <f t="shared" si="8"/>
        <v>13.906566503701766</v>
      </c>
      <c r="H67" s="9"/>
      <c r="I67" s="12">
        <f t="shared" si="3"/>
        <v>45.008241011466716</v>
      </c>
      <c r="J67" s="12">
        <f t="shared" si="4"/>
        <v>10.125724020929368</v>
      </c>
      <c r="K67" s="12">
        <f t="shared" si="5"/>
        <v>1.251493980114867</v>
      </c>
    </row>
    <row r="68" spans="2:11" x14ac:dyDescent="0.25">
      <c r="B68" s="10">
        <v>64</v>
      </c>
      <c r="C68" s="11">
        <v>43955</v>
      </c>
      <c r="D68" s="12">
        <f t="shared" si="0"/>
        <v>438410.19099037972</v>
      </c>
      <c r="E68" s="12">
        <f t="shared" si="1"/>
        <v>411.88742566706469</v>
      </c>
      <c r="F68" s="12">
        <f t="shared" si="8"/>
        <v>123.64020971837094</v>
      </c>
      <c r="G68" s="12">
        <f t="shared" si="8"/>
        <v>15.28137423485485</v>
      </c>
      <c r="H68" s="9"/>
      <c r="I68" s="12">
        <f t="shared" si="3"/>
        <v>49.438114726706779</v>
      </c>
      <c r="J68" s="12">
        <f t="shared" si="4"/>
        <v>11.123444370238568</v>
      </c>
      <c r="K68" s="12">
        <f t="shared" si="5"/>
        <v>1.3748077311530831</v>
      </c>
    </row>
    <row r="69" spans="2:11" x14ac:dyDescent="0.25">
      <c r="B69" s="10">
        <v>65</v>
      </c>
      <c r="C69" s="11">
        <v>43956</v>
      </c>
      <c r="D69" s="12">
        <f t="shared" si="0"/>
        <v>438355.88818225928</v>
      </c>
      <c r="E69" s="12">
        <f t="shared" si="1"/>
        <v>452.46065293194334</v>
      </c>
      <c r="F69" s="12">
        <f t="shared" si="8"/>
        <v>135.85953667982719</v>
      </c>
      <c r="G69" s="12">
        <f t="shared" si="8"/>
        <v>16.791628128967421</v>
      </c>
      <c r="H69" s="9"/>
      <c r="I69" s="12">
        <f t="shared" si="3"/>
        <v>54.302808120447452</v>
      </c>
      <c r="J69" s="12">
        <f t="shared" si="4"/>
        <v>12.219326961456252</v>
      </c>
      <c r="K69" s="12">
        <f t="shared" si="5"/>
        <v>1.510253894112572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438296.24342567456</v>
      </c>
      <c r="E70" s="12">
        <f t="shared" ref="E70:E133" si="10">E69+I70-J70-K70</f>
        <v>497.0233877522881</v>
      </c>
      <c r="F70" s="12">
        <f t="shared" ref="F70:G85" si="11">F69+J70</f>
        <v>149.28253605014152</v>
      </c>
      <c r="G70" s="12">
        <f t="shared" si="11"/>
        <v>18.450650523051216</v>
      </c>
      <c r="H70" s="9"/>
      <c r="I70" s="12">
        <f t="shared" ref="I70:I133" si="12">E69*N$6*D69/SUM(D69:F69)*N$7</f>
        <v>59.644756584742915</v>
      </c>
      <c r="J70" s="12">
        <f t="shared" ref="J70:J133" si="13">E69*N$8/N$5</f>
        <v>13.422999370314319</v>
      </c>
      <c r="K70" s="12">
        <f t="shared" ref="K70:K133" si="14">E69*N$9/N$5</f>
        <v>1.6590223940837938</v>
      </c>
    </row>
    <row r="71" spans="2:11" x14ac:dyDescent="0.25">
      <c r="B71" s="10">
        <v>67</v>
      </c>
      <c r="C71" s="11">
        <v>43958</v>
      </c>
      <c r="D71" s="12">
        <f t="shared" si="9"/>
        <v>438230.73293939984</v>
      </c>
      <c r="E71" s="12">
        <f t="shared" si="10"/>
        <v>545.96642776858141</v>
      </c>
      <c r="F71" s="12">
        <f t="shared" si="11"/>
        <v>164.02756322012607</v>
      </c>
      <c r="G71" s="12">
        <f t="shared" si="11"/>
        <v>20.273069611476274</v>
      </c>
      <c r="H71" s="9"/>
      <c r="I71" s="12">
        <f t="shared" si="12"/>
        <v>65.51048627470287</v>
      </c>
      <c r="J71" s="12">
        <f t="shared" si="13"/>
        <v>14.745027169984546</v>
      </c>
      <c r="K71" s="12">
        <f t="shared" si="14"/>
        <v>1.822419088425058</v>
      </c>
    </row>
    <row r="72" spans="2:11" x14ac:dyDescent="0.25">
      <c r="B72" s="10">
        <v>68</v>
      </c>
      <c r="C72" s="11">
        <v>43959</v>
      </c>
      <c r="D72" s="12">
        <f t="shared" si="9"/>
        <v>438158.78194143565</v>
      </c>
      <c r="E72" s="12">
        <f t="shared" si="10"/>
        <v>599.71854480716854</v>
      </c>
      <c r="F72" s="12">
        <f t="shared" si="11"/>
        <v>180.22456724392731</v>
      </c>
      <c r="G72" s="12">
        <f t="shared" si="11"/>
        <v>22.274946513294406</v>
      </c>
      <c r="H72" s="9"/>
      <c r="I72" s="12">
        <f t="shared" si="12"/>
        <v>71.950997964206579</v>
      </c>
      <c r="J72" s="12">
        <f t="shared" si="13"/>
        <v>16.197004023801249</v>
      </c>
      <c r="K72" s="12">
        <f t="shared" si="14"/>
        <v>2.0018769018181337</v>
      </c>
    </row>
    <row r="73" spans="2:11" x14ac:dyDescent="0.25">
      <c r="B73" s="10">
        <v>69</v>
      </c>
      <c r="C73" s="11">
        <v>43960</v>
      </c>
      <c r="D73" s="12">
        <f t="shared" si="9"/>
        <v>438079.75975670351</v>
      </c>
      <c r="E73" s="12">
        <f t="shared" si="10"/>
        <v>658.75011137903789</v>
      </c>
      <c r="F73" s="12">
        <f t="shared" si="11"/>
        <v>198.01621740653997</v>
      </c>
      <c r="G73" s="12">
        <f t="shared" si="11"/>
        <v>24.473914510920693</v>
      </c>
      <c r="H73" s="9"/>
      <c r="I73" s="12">
        <f t="shared" si="12"/>
        <v>79.022184732108258</v>
      </c>
      <c r="J73" s="12">
        <f t="shared" si="13"/>
        <v>17.791650162612665</v>
      </c>
      <c r="K73" s="12">
        <f t="shared" si="14"/>
        <v>2.1989679976262866</v>
      </c>
    </row>
    <row r="74" spans="2:11" x14ac:dyDescent="0.25">
      <c r="B74" s="10">
        <v>70</v>
      </c>
      <c r="C74" s="11">
        <v>43961</v>
      </c>
      <c r="D74" s="12">
        <f t="shared" si="9"/>
        <v>437992.97447070776</v>
      </c>
      <c r="E74" s="12">
        <f t="shared" si="10"/>
        <v>723.57706032881333</v>
      </c>
      <c r="F74" s="12">
        <f t="shared" si="11"/>
        <v>217.55913737745141</v>
      </c>
      <c r="G74" s="12">
        <f t="shared" si="11"/>
        <v>26.889331585977168</v>
      </c>
      <c r="H74" s="9"/>
      <c r="I74" s="12">
        <f t="shared" si="12"/>
        <v>86.785285995743379</v>
      </c>
      <c r="J74" s="12">
        <f t="shared" si="13"/>
        <v>19.542919970911456</v>
      </c>
      <c r="K74" s="12">
        <f t="shared" si="14"/>
        <v>2.4154170750564745</v>
      </c>
    </row>
    <row r="75" spans="2:11" x14ac:dyDescent="0.25">
      <c r="B75" s="10">
        <v>71</v>
      </c>
      <c r="C75" s="11">
        <v>43962</v>
      </c>
      <c r="D75" s="12">
        <f t="shared" si="9"/>
        <v>437897.66709021572</v>
      </c>
      <c r="E75" s="12">
        <f t="shared" si="10"/>
        <v>794.76520547655741</v>
      </c>
      <c r="F75" s="12">
        <f t="shared" si="11"/>
        <v>239.02525683387287</v>
      </c>
      <c r="G75" s="12">
        <f t="shared" si="11"/>
        <v>29.542447473849485</v>
      </c>
      <c r="H75" s="9"/>
      <c r="I75" s="12">
        <f t="shared" si="12"/>
        <v>95.307380492037822</v>
      </c>
      <c r="J75" s="12">
        <f t="shared" si="13"/>
        <v>21.46611945642146</v>
      </c>
      <c r="K75" s="12">
        <f t="shared" si="14"/>
        <v>2.653115887872318</v>
      </c>
    </row>
    <row r="76" spans="2:11" x14ac:dyDescent="0.25">
      <c r="B76" s="10">
        <v>72</v>
      </c>
      <c r="C76" s="11">
        <v>43963</v>
      </c>
      <c r="D76" s="12">
        <f t="shared" si="9"/>
        <v>437793.0051693499</v>
      </c>
      <c r="E76" s="12">
        <f t="shared" si="10"/>
        <v>872.93495282646859</v>
      </c>
      <c r="F76" s="12">
        <f t="shared" si="11"/>
        <v>262.60329126301076</v>
      </c>
      <c r="G76" s="12">
        <f t="shared" si="11"/>
        <v>32.456586560596868</v>
      </c>
      <c r="H76" s="9"/>
      <c r="I76" s="12">
        <f t="shared" si="12"/>
        <v>104.66192086579643</v>
      </c>
      <c r="J76" s="12">
        <f t="shared" si="13"/>
        <v>23.578034429137865</v>
      </c>
      <c r="K76" s="12">
        <f t="shared" si="14"/>
        <v>2.91413908674738</v>
      </c>
    </row>
    <row r="77" spans="2:11" x14ac:dyDescent="0.25">
      <c r="B77" s="10">
        <v>73</v>
      </c>
      <c r="C77" s="11">
        <v>43964</v>
      </c>
      <c r="D77" s="12">
        <f t="shared" si="9"/>
        <v>437678.07585679868</v>
      </c>
      <c r="E77" s="12">
        <f t="shared" si="10"/>
        <v>958.76643361680624</v>
      </c>
      <c r="F77" s="12">
        <f t="shared" si="11"/>
        <v>288.50036153019602</v>
      </c>
      <c r="G77" s="12">
        <f t="shared" si="11"/>
        <v>35.657348054293919</v>
      </c>
      <c r="H77" s="9"/>
      <c r="I77" s="12">
        <f t="shared" si="12"/>
        <v>114.92931255121997</v>
      </c>
      <c r="J77" s="12">
        <f t="shared" si="13"/>
        <v>25.897070267185235</v>
      </c>
      <c r="K77" s="12">
        <f t="shared" si="14"/>
        <v>3.2007614936970543</v>
      </c>
    </row>
    <row r="78" spans="2:11" x14ac:dyDescent="0.25">
      <c r="B78" s="10">
        <v>74</v>
      </c>
      <c r="C78" s="11">
        <v>43965</v>
      </c>
      <c r="D78" s="12">
        <f t="shared" si="9"/>
        <v>437551.87831718283</v>
      </c>
      <c r="E78" s="12">
        <f t="shared" si="10"/>
        <v>1053.0050921120894</v>
      </c>
      <c r="F78" s="12">
        <f t="shared" si="11"/>
        <v>316.94376572749462</v>
      </c>
      <c r="G78" s="12">
        <f t="shared" si="11"/>
        <v>39.172824977555543</v>
      </c>
      <c r="H78" s="9"/>
      <c r="I78" s="12">
        <f t="shared" si="12"/>
        <v>126.19753961584337</v>
      </c>
      <c r="J78" s="12">
        <f t="shared" si="13"/>
        <v>28.443404197298584</v>
      </c>
      <c r="K78" s="12">
        <f t="shared" si="14"/>
        <v>3.5154769232616259</v>
      </c>
    </row>
    <row r="79" spans="2:11" x14ac:dyDescent="0.25">
      <c r="B79" s="10">
        <v>75</v>
      </c>
      <c r="C79" s="11">
        <v>43966</v>
      </c>
      <c r="D79" s="12">
        <f t="shared" si="9"/>
        <v>437413.31547701982</v>
      </c>
      <c r="E79" s="12">
        <f t="shared" si="10"/>
        <v>1156.4677625380521</v>
      </c>
      <c r="F79" s="12">
        <f t="shared" si="11"/>
        <v>348.18291679348658</v>
      </c>
      <c r="G79" s="12">
        <f t="shared" si="11"/>
        <v>43.033843648633209</v>
      </c>
      <c r="H79" s="9"/>
      <c r="I79" s="12">
        <f t="shared" si="12"/>
        <v>138.56284016303243</v>
      </c>
      <c r="J79" s="12">
        <f t="shared" si="13"/>
        <v>31.23915106599198</v>
      </c>
      <c r="K79" s="12">
        <f t="shared" si="14"/>
        <v>3.8610186710776646</v>
      </c>
    </row>
    <row r="80" spans="2:11" x14ac:dyDescent="0.25">
      <c r="B80" s="10">
        <v>76</v>
      </c>
      <c r="C80" s="11">
        <v>43967</v>
      </c>
      <c r="D80" s="12">
        <f t="shared" si="9"/>
        <v>437261.18504327553</v>
      </c>
      <c r="E80" s="12">
        <f t="shared" si="10"/>
        <v>1270.0492708644267</v>
      </c>
      <c r="F80" s="12">
        <f t="shared" si="11"/>
        <v>382.49146041544878</v>
      </c>
      <c r="G80" s="12">
        <f t="shared" si="11"/>
        <v>47.274225444606067</v>
      </c>
      <c r="H80" s="9"/>
      <c r="I80" s="12">
        <f t="shared" si="12"/>
        <v>152.13043374430961</v>
      </c>
      <c r="J80" s="12">
        <f t="shared" si="13"/>
        <v>34.308543621962208</v>
      </c>
      <c r="K80" s="12">
        <f t="shared" si="14"/>
        <v>4.2403817959728611</v>
      </c>
    </row>
    <row r="81" spans="2:11" x14ac:dyDescent="0.25">
      <c r="B81" s="10">
        <v>77</v>
      </c>
      <c r="C81" s="11">
        <v>43968</v>
      </c>
      <c r="D81" s="12">
        <f t="shared" si="9"/>
        <v>437094.16974027827</v>
      </c>
      <c r="E81" s="12">
        <f t="shared" si="10"/>
        <v>1394.7295981661784</v>
      </c>
      <c r="F81" s="12">
        <f t="shared" si="11"/>
        <v>420.16958878442676</v>
      </c>
      <c r="G81" s="12">
        <f t="shared" si="11"/>
        <v>51.931072771108973</v>
      </c>
      <c r="H81" s="9"/>
      <c r="I81" s="12">
        <f t="shared" si="12"/>
        <v>167.01530299723251</v>
      </c>
      <c r="J81" s="12">
        <f t="shared" si="13"/>
        <v>37.678128368977994</v>
      </c>
      <c r="K81" s="12">
        <f t="shared" si="14"/>
        <v>4.656847326502902</v>
      </c>
    </row>
    <row r="82" spans="2:11" x14ac:dyDescent="0.25">
      <c r="B82" s="10">
        <v>78</v>
      </c>
      <c r="C82" s="11">
        <v>43969</v>
      </c>
      <c r="D82" s="12">
        <f t="shared" si="9"/>
        <v>436910.8267089026</v>
      </c>
      <c r="E82" s="12">
        <f t="shared" si="10"/>
        <v>1531.5816429363026</v>
      </c>
      <c r="F82" s="12">
        <f t="shared" si="11"/>
        <v>461.5465668633567</v>
      </c>
      <c r="G82" s="12">
        <f t="shared" si="11"/>
        <v>57.045081297718298</v>
      </c>
      <c r="H82" s="9"/>
      <c r="I82" s="12">
        <f t="shared" si="12"/>
        <v>183.34303137566346</v>
      </c>
      <c r="J82" s="12">
        <f t="shared" si="13"/>
        <v>41.376978078929952</v>
      </c>
      <c r="K82" s="12">
        <f t="shared" si="14"/>
        <v>5.1140085266093251</v>
      </c>
    </row>
    <row r="83" spans="2:11" x14ac:dyDescent="0.25">
      <c r="B83" s="10">
        <v>79</v>
      </c>
      <c r="C83" s="11">
        <v>43970</v>
      </c>
      <c r="D83" s="12">
        <f t="shared" si="9"/>
        <v>436709.57601055264</v>
      </c>
      <c r="E83" s="12">
        <f t="shared" si="10"/>
        <v>1681.7796198550504</v>
      </c>
      <c r="F83" s="12">
        <f t="shared" si="11"/>
        <v>506.98348893713364</v>
      </c>
      <c r="G83" s="12">
        <f t="shared" si="11"/>
        <v>62.660880655151416</v>
      </c>
      <c r="H83" s="9"/>
      <c r="I83" s="12">
        <f t="shared" si="12"/>
        <v>201.2506983499579</v>
      </c>
      <c r="J83" s="12">
        <f t="shared" si="13"/>
        <v>45.436922073776969</v>
      </c>
      <c r="K83" s="12">
        <f t="shared" si="14"/>
        <v>5.6157993574331151</v>
      </c>
    </row>
    <row r="84" spans="2:11" x14ac:dyDescent="0.25">
      <c r="B84" s="10">
        <v>80</v>
      </c>
      <c r="C84" s="11">
        <v>43971</v>
      </c>
      <c r="D84" s="12">
        <f t="shared" si="9"/>
        <v>436488.68817775999</v>
      </c>
      <c r="E84" s="12">
        <f t="shared" si="10"/>
        <v>1846.6081319858788</v>
      </c>
      <c r="F84" s="12">
        <f t="shared" si="11"/>
        <v>556.8762843261668</v>
      </c>
      <c r="G84" s="12">
        <f t="shared" si="11"/>
        <v>68.827405927953279</v>
      </c>
      <c r="H84" s="9"/>
      <c r="I84" s="12">
        <f t="shared" si="12"/>
        <v>220.88783279266349</v>
      </c>
      <c r="J84" s="12">
        <f t="shared" si="13"/>
        <v>49.892795389033161</v>
      </c>
      <c r="K84" s="12">
        <f t="shared" si="14"/>
        <v>6.1665252728018576</v>
      </c>
    </row>
    <row r="85" spans="2:11" x14ac:dyDescent="0.25">
      <c r="B85" s="10">
        <v>81</v>
      </c>
      <c r="C85" s="11">
        <v>43972</v>
      </c>
      <c r="D85" s="12">
        <f t="shared" si="9"/>
        <v>436246.27075336728</v>
      </c>
      <c r="E85" s="12">
        <f t="shared" si="10"/>
        <v>2027.4719519790574</v>
      </c>
      <c r="F85" s="12">
        <f t="shared" si="11"/>
        <v>611.65899224174791</v>
      </c>
      <c r="G85" s="12">
        <f t="shared" si="11"/>
        <v>75.598302411901514</v>
      </c>
      <c r="H85" s="9"/>
      <c r="I85" s="12">
        <f t="shared" si="12"/>
        <v>242.417424392708</v>
      </c>
      <c r="J85" s="12">
        <f t="shared" si="13"/>
        <v>54.782707915581071</v>
      </c>
      <c r="K85" s="12">
        <f t="shared" si="14"/>
        <v>6.7708964839482286</v>
      </c>
    </row>
    <row r="86" spans="2:11" x14ac:dyDescent="0.25">
      <c r="B86" s="10">
        <v>82</v>
      </c>
      <c r="C86" s="11">
        <v>43973</v>
      </c>
      <c r="D86" s="12">
        <f t="shared" si="9"/>
        <v>435980.25376155425</v>
      </c>
      <c r="E86" s="12">
        <f t="shared" si="10"/>
        <v>2225.9065453927833</v>
      </c>
      <c r="F86" s="12">
        <f t="shared" ref="F86:G101" si="15">F85+J86</f>
        <v>671.80732681712664</v>
      </c>
      <c r="G86" s="12">
        <f t="shared" si="15"/>
        <v>83.032366235824725</v>
      </c>
      <c r="H86" s="9"/>
      <c r="I86" s="12">
        <f t="shared" si="12"/>
        <v>266.01699181302769</v>
      </c>
      <c r="J86" s="12">
        <f t="shared" si="13"/>
        <v>60.148334575378698</v>
      </c>
      <c r="K86" s="12">
        <f t="shared" si="14"/>
        <v>7.4340638239232169</v>
      </c>
    </row>
    <row r="87" spans="2:11" x14ac:dyDescent="0.25">
      <c r="B87" s="10">
        <v>83</v>
      </c>
      <c r="C87" s="11">
        <v>43974</v>
      </c>
      <c r="D87" s="12">
        <f t="shared" si="9"/>
        <v>435688.37405668333</v>
      </c>
      <c r="E87" s="12">
        <f t="shared" si="10"/>
        <v>2443.5893654172951</v>
      </c>
      <c r="F87" s="12">
        <f t="shared" si="15"/>
        <v>737.84255433044586</v>
      </c>
      <c r="G87" s="12">
        <f t="shared" si="15"/>
        <v>91.194023568931598</v>
      </c>
      <c r="H87" s="9"/>
      <c r="I87" s="12">
        <f t="shared" si="12"/>
        <v>291.87970487093816</v>
      </c>
      <c r="J87" s="12">
        <f t="shared" si="13"/>
        <v>66.035227513319228</v>
      </c>
      <c r="K87" s="12">
        <f t="shared" si="14"/>
        <v>8.1616573331068789</v>
      </c>
    </row>
    <row r="88" spans="2:11" x14ac:dyDescent="0.25">
      <c r="B88" s="10">
        <v>84</v>
      </c>
      <c r="C88" s="11">
        <v>43975</v>
      </c>
      <c r="D88" s="12">
        <f t="shared" si="9"/>
        <v>435368.15850046661</v>
      </c>
      <c r="E88" s="12">
        <f t="shared" si="10"/>
        <v>2682.3519427867882</v>
      </c>
      <c r="F88" s="12">
        <f t="shared" si="15"/>
        <v>810.33570550449224</v>
      </c>
      <c r="G88" s="12">
        <f t="shared" si="15"/>
        <v>100.15385124212835</v>
      </c>
      <c r="H88" s="9"/>
      <c r="I88" s="12">
        <f t="shared" si="12"/>
        <v>320.21555621673639</v>
      </c>
      <c r="J88" s="12">
        <f t="shared" si="13"/>
        <v>72.493151174046417</v>
      </c>
      <c r="K88" s="12">
        <f t="shared" si="14"/>
        <v>8.9598276731967577</v>
      </c>
    </row>
    <row r="89" spans="2:11" x14ac:dyDescent="0.25">
      <c r="B89" s="10">
        <v>85</v>
      </c>
      <c r="C89" s="11">
        <v>43976</v>
      </c>
      <c r="D89" s="12">
        <f t="shared" si="9"/>
        <v>435016.9059247222</v>
      </c>
      <c r="E89" s="12">
        <f t="shared" si="10"/>
        <v>2944.192787104972</v>
      </c>
      <c r="F89" s="12">
        <f t="shared" si="15"/>
        <v>889.91214647383367</v>
      </c>
      <c r="G89" s="12">
        <f t="shared" si="15"/>
        <v>109.98914169901326</v>
      </c>
      <c r="H89" s="9"/>
      <c r="I89" s="12">
        <f t="shared" si="12"/>
        <v>351.25257574441065</v>
      </c>
      <c r="J89" s="12">
        <f t="shared" si="13"/>
        <v>79.576440969341377</v>
      </c>
      <c r="K89" s="12">
        <f t="shared" si="14"/>
        <v>9.8352904568848984</v>
      </c>
    </row>
    <row r="90" spans="2:11" x14ac:dyDescent="0.25">
      <c r="B90" s="10">
        <v>86</v>
      </c>
      <c r="C90" s="11">
        <v>43977</v>
      </c>
      <c r="D90" s="12">
        <f t="shared" si="9"/>
        <v>434631.66784651263</v>
      </c>
      <c r="E90" s="12">
        <f t="shared" si="10"/>
        <v>3231.2911057443839</v>
      </c>
      <c r="F90" s="12">
        <f t="shared" si="15"/>
        <v>977.25653249128118</v>
      </c>
      <c r="G90" s="12">
        <f t="shared" si="15"/>
        <v>120.78451525173151</v>
      </c>
      <c r="H90" s="9"/>
      <c r="I90" s="12">
        <f t="shared" si="12"/>
        <v>385.23807820957728</v>
      </c>
      <c r="J90" s="12">
        <f t="shared" si="13"/>
        <v>87.344386017447491</v>
      </c>
      <c r="K90" s="12">
        <f t="shared" si="14"/>
        <v>10.795373552718241</v>
      </c>
    </row>
    <row r="91" spans="2:11" x14ac:dyDescent="0.25">
      <c r="B91" s="10">
        <v>87</v>
      </c>
      <c r="C91" s="11">
        <v>43978</v>
      </c>
      <c r="D91" s="12">
        <f t="shared" si="9"/>
        <v>434209.22791534831</v>
      </c>
      <c r="E91" s="12">
        <f t="shared" si="10"/>
        <v>3546.021333383912</v>
      </c>
      <c r="F91" s="12">
        <f t="shared" si="15"/>
        <v>1073.1181686283646</v>
      </c>
      <c r="G91" s="12">
        <f t="shared" si="15"/>
        <v>132.63258263946094</v>
      </c>
      <c r="H91" s="9"/>
      <c r="I91" s="12">
        <f t="shared" si="12"/>
        <v>422.43993116434052</v>
      </c>
      <c r="J91" s="12">
        <f t="shared" si="13"/>
        <v>95.86163613708338</v>
      </c>
      <c r="K91" s="12">
        <f t="shared" si="14"/>
        <v>11.848067387729419</v>
      </c>
    </row>
    <row r="92" spans="2:11" x14ac:dyDescent="0.25">
      <c r="B92" s="10">
        <v>88</v>
      </c>
      <c r="C92" s="11">
        <v>43979</v>
      </c>
      <c r="D92" s="12">
        <f t="shared" si="9"/>
        <v>433746.08008910128</v>
      </c>
      <c r="E92" s="12">
        <f t="shared" si="10"/>
        <v>3890.968448518131</v>
      </c>
      <c r="F92" s="12">
        <f t="shared" si="15"/>
        <v>1178.3168015187539</v>
      </c>
      <c r="G92" s="12">
        <f t="shared" si="15"/>
        <v>145.63466086186861</v>
      </c>
      <c r="H92" s="9"/>
      <c r="I92" s="12">
        <f t="shared" si="12"/>
        <v>463.14782624701655</v>
      </c>
      <c r="J92" s="12">
        <f t="shared" si="13"/>
        <v>105.19863289038936</v>
      </c>
      <c r="K92" s="12">
        <f t="shared" si="14"/>
        <v>13.002078222407688</v>
      </c>
    </row>
    <row r="93" spans="2:11" x14ac:dyDescent="0.25">
      <c r="B93" s="10">
        <v>89</v>
      </c>
      <c r="C93" s="11">
        <v>43980</v>
      </c>
      <c r="D93" s="12">
        <f t="shared" si="9"/>
        <v>433238.40555712406</v>
      </c>
      <c r="E93" s="12">
        <f t="shared" si="10"/>
        <v>4268.9440322114015</v>
      </c>
      <c r="F93" s="12">
        <f t="shared" si="15"/>
        <v>1293.7488654914584</v>
      </c>
      <c r="G93" s="12">
        <f t="shared" si="15"/>
        <v>159.90154517310177</v>
      </c>
      <c r="H93" s="9"/>
      <c r="I93" s="12">
        <f t="shared" si="12"/>
        <v>507.67453197720852</v>
      </c>
      <c r="J93" s="12">
        <f t="shared" si="13"/>
        <v>115.43206397270454</v>
      </c>
      <c r="K93" s="12">
        <f t="shared" si="14"/>
        <v>14.266884311233159</v>
      </c>
    </row>
    <row r="94" spans="2:11" x14ac:dyDescent="0.25">
      <c r="B94" s="10">
        <v>90</v>
      </c>
      <c r="C94" s="11">
        <v>43981</v>
      </c>
      <c r="D94" s="12">
        <f t="shared" si="9"/>
        <v>432682.04845673818</v>
      </c>
      <c r="E94" s="12">
        <f t="shared" si="10"/>
        <v>4683.0029981902617</v>
      </c>
      <c r="F94" s="12">
        <f t="shared" si="15"/>
        <v>1420.3942051137301</v>
      </c>
      <c r="G94" s="12">
        <f t="shared" si="15"/>
        <v>175.55433995787692</v>
      </c>
      <c r="H94" s="9"/>
      <c r="I94" s="12">
        <f t="shared" si="12"/>
        <v>556.3571003859073</v>
      </c>
      <c r="J94" s="12">
        <f t="shared" si="13"/>
        <v>126.64533962227156</v>
      </c>
      <c r="K94" s="12">
        <f t="shared" si="14"/>
        <v>15.652794784775153</v>
      </c>
    </row>
    <row r="95" spans="2:11" x14ac:dyDescent="0.25">
      <c r="B95" s="10">
        <v>91</v>
      </c>
      <c r="C95" s="13">
        <v>43982</v>
      </c>
      <c r="D95" s="12">
        <f t="shared" si="9"/>
        <v>432072.49046380562</v>
      </c>
      <c r="E95" s="12">
        <f t="shared" si="10"/>
        <v>5136.4608911831438</v>
      </c>
      <c r="F95" s="12">
        <f t="shared" si="15"/>
        <v>1559.3232940600412</v>
      </c>
      <c r="G95" s="12">
        <f t="shared" si="15"/>
        <v>192.72535095124124</v>
      </c>
      <c r="H95" s="9"/>
      <c r="I95" s="12">
        <f t="shared" si="12"/>
        <v>609.5579929325578</v>
      </c>
      <c r="J95" s="12">
        <f t="shared" si="13"/>
        <v>138.92908894631108</v>
      </c>
      <c r="K95" s="12">
        <f t="shared" si="14"/>
        <v>17.171010993364305</v>
      </c>
    </row>
    <row r="96" spans="2:11" x14ac:dyDescent="0.25">
      <c r="B96" s="10">
        <v>92</v>
      </c>
      <c r="C96" s="11">
        <v>43983</v>
      </c>
      <c r="D96" s="12">
        <f t="shared" si="9"/>
        <v>431404.82438070467</v>
      </c>
      <c r="E96" s="12">
        <f t="shared" si="10"/>
        <v>5632.9116112446591</v>
      </c>
      <c r="F96" s="12">
        <f t="shared" si="15"/>
        <v>1711.7049671651412</v>
      </c>
      <c r="G96" s="12">
        <f t="shared" si="15"/>
        <v>211.55904088557946</v>
      </c>
      <c r="H96" s="9"/>
      <c r="I96" s="12">
        <f t="shared" si="12"/>
        <v>667.6660831009541</v>
      </c>
      <c r="J96" s="12">
        <f t="shared" si="13"/>
        <v>152.38167310509991</v>
      </c>
      <c r="K96" s="12">
        <f t="shared" si="14"/>
        <v>18.83368993433821</v>
      </c>
    </row>
    <row r="97" spans="2:11" x14ac:dyDescent="0.25">
      <c r="B97" s="10">
        <v>93</v>
      </c>
      <c r="C97" s="11">
        <v>43984</v>
      </c>
      <c r="D97" s="12">
        <f t="shared" si="9"/>
        <v>430673.72689700249</v>
      </c>
      <c r="E97" s="12">
        <f t="shared" si="10"/>
        <v>6176.245374571994</v>
      </c>
      <c r="F97" s="12">
        <f t="shared" si="15"/>
        <v>1878.8146782987328</v>
      </c>
      <c r="G97" s="12">
        <f t="shared" si="15"/>
        <v>232.21305012680989</v>
      </c>
      <c r="H97" s="9"/>
      <c r="I97" s="12">
        <f t="shared" si="12"/>
        <v>731.09748370215675</v>
      </c>
      <c r="J97" s="12">
        <f t="shared" si="13"/>
        <v>167.10971113359153</v>
      </c>
      <c r="K97" s="12">
        <f t="shared" si="14"/>
        <v>20.654009241230433</v>
      </c>
    </row>
    <row r="98" spans="2:11" x14ac:dyDescent="0.25">
      <c r="B98" s="10">
        <v>94</v>
      </c>
      <c r="C98" s="11">
        <v>43985</v>
      </c>
      <c r="D98" s="12">
        <f t="shared" si="9"/>
        <v>429873.43076086551</v>
      </c>
      <c r="E98" s="12">
        <f t="shared" si="10"/>
        <v>6770.6666648898963</v>
      </c>
      <c r="F98" s="12">
        <f t="shared" si="15"/>
        <v>2062.0432910777017</v>
      </c>
      <c r="G98" s="12">
        <f t="shared" si="15"/>
        <v>254.85928316690723</v>
      </c>
      <c r="H98" s="9"/>
      <c r="I98" s="12">
        <f t="shared" si="12"/>
        <v>800.29613613696847</v>
      </c>
      <c r="J98" s="12">
        <f t="shared" si="13"/>
        <v>183.22861277896911</v>
      </c>
      <c r="K98" s="12">
        <f t="shared" si="14"/>
        <v>22.646233040097332</v>
      </c>
    </row>
    <row r="99" spans="2:11" x14ac:dyDescent="0.25">
      <c r="B99" s="10">
        <v>95</v>
      </c>
      <c r="C99" s="11">
        <v>43986</v>
      </c>
      <c r="D99" s="12">
        <f t="shared" si="9"/>
        <v>428997.69667426607</v>
      </c>
      <c r="E99" s="12">
        <f t="shared" si="10"/>
        <v>7420.7118626596857</v>
      </c>
      <c r="F99" s="12">
        <f t="shared" si="15"/>
        <v>2262.9064021361019</v>
      </c>
      <c r="G99" s="12">
        <f t="shared" si="15"/>
        <v>279.68506093817018</v>
      </c>
      <c r="H99" s="9"/>
      <c r="I99" s="12">
        <f t="shared" si="12"/>
        <v>875.73408659945312</v>
      </c>
      <c r="J99" s="12">
        <f t="shared" si="13"/>
        <v>200.86311105840022</v>
      </c>
      <c r="K99" s="12">
        <f t="shared" si="14"/>
        <v>24.825777771262974</v>
      </c>
    </row>
    <row r="100" spans="2:11" x14ac:dyDescent="0.25">
      <c r="B100" s="10">
        <v>96</v>
      </c>
      <c r="C100" s="11">
        <v>43987</v>
      </c>
      <c r="D100" s="12">
        <f t="shared" si="9"/>
        <v>428039.78531387163</v>
      </c>
      <c r="E100" s="12">
        <f t="shared" si="10"/>
        <v>8131.266160965477</v>
      </c>
      <c r="F100" s="12">
        <f t="shared" si="15"/>
        <v>2483.054187395006</v>
      </c>
      <c r="G100" s="12">
        <f t="shared" si="15"/>
        <v>306.89433776792237</v>
      </c>
      <c r="H100" s="9"/>
      <c r="I100" s="12">
        <f t="shared" si="12"/>
        <v>957.91136039444768</v>
      </c>
      <c r="J100" s="12">
        <f t="shared" si="13"/>
        <v>220.14778525890401</v>
      </c>
      <c r="K100" s="12">
        <f t="shared" si="14"/>
        <v>27.209276829752202</v>
      </c>
    </row>
    <row r="101" spans="2:11" x14ac:dyDescent="0.25">
      <c r="B101" s="10">
        <v>97</v>
      </c>
      <c r="C101" s="11">
        <v>43988</v>
      </c>
      <c r="D101" s="12">
        <f t="shared" si="9"/>
        <v>426992.42998365493</v>
      </c>
      <c r="E101" s="12">
        <f t="shared" si="10"/>
        <v>8907.5792858166842</v>
      </c>
      <c r="F101" s="12">
        <f t="shared" si="15"/>
        <v>2724.2817501703153</v>
      </c>
      <c r="G101" s="12">
        <f t="shared" si="15"/>
        <v>336.70898035812917</v>
      </c>
      <c r="H101" s="9"/>
      <c r="I101" s="12">
        <f t="shared" si="12"/>
        <v>1047.3553302167238</v>
      </c>
      <c r="J101" s="12">
        <f t="shared" si="13"/>
        <v>241.22756277530914</v>
      </c>
      <c r="K101" s="12">
        <f t="shared" si="14"/>
        <v>29.814642590206777</v>
      </c>
    </row>
    <row r="102" spans="2:11" x14ac:dyDescent="0.25">
      <c r="B102" s="10">
        <v>98</v>
      </c>
      <c r="C102" s="11">
        <v>43989</v>
      </c>
      <c r="D102" s="12">
        <f t="shared" si="9"/>
        <v>425847.81052614626</v>
      </c>
      <c r="E102" s="12">
        <f t="shared" si="10"/>
        <v>9755.2794337981322</v>
      </c>
      <c r="F102" s="12">
        <f t="shared" ref="F102:G117" si="16">F101+J102</f>
        <v>2988.5399356495436</v>
      </c>
      <c r="G102" s="12">
        <f t="shared" si="16"/>
        <v>369.37010440612369</v>
      </c>
      <c r="H102" s="9"/>
      <c r="I102" s="12">
        <f t="shared" si="12"/>
        <v>1144.6194575086697</v>
      </c>
      <c r="J102" s="12">
        <f t="shared" si="13"/>
        <v>264.25818547922825</v>
      </c>
      <c r="K102" s="12">
        <f t="shared" si="14"/>
        <v>32.661124047994541</v>
      </c>
    </row>
    <row r="103" spans="2:11" x14ac:dyDescent="0.25">
      <c r="B103" s="10">
        <v>99</v>
      </c>
      <c r="C103" s="11">
        <v>43990</v>
      </c>
      <c r="D103" s="12">
        <f t="shared" si="9"/>
        <v>424597.52925803262</v>
      </c>
      <c r="E103" s="12">
        <f t="shared" si="10"/>
        <v>10680.384720785156</v>
      </c>
      <c r="F103" s="12">
        <f t="shared" si="16"/>
        <v>3277.9465588522216</v>
      </c>
      <c r="G103" s="12">
        <f t="shared" si="16"/>
        <v>405.13946233005021</v>
      </c>
      <c r="H103" s="9"/>
      <c r="I103" s="12">
        <f t="shared" si="12"/>
        <v>1250.2812681136268</v>
      </c>
      <c r="J103" s="12">
        <f t="shared" si="13"/>
        <v>289.40662320267791</v>
      </c>
      <c r="K103" s="12">
        <f t="shared" si="14"/>
        <v>35.769357923926513</v>
      </c>
    </row>
    <row r="104" spans="2:11" x14ac:dyDescent="0.25">
      <c r="B104" s="10">
        <v>100</v>
      </c>
      <c r="C104" s="11">
        <v>43991</v>
      </c>
      <c r="D104" s="12">
        <f t="shared" si="9"/>
        <v>423232.58985325479</v>
      </c>
      <c r="E104" s="12">
        <f t="shared" si="10"/>
        <v>11689.311301536827</v>
      </c>
      <c r="F104" s="12">
        <f t="shared" si="16"/>
        <v>3594.7979722355144</v>
      </c>
      <c r="G104" s="12">
        <f t="shared" si="16"/>
        <v>444.30087297292914</v>
      </c>
      <c r="H104" s="9"/>
      <c r="I104" s="12">
        <f t="shared" si="12"/>
        <v>1364.9394047778428</v>
      </c>
      <c r="J104" s="12">
        <f t="shared" si="13"/>
        <v>316.85141338329294</v>
      </c>
      <c r="K104" s="12">
        <f t="shared" si="14"/>
        <v>39.161410642878941</v>
      </c>
    </row>
    <row r="105" spans="2:11" x14ac:dyDescent="0.25">
      <c r="B105" s="10">
        <v>101</v>
      </c>
      <c r="C105" s="11">
        <v>43992</v>
      </c>
      <c r="D105" s="12">
        <f t="shared" si="9"/>
        <v>421743.38027300598</v>
      </c>
      <c r="E105" s="12">
        <f t="shared" si="10"/>
        <v>12788.877171734392</v>
      </c>
      <c r="F105" s="12">
        <f t="shared" si="16"/>
        <v>3941.580874181107</v>
      </c>
      <c r="G105" s="12">
        <f t="shared" si="16"/>
        <v>487.16168107856424</v>
      </c>
      <c r="H105" s="9"/>
      <c r="I105" s="12">
        <f t="shared" si="12"/>
        <v>1489.2095802487934</v>
      </c>
      <c r="J105" s="12">
        <f t="shared" si="13"/>
        <v>346.78290194559247</v>
      </c>
      <c r="K105" s="12">
        <f t="shared" si="14"/>
        <v>42.860808105635073</v>
      </c>
    </row>
    <row r="106" spans="2:11" x14ac:dyDescent="0.25">
      <c r="B106" s="10">
        <v>102</v>
      </c>
      <c r="C106" s="11">
        <v>43993</v>
      </c>
      <c r="D106" s="12">
        <f t="shared" si="9"/>
        <v>420119.66103633348</v>
      </c>
      <c r="E106" s="12">
        <f t="shared" si="10"/>
        <v>13986.30050268243</v>
      </c>
      <c r="F106" s="12">
        <f t="shared" si="16"/>
        <v>4320.9842302758943</v>
      </c>
      <c r="G106" s="12">
        <f t="shared" si="16"/>
        <v>534.05423070825702</v>
      </c>
      <c r="H106" s="9"/>
      <c r="I106" s="12">
        <f t="shared" si="12"/>
        <v>1623.7192366725167</v>
      </c>
      <c r="J106" s="12">
        <f t="shared" si="13"/>
        <v>379.40335609478694</v>
      </c>
      <c r="K106" s="12">
        <f t="shared" si="14"/>
        <v>46.892549629692809</v>
      </c>
    </row>
    <row r="107" spans="2:11" x14ac:dyDescent="0.25">
      <c r="B107" s="10">
        <v>103</v>
      </c>
      <c r="C107" s="11">
        <v>43994</v>
      </c>
      <c r="D107" s="12">
        <f t="shared" si="9"/>
        <v>418350.56033538131</v>
      </c>
      <c r="E107" s="12">
        <f t="shared" si="10"/>
        <v>15289.191186878534</v>
      </c>
      <c r="F107" s="12">
        <f t="shared" si="16"/>
        <v>4735.9111451888066</v>
      </c>
      <c r="G107" s="12">
        <f t="shared" si="16"/>
        <v>585.33733255142602</v>
      </c>
      <c r="H107" s="9"/>
      <c r="I107" s="12">
        <f t="shared" si="12"/>
        <v>1769.1007009521859</v>
      </c>
      <c r="J107" s="12">
        <f t="shared" si="13"/>
        <v>414.92691491291208</v>
      </c>
      <c r="K107" s="12">
        <f t="shared" si="14"/>
        <v>51.283101843168957</v>
      </c>
    </row>
    <row r="108" spans="2:11" x14ac:dyDescent="0.25">
      <c r="B108" s="10">
        <v>104</v>
      </c>
      <c r="C108" s="11">
        <v>43995</v>
      </c>
      <c r="D108" s="12">
        <f t="shared" si="9"/>
        <v>416424.57772202988</v>
      </c>
      <c r="E108" s="12">
        <f t="shared" si="10"/>
        <v>16705.534094000668</v>
      </c>
      <c r="F108" s="12">
        <f t="shared" si="16"/>
        <v>5189.4904837328695</v>
      </c>
      <c r="G108" s="12">
        <f t="shared" si="16"/>
        <v>641.39770023664732</v>
      </c>
      <c r="H108" s="9"/>
      <c r="I108" s="12">
        <f t="shared" si="12"/>
        <v>1925.9826133514214</v>
      </c>
      <c r="J108" s="12">
        <f t="shared" si="13"/>
        <v>453.57933854406309</v>
      </c>
      <c r="K108" s="12">
        <f t="shared" si="14"/>
        <v>56.060367685221337</v>
      </c>
    </row>
    <row r="109" spans="2:11" x14ac:dyDescent="0.25">
      <c r="B109" s="10">
        <v>105</v>
      </c>
      <c r="C109" s="11">
        <v>43996</v>
      </c>
      <c r="D109" s="12">
        <f t="shared" si="9"/>
        <v>414329.59832198377</v>
      </c>
      <c r="E109" s="12">
        <f t="shared" si="10"/>
        <v>18243.662357580084</v>
      </c>
      <c r="F109" s="12">
        <f t="shared" si="16"/>
        <v>5685.0879951882225</v>
      </c>
      <c r="G109" s="12">
        <f t="shared" si="16"/>
        <v>702.65132524798321</v>
      </c>
      <c r="H109" s="9"/>
      <c r="I109" s="12">
        <f t="shared" si="12"/>
        <v>2094.979400046107</v>
      </c>
      <c r="J109" s="12">
        <f t="shared" si="13"/>
        <v>495.59751145535307</v>
      </c>
      <c r="K109" s="12">
        <f t="shared" si="14"/>
        <v>61.253625011335842</v>
      </c>
    </row>
    <row r="110" spans="2:11" x14ac:dyDescent="0.25">
      <c r="B110" s="10">
        <v>106</v>
      </c>
      <c r="C110" s="11">
        <v>43997</v>
      </c>
      <c r="D110" s="12">
        <f t="shared" si="9"/>
        <v>412052.91975976084</v>
      </c>
      <c r="E110" s="12">
        <f t="shared" si="10"/>
        <v>19912.218841216996</v>
      </c>
      <c r="F110" s="12">
        <f t="shared" si="16"/>
        <v>6226.3166451297648</v>
      </c>
      <c r="G110" s="12">
        <f t="shared" si="16"/>
        <v>769.54475389244362</v>
      </c>
      <c r="H110" s="9"/>
      <c r="I110" s="12">
        <f t="shared" si="12"/>
        <v>2276.6785622229136</v>
      </c>
      <c r="J110" s="12">
        <f t="shared" si="13"/>
        <v>541.22864994154247</v>
      </c>
      <c r="K110" s="12">
        <f t="shared" si="14"/>
        <v>66.893428644460371</v>
      </c>
    </row>
    <row r="111" spans="2:11" x14ac:dyDescent="0.25">
      <c r="B111" s="10">
        <v>107</v>
      </c>
      <c r="C111" s="11">
        <v>43998</v>
      </c>
      <c r="D111" s="12">
        <f t="shared" si="9"/>
        <v>409581.29419182049</v>
      </c>
      <c r="E111" s="12">
        <f t="shared" si="10"/>
        <v>21720.103781116803</v>
      </c>
      <c r="F111" s="12">
        <f t="shared" si="16"/>
        <v>6817.0458040858684</v>
      </c>
      <c r="G111" s="12">
        <f t="shared" si="16"/>
        <v>842.55622297690604</v>
      </c>
      <c r="H111" s="9"/>
      <c r="I111" s="12">
        <f t="shared" si="12"/>
        <v>2471.6255679403739</v>
      </c>
      <c r="J111" s="12">
        <f t="shared" si="13"/>
        <v>590.72915895610413</v>
      </c>
      <c r="K111" s="12">
        <f t="shared" si="14"/>
        <v>73.011469084462377</v>
      </c>
    </row>
    <row r="112" spans="2:11" x14ac:dyDescent="0.25">
      <c r="B112" s="10">
        <v>108</v>
      </c>
      <c r="C112" s="11">
        <v>43999</v>
      </c>
      <c r="D112" s="12">
        <f t="shared" si="9"/>
        <v>406900.98802969162</v>
      </c>
      <c r="E112" s="12">
        <f t="shared" si="10"/>
        <v>23676.406483875107</v>
      </c>
      <c r="F112" s="12">
        <f t="shared" si="16"/>
        <v>7461.4088829256671</v>
      </c>
      <c r="G112" s="12">
        <f t="shared" si="16"/>
        <v>922.19660350766776</v>
      </c>
      <c r="H112" s="9"/>
      <c r="I112" s="12">
        <f t="shared" si="12"/>
        <v>2680.3061621288625</v>
      </c>
      <c r="J112" s="12">
        <f t="shared" si="13"/>
        <v>644.36307883979839</v>
      </c>
      <c r="K112" s="12">
        <f t="shared" si="14"/>
        <v>79.640380530761675</v>
      </c>
    </row>
    <row r="113" spans="2:11" x14ac:dyDescent="0.25">
      <c r="B113" s="10">
        <v>109</v>
      </c>
      <c r="C113" s="11">
        <v>44000</v>
      </c>
      <c r="D113" s="12">
        <f t="shared" si="9"/>
        <v>403997.8620705558</v>
      </c>
      <c r="E113" s="12">
        <f t="shared" si="10"/>
        <v>25790.318893548407</v>
      </c>
      <c r="F113" s="12">
        <f t="shared" si="16"/>
        <v>8163.8089419472954</v>
      </c>
      <c r="G113" s="12">
        <f t="shared" si="16"/>
        <v>1009.0100939485433</v>
      </c>
      <c r="H113" s="9"/>
      <c r="I113" s="12">
        <f t="shared" si="12"/>
        <v>2903.1259591358039</v>
      </c>
      <c r="J113" s="12">
        <f t="shared" si="13"/>
        <v>702.40005902162807</v>
      </c>
      <c r="K113" s="12">
        <f t="shared" si="14"/>
        <v>86.813490440875469</v>
      </c>
    </row>
    <row r="114" spans="2:11" x14ac:dyDescent="0.25">
      <c r="B114" s="10">
        <v>110</v>
      </c>
      <c r="C114" s="11">
        <v>44001</v>
      </c>
      <c r="D114" s="12">
        <f t="shared" si="9"/>
        <v>400857.47481475241</v>
      </c>
      <c r="E114" s="12">
        <f t="shared" si="10"/>
        <v>28071.028852900199</v>
      </c>
      <c r="F114" s="12">
        <f t="shared" si="16"/>
        <v>8928.9217357892321</v>
      </c>
      <c r="G114" s="12">
        <f t="shared" si="16"/>
        <v>1103.5745965582209</v>
      </c>
      <c r="H114" s="9"/>
      <c r="I114" s="12">
        <f t="shared" si="12"/>
        <v>3140.3872558034091</v>
      </c>
      <c r="J114" s="12">
        <f t="shared" si="13"/>
        <v>765.11279384193597</v>
      </c>
      <c r="K114" s="12">
        <f t="shared" si="14"/>
        <v>94.564502609677575</v>
      </c>
    </row>
    <row r="115" spans="2:11" x14ac:dyDescent="0.25">
      <c r="B115" s="10">
        <v>111</v>
      </c>
      <c r="C115" s="11">
        <v>44002</v>
      </c>
      <c r="D115" s="12">
        <f t="shared" si="9"/>
        <v>397465.21170878911</v>
      </c>
      <c r="E115" s="12">
        <f t="shared" si="10"/>
        <v>30527.590997100182</v>
      </c>
      <c r="F115" s="12">
        <f t="shared" si="16"/>
        <v>9761.6955917586038</v>
      </c>
      <c r="G115" s="12">
        <f t="shared" si="16"/>
        <v>1206.5017023521884</v>
      </c>
      <c r="H115" s="9"/>
      <c r="I115" s="12">
        <f t="shared" si="12"/>
        <v>3392.2631059633222</v>
      </c>
      <c r="J115" s="12">
        <f t="shared" si="13"/>
        <v>832.77385596937245</v>
      </c>
      <c r="K115" s="12">
        <f t="shared" si="14"/>
        <v>102.92710579396748</v>
      </c>
    </row>
    <row r="116" spans="2:11" x14ac:dyDescent="0.25">
      <c r="B116" s="10">
        <v>112</v>
      </c>
      <c r="C116" s="11">
        <v>44003</v>
      </c>
      <c r="D116" s="12">
        <f t="shared" si="9"/>
        <v>393806.44287491858</v>
      </c>
      <c r="E116" s="12">
        <f t="shared" si="10"/>
        <v>33168.773464400729</v>
      </c>
      <c r="F116" s="12">
        <f t="shared" si="16"/>
        <v>10667.347458005908</v>
      </c>
      <c r="G116" s="12">
        <f t="shared" si="16"/>
        <v>1318.4362026748893</v>
      </c>
      <c r="H116" s="9"/>
      <c r="I116" s="12">
        <f t="shared" si="12"/>
        <v>3658.7688338705457</v>
      </c>
      <c r="J116" s="12">
        <f t="shared" si="13"/>
        <v>905.65186624730529</v>
      </c>
      <c r="K116" s="12">
        <f t="shared" si="14"/>
        <v>111.93450032270077</v>
      </c>
    </row>
    <row r="117" spans="2:11" x14ac:dyDescent="0.25">
      <c r="B117" s="10">
        <v>113</v>
      </c>
      <c r="C117" s="11">
        <v>44004</v>
      </c>
      <c r="D117" s="12">
        <f t="shared" si="9"/>
        <v>389866.7115369637</v>
      </c>
      <c r="E117" s="12">
        <f t="shared" si="10"/>
        <v>36002.879020208908</v>
      </c>
      <c r="F117" s="12">
        <f t="shared" si="16"/>
        <v>11651.354404116462</v>
      </c>
      <c r="G117" s="12">
        <f t="shared" si="16"/>
        <v>1440.0550387110254</v>
      </c>
      <c r="H117" s="9"/>
      <c r="I117" s="12">
        <f t="shared" si="12"/>
        <v>3939.7313379548636</v>
      </c>
      <c r="J117" s="12">
        <f t="shared" si="13"/>
        <v>984.00694611055485</v>
      </c>
      <c r="K117" s="12">
        <f t="shared" si="14"/>
        <v>121.61883603613612</v>
      </c>
    </row>
    <row r="118" spans="2:11" x14ac:dyDescent="0.25">
      <c r="B118" s="10">
        <v>114</v>
      </c>
      <c r="C118" s="11">
        <v>44005</v>
      </c>
      <c r="D118" s="12">
        <f t="shared" si="9"/>
        <v>385631.95478790283</v>
      </c>
      <c r="E118" s="12">
        <f t="shared" si="10"/>
        <v>39037.539801929466</v>
      </c>
      <c r="F118" s="12">
        <f t="shared" ref="F118:G133" si="17">F117+J118</f>
        <v>12719.439815049327</v>
      </c>
      <c r="G118" s="12">
        <f t="shared" si="17"/>
        <v>1572.0655951184581</v>
      </c>
      <c r="H118" s="9"/>
      <c r="I118" s="12">
        <f t="shared" si="12"/>
        <v>4234.7567490608571</v>
      </c>
      <c r="J118" s="12">
        <f t="shared" si="13"/>
        <v>1068.0854109328641</v>
      </c>
      <c r="K118" s="12">
        <f t="shared" si="14"/>
        <v>132.01055640743277</v>
      </c>
    </row>
    <row r="119" spans="2:11" x14ac:dyDescent="0.25">
      <c r="B119" s="10">
        <v>115</v>
      </c>
      <c r="C119" s="11">
        <v>44006</v>
      </c>
      <c r="D119" s="12">
        <f t="shared" si="9"/>
        <v>381088.75752987817</v>
      </c>
      <c r="E119" s="12">
        <f t="shared" si="10"/>
        <v>42279.485733223133</v>
      </c>
      <c r="F119" s="12">
        <f t="shared" si="17"/>
        <v>13877.5534958399</v>
      </c>
      <c r="G119" s="12">
        <f t="shared" si="17"/>
        <v>1715.2032410588663</v>
      </c>
      <c r="H119" s="9"/>
      <c r="I119" s="12">
        <f t="shared" si="12"/>
        <v>4543.197258024642</v>
      </c>
      <c r="J119" s="12">
        <f t="shared" si="13"/>
        <v>1158.1136807905741</v>
      </c>
      <c r="K119" s="12">
        <f t="shared" si="14"/>
        <v>143.13764594040816</v>
      </c>
    </row>
    <row r="120" spans="2:11" x14ac:dyDescent="0.25">
      <c r="B120" s="10">
        <v>116</v>
      </c>
      <c r="C120" s="11">
        <v>44007</v>
      </c>
      <c r="D120" s="12">
        <f t="shared" si="9"/>
        <v>376224.63931888802</v>
      </c>
      <c r="E120" s="12">
        <f t="shared" si="10"/>
        <v>45734.287753105833</v>
      </c>
      <c r="F120" s="12">
        <f t="shared" si="17"/>
        <v>15131.84490592552</v>
      </c>
      <c r="G120" s="12">
        <f t="shared" si="17"/>
        <v>1870.2280220806847</v>
      </c>
      <c r="H120" s="9"/>
      <c r="I120" s="12">
        <f t="shared" si="12"/>
        <v>4864.118210990142</v>
      </c>
      <c r="J120" s="12">
        <f t="shared" si="13"/>
        <v>1254.2914100856194</v>
      </c>
      <c r="K120" s="12">
        <f t="shared" si="14"/>
        <v>155.02478102181831</v>
      </c>
    </row>
    <row r="121" spans="2:11" x14ac:dyDescent="0.25">
      <c r="B121" s="10">
        <v>117</v>
      </c>
      <c r="C121" s="11">
        <v>44008</v>
      </c>
      <c r="D121" s="12">
        <f t="shared" si="9"/>
        <v>371028.37244181475</v>
      </c>
      <c r="E121" s="12">
        <f t="shared" si="10"/>
        <v>49406.078371742224</v>
      </c>
      <c r="F121" s="12">
        <f t="shared" si="17"/>
        <v>16488.628775934325</v>
      </c>
      <c r="G121" s="12">
        <f t="shared" si="17"/>
        <v>2037.9204105087397</v>
      </c>
      <c r="H121" s="9"/>
      <c r="I121" s="12">
        <f t="shared" si="12"/>
        <v>5196.2668770732516</v>
      </c>
      <c r="J121" s="12">
        <f t="shared" si="13"/>
        <v>1356.7838700088062</v>
      </c>
      <c r="K121" s="12">
        <f t="shared" si="14"/>
        <v>167.69238842805487</v>
      </c>
    </row>
    <row r="122" spans="2:11" x14ac:dyDescent="0.25">
      <c r="B122" s="10">
        <v>118</v>
      </c>
      <c r="C122" s="11">
        <v>44009</v>
      </c>
      <c r="D122" s="12">
        <f t="shared" si="9"/>
        <v>365490.32783662371</v>
      </c>
      <c r="E122" s="12">
        <f t="shared" si="10"/>
        <v>53297.253697875181</v>
      </c>
      <c r="F122" s="12">
        <f t="shared" si="17"/>
        <v>17954.34243429601</v>
      </c>
      <c r="G122" s="12">
        <f t="shared" si="17"/>
        <v>2219.0760312051279</v>
      </c>
      <c r="H122" s="9"/>
      <c r="I122" s="12">
        <f t="shared" si="12"/>
        <v>5538.044605191034</v>
      </c>
      <c r="J122" s="12">
        <f t="shared" si="13"/>
        <v>1465.7136583616857</v>
      </c>
      <c r="K122" s="12">
        <f t="shared" si="14"/>
        <v>181.15562069638833</v>
      </c>
    </row>
    <row r="123" spans="2:11" x14ac:dyDescent="0.25">
      <c r="B123" s="10">
        <v>119</v>
      </c>
      <c r="C123" s="11">
        <v>44010</v>
      </c>
      <c r="D123" s="12">
        <f t="shared" si="9"/>
        <v>359602.84345551574</v>
      </c>
      <c r="E123" s="12">
        <f t="shared" si="10"/>
        <v>57408.162955720611</v>
      </c>
      <c r="F123" s="12">
        <f t="shared" si="17"/>
        <v>19535.49429399964</v>
      </c>
      <c r="G123" s="12">
        <f t="shared" si="17"/>
        <v>2414.4992947640039</v>
      </c>
      <c r="H123" s="9"/>
      <c r="I123" s="12">
        <f t="shared" si="12"/>
        <v>5887.4843811079372</v>
      </c>
      <c r="J123" s="12">
        <f t="shared" si="13"/>
        <v>1581.1518597036302</v>
      </c>
      <c r="K123" s="12">
        <f t="shared" si="14"/>
        <v>195.42326355887585</v>
      </c>
    </row>
    <row r="124" spans="2:11" x14ac:dyDescent="0.25">
      <c r="B124" s="10">
        <v>120</v>
      </c>
      <c r="C124" s="11">
        <v>44011</v>
      </c>
      <c r="D124" s="12">
        <f t="shared" si="9"/>
        <v>353360.60741512338</v>
      </c>
      <c r="E124" s="12">
        <f t="shared" si="10"/>
        <v>61736.793564255604</v>
      </c>
      <c r="F124" s="12">
        <f t="shared" si="17"/>
        <v>21238.603128352686</v>
      </c>
      <c r="G124" s="12">
        <f t="shared" si="17"/>
        <v>2624.9958922683131</v>
      </c>
      <c r="H124" s="9"/>
      <c r="I124" s="12">
        <f t="shared" si="12"/>
        <v>6242.2360403923431</v>
      </c>
      <c r="J124" s="12">
        <f t="shared" si="13"/>
        <v>1703.1088343530448</v>
      </c>
      <c r="K124" s="12">
        <f t="shared" si="14"/>
        <v>210.49659750430911</v>
      </c>
    </row>
    <row r="125" spans="2:11" x14ac:dyDescent="0.25">
      <c r="B125" s="10">
        <v>121</v>
      </c>
      <c r="C125" s="13">
        <v>44012</v>
      </c>
      <c r="D125" s="12">
        <f t="shared" si="9"/>
        <v>346761.04586571467</v>
      </c>
      <c r="E125" s="12">
        <f t="shared" si="10"/>
        <v>66278.461994855781</v>
      </c>
      <c r="F125" s="12">
        <f t="shared" si="17"/>
        <v>23070.128004092268</v>
      </c>
      <c r="G125" s="12">
        <f t="shared" si="17"/>
        <v>2851.3641353372504</v>
      </c>
      <c r="H125" s="9"/>
      <c r="I125" s="12">
        <f t="shared" si="12"/>
        <v>6599.5615494086996</v>
      </c>
      <c r="J125" s="12">
        <f t="shared" si="13"/>
        <v>1831.5248757395827</v>
      </c>
      <c r="K125" s="12">
        <f t="shared" si="14"/>
        <v>226.3682430689374</v>
      </c>
    </row>
    <row r="126" spans="2:11" x14ac:dyDescent="0.25">
      <c r="B126" s="10">
        <v>122</v>
      </c>
      <c r="C126" s="11">
        <v>44013</v>
      </c>
      <c r="D126" s="12">
        <f t="shared" si="9"/>
        <v>339804.70307464915</v>
      </c>
      <c r="E126" s="12">
        <f t="shared" si="10"/>
        <v>71025.522719426095</v>
      </c>
      <c r="F126" s="12">
        <f t="shared" si="17"/>
        <v>25036.38904327299</v>
      </c>
      <c r="G126" s="12">
        <f t="shared" si="17"/>
        <v>3094.3851626517217</v>
      </c>
      <c r="H126" s="9"/>
      <c r="I126" s="12">
        <f t="shared" si="12"/>
        <v>6956.3427910655128</v>
      </c>
      <c r="J126" s="12">
        <f t="shared" si="13"/>
        <v>1966.2610391807214</v>
      </c>
      <c r="K126" s="12">
        <f t="shared" si="14"/>
        <v>243.02102731447141</v>
      </c>
    </row>
    <row r="127" spans="2:11" x14ac:dyDescent="0.25">
      <c r="B127" s="10">
        <v>123</v>
      </c>
      <c r="C127" s="11">
        <v>44014</v>
      </c>
      <c r="D127" s="12">
        <f t="shared" si="9"/>
        <v>332495.59893484903</v>
      </c>
      <c r="E127" s="12">
        <f t="shared" si="10"/>
        <v>75967.109435245322</v>
      </c>
      <c r="F127" s="12">
        <f t="shared" si="17"/>
        <v>27143.479550615964</v>
      </c>
      <c r="G127" s="12">
        <f t="shared" si="17"/>
        <v>3354.8120792896175</v>
      </c>
      <c r="H127" s="9"/>
      <c r="I127" s="12">
        <f t="shared" si="12"/>
        <v>7309.1041398000962</v>
      </c>
      <c r="J127" s="12">
        <f t="shared" si="13"/>
        <v>2107.090507342974</v>
      </c>
      <c r="K127" s="12">
        <f t="shared" si="14"/>
        <v>260.42691663789594</v>
      </c>
    </row>
    <row r="128" spans="2:11" x14ac:dyDescent="0.25">
      <c r="B128" s="10">
        <v>124</v>
      </c>
      <c r="C128" s="11">
        <v>44015</v>
      </c>
      <c r="D128" s="12">
        <f t="shared" si="9"/>
        <v>324841.54719456093</v>
      </c>
      <c r="E128" s="12">
        <f t="shared" si="10"/>
        <v>81088.924194358609</v>
      </c>
      <c r="F128" s="12">
        <f t="shared" si="17"/>
        <v>29397.170463861577</v>
      </c>
      <c r="G128" s="12">
        <f t="shared" si="17"/>
        <v>3633.3581472188507</v>
      </c>
      <c r="H128" s="9"/>
      <c r="I128" s="12">
        <f t="shared" si="12"/>
        <v>7654.0517402881214</v>
      </c>
      <c r="J128" s="12">
        <f t="shared" si="13"/>
        <v>2253.6909132456112</v>
      </c>
      <c r="K128" s="12">
        <f t="shared" si="14"/>
        <v>278.54606792923306</v>
      </c>
    </row>
    <row r="129" spans="2:11" x14ac:dyDescent="0.25">
      <c r="B129" s="10">
        <v>125</v>
      </c>
      <c r="C129" s="11">
        <v>44016</v>
      </c>
      <c r="D129" s="12">
        <f t="shared" si="9"/>
        <v>316854.41640767636</v>
      </c>
      <c r="E129" s="12">
        <f t="shared" si="10"/>
        <v>86373.090841431229</v>
      </c>
      <c r="F129" s="12">
        <f t="shared" si="17"/>
        <v>31802.808548294215</v>
      </c>
      <c r="G129" s="12">
        <f t="shared" si="17"/>
        <v>3930.6842025981659</v>
      </c>
      <c r="H129" s="9"/>
      <c r="I129" s="12">
        <f t="shared" si="12"/>
        <v>7987.1307868845652</v>
      </c>
      <c r="J129" s="12">
        <f t="shared" si="13"/>
        <v>2405.6380844326386</v>
      </c>
      <c r="K129" s="12">
        <f t="shared" si="14"/>
        <v>297.32605537931516</v>
      </c>
    </row>
    <row r="130" spans="2:11" x14ac:dyDescent="0.25">
      <c r="B130" s="10">
        <v>126</v>
      </c>
      <c r="C130" s="11">
        <v>44017</v>
      </c>
      <c r="D130" s="12">
        <f t="shared" si="9"/>
        <v>308550.31518220744</v>
      </c>
      <c r="E130" s="12">
        <f t="shared" si="10"/>
        <v>91798.089038852442</v>
      </c>
      <c r="F130" s="12">
        <f t="shared" si="17"/>
        <v>34365.210243256675</v>
      </c>
      <c r="G130" s="12">
        <f t="shared" si="17"/>
        <v>4247.3855356834138</v>
      </c>
      <c r="H130" s="9"/>
      <c r="I130" s="12">
        <f t="shared" si="12"/>
        <v>8304.1012254689213</v>
      </c>
      <c r="J130" s="12">
        <f t="shared" si="13"/>
        <v>2562.4016949624593</v>
      </c>
      <c r="K130" s="12">
        <f t="shared" si="14"/>
        <v>316.70133308524811</v>
      </c>
    </row>
    <row r="131" spans="2:11" x14ac:dyDescent="0.25">
      <c r="B131" s="10">
        <v>127</v>
      </c>
      <c r="C131" s="11">
        <v>44018</v>
      </c>
      <c r="D131" s="12">
        <f t="shared" si="9"/>
        <v>299949.68399883067</v>
      </c>
      <c r="E131" s="12">
        <f t="shared" si="10"/>
        <v>97338.783920934118</v>
      </c>
      <c r="F131" s="12">
        <f t="shared" si="17"/>
        <v>37088.553551409299</v>
      </c>
      <c r="G131" s="12">
        <f t="shared" si="17"/>
        <v>4583.9785288258727</v>
      </c>
      <c r="H131" s="9"/>
      <c r="I131" s="12">
        <f t="shared" si="12"/>
        <v>8600.6311833767504</v>
      </c>
      <c r="J131" s="12">
        <f t="shared" si="13"/>
        <v>2723.3433081526223</v>
      </c>
      <c r="K131" s="12">
        <f t="shared" si="14"/>
        <v>336.59299314245925</v>
      </c>
    </row>
    <row r="132" spans="2:11" x14ac:dyDescent="0.25">
      <c r="B132" s="10">
        <v>128</v>
      </c>
      <c r="C132" s="11">
        <v>44019</v>
      </c>
      <c r="D132" s="12">
        <f t="shared" si="9"/>
        <v>291077.27787101141</v>
      </c>
      <c r="E132" s="12">
        <f t="shared" si="10"/>
        <v>102966.56391805559</v>
      </c>
      <c r="F132" s="12">
        <f t="shared" si="17"/>
        <v>39976.270807730347</v>
      </c>
      <c r="G132" s="12">
        <f t="shared" si="17"/>
        <v>4940.8874032026315</v>
      </c>
      <c r="H132" s="9"/>
      <c r="I132" s="12">
        <f t="shared" si="12"/>
        <v>8872.4061278192839</v>
      </c>
      <c r="J132" s="12">
        <f t="shared" si="13"/>
        <v>2887.7172563210452</v>
      </c>
      <c r="K132" s="12">
        <f t="shared" si="14"/>
        <v>356.90887437675877</v>
      </c>
    </row>
    <row r="133" spans="2:11" x14ac:dyDescent="0.25">
      <c r="B133" s="10">
        <v>129</v>
      </c>
      <c r="C133" s="11">
        <v>44020</v>
      </c>
      <c r="D133" s="12">
        <f t="shared" si="9"/>
        <v>281962.02752370969</v>
      </c>
      <c r="E133" s="12">
        <f t="shared" si="10"/>
        <v>108649.59546808878</v>
      </c>
      <c r="F133" s="12">
        <f t="shared" si="17"/>
        <v>43030.945537299332</v>
      </c>
      <c r="G133" s="12">
        <f t="shared" si="17"/>
        <v>5318.4314709021692</v>
      </c>
      <c r="H133" s="9"/>
      <c r="I133" s="12">
        <f t="shared" si="12"/>
        <v>9115.2503473017096</v>
      </c>
      <c r="J133" s="12">
        <f t="shared" si="13"/>
        <v>3054.6747295689825</v>
      </c>
      <c r="K133" s="12">
        <f t="shared" si="14"/>
        <v>377.54406769953749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272636.7715559022</v>
      </c>
      <c r="E134" s="12">
        <f t="shared" ref="E134:E197" si="19">E133+I134-J134-K134</f>
        <v>114353.19825362664</v>
      </c>
      <c r="F134" s="12">
        <f t="shared" ref="F134:G149" si="20">F133+J134</f>
        <v>46254.216869519296</v>
      </c>
      <c r="G134" s="12">
        <f t="shared" si="20"/>
        <v>5716.8133209518282</v>
      </c>
      <c r="H134" s="9"/>
      <c r="I134" s="12">
        <f t="shared" ref="I134:I197" si="21">E133*N$6*D133/SUM(D133:F133)*N$7</f>
        <v>9325.2559678074922</v>
      </c>
      <c r="J134" s="12">
        <f t="shared" ref="J134:J197" si="22">E133*N$8/N$5</f>
        <v>3223.2713322199666</v>
      </c>
      <c r="K134" s="12">
        <f t="shared" ref="K134:K197" si="23">E133*N$9/N$5</f>
        <v>398.38185004965919</v>
      </c>
    </row>
    <row r="135" spans="2:11" x14ac:dyDescent="0.25">
      <c r="B135" s="10">
        <v>131</v>
      </c>
      <c r="C135" s="11">
        <v>44022</v>
      </c>
      <c r="D135" s="12">
        <f t="shared" si="18"/>
        <v>263137.85805013019</v>
      </c>
      <c r="E135" s="12">
        <f t="shared" si="19"/>
        <v>120040.33848427779</v>
      </c>
      <c r="F135" s="12">
        <f t="shared" si="20"/>
        <v>49646.695084376886</v>
      </c>
      <c r="G135" s="12">
        <f t="shared" si="20"/>
        <v>6136.1083812151264</v>
      </c>
      <c r="H135" s="9"/>
      <c r="I135" s="12">
        <f t="shared" si="21"/>
        <v>9498.913505772025</v>
      </c>
      <c r="J135" s="12">
        <f t="shared" si="22"/>
        <v>3392.47821485759</v>
      </c>
      <c r="K135" s="12">
        <f t="shared" si="23"/>
        <v>419.29506026329807</v>
      </c>
    </row>
    <row r="136" spans="2:11" x14ac:dyDescent="0.25">
      <c r="B136" s="10">
        <v>132</v>
      </c>
      <c r="C136" s="11">
        <v>44023</v>
      </c>
      <c r="D136" s="12">
        <f t="shared" si="18"/>
        <v>253504.6209671378</v>
      </c>
      <c r="E136" s="12">
        <f t="shared" si="19"/>
        <v>125672.2309511276</v>
      </c>
      <c r="F136" s="12">
        <f t="shared" si="20"/>
        <v>53207.891792743794</v>
      </c>
      <c r="G136" s="12">
        <f t="shared" si="20"/>
        <v>6576.2562889908122</v>
      </c>
      <c r="H136" s="9"/>
      <c r="I136" s="12">
        <f t="shared" si="21"/>
        <v>9633.2370829923948</v>
      </c>
      <c r="J136" s="12">
        <f t="shared" si="22"/>
        <v>3561.1967083669074</v>
      </c>
      <c r="K136" s="12">
        <f t="shared" si="23"/>
        <v>440.14790777568561</v>
      </c>
    </row>
    <row r="137" spans="2:11" x14ac:dyDescent="0.25">
      <c r="B137" s="10">
        <v>133</v>
      </c>
      <c r="C137" s="11">
        <v>44024</v>
      </c>
      <c r="D137" s="12">
        <f t="shared" si="18"/>
        <v>243778.74393458868</v>
      </c>
      <c r="E137" s="12">
        <f t="shared" si="19"/>
        <v>131209.03361863911</v>
      </c>
      <c r="F137" s="12">
        <f t="shared" si="20"/>
        <v>56936.167977627243</v>
      </c>
      <c r="G137" s="12">
        <f t="shared" si="20"/>
        <v>7037.0544691449468</v>
      </c>
      <c r="H137" s="9"/>
      <c r="I137" s="12">
        <f t="shared" si="21"/>
        <v>9725.8770325491314</v>
      </c>
      <c r="J137" s="12">
        <f t="shared" si="22"/>
        <v>3728.2761848834516</v>
      </c>
      <c r="K137" s="12">
        <f t="shared" si="23"/>
        <v>460.79818015413491</v>
      </c>
    </row>
    <row r="138" spans="2:11" x14ac:dyDescent="0.25">
      <c r="B138" s="10">
        <v>134</v>
      </c>
      <c r="C138" s="11">
        <v>44025</v>
      </c>
      <c r="D138" s="12">
        <f t="shared" si="18"/>
        <v>234003.53111390883</v>
      </c>
      <c r="E138" s="12">
        <f t="shared" si="19"/>
        <v>136610.61198536432</v>
      </c>
      <c r="F138" s="12">
        <f t="shared" si="20"/>
        <v>60828.702641646873</v>
      </c>
      <c r="G138" s="12">
        <f t="shared" si="20"/>
        <v>7518.1542590799572</v>
      </c>
      <c r="H138" s="9"/>
      <c r="I138" s="12">
        <f t="shared" si="21"/>
        <v>9775.2128206798625</v>
      </c>
      <c r="J138" s="12">
        <f t="shared" si="22"/>
        <v>3892.5346640196267</v>
      </c>
      <c r="K138" s="12">
        <f t="shared" si="23"/>
        <v>481.09978993501051</v>
      </c>
    </row>
    <row r="139" spans="2:11" x14ac:dyDescent="0.25">
      <c r="B139" s="10">
        <v>135</v>
      </c>
      <c r="C139" s="11">
        <v>44026</v>
      </c>
      <c r="D139" s="12">
        <f t="shared" si="18"/>
        <v>224223.11106562905</v>
      </c>
      <c r="E139" s="12">
        <f t="shared" si="19"/>
        <v>141837.34496746529</v>
      </c>
      <c r="F139" s="12">
        <f t="shared" si="20"/>
        <v>64881.484130546014</v>
      </c>
      <c r="G139" s="12">
        <f t="shared" si="20"/>
        <v>8019.0598363596264</v>
      </c>
      <c r="H139" s="9"/>
      <c r="I139" s="12">
        <f t="shared" si="21"/>
        <v>9780.4200482797623</v>
      </c>
      <c r="J139" s="12">
        <f t="shared" si="22"/>
        <v>4052.7814888991411</v>
      </c>
      <c r="K139" s="12">
        <f t="shared" si="23"/>
        <v>500.90557727966956</v>
      </c>
    </row>
    <row r="140" spans="2:11" x14ac:dyDescent="0.25">
      <c r="B140" s="10">
        <v>136</v>
      </c>
      <c r="C140" s="11">
        <v>44027</v>
      </c>
      <c r="D140" s="12">
        <f t="shared" si="18"/>
        <v>214481.6043143486</v>
      </c>
      <c r="E140" s="12">
        <f t="shared" si="19"/>
        <v>146850.94021983023</v>
      </c>
      <c r="F140" s="12">
        <f t="shared" si="20"/>
        <v>69089.325364580814</v>
      </c>
      <c r="G140" s="12">
        <f t="shared" si="20"/>
        <v>8539.1301012403328</v>
      </c>
      <c r="H140" s="9"/>
      <c r="I140" s="12">
        <f t="shared" si="21"/>
        <v>9741.5067512804471</v>
      </c>
      <c r="J140" s="12">
        <f t="shared" si="22"/>
        <v>4207.8412340348032</v>
      </c>
      <c r="K140" s="12">
        <f t="shared" si="23"/>
        <v>520.07026488070653</v>
      </c>
    </row>
    <row r="141" spans="2:11" x14ac:dyDescent="0.25">
      <c r="B141" s="10">
        <v>137</v>
      </c>
      <c r="C141" s="11">
        <v>44028</v>
      </c>
      <c r="D141" s="12">
        <f t="shared" si="18"/>
        <v>204822.28813129937</v>
      </c>
      <c r="E141" s="12">
        <f t="shared" si="19"/>
        <v>151615.22506221844</v>
      </c>
      <c r="F141" s="12">
        <f t="shared" si="20"/>
        <v>73445.90325776911</v>
      </c>
      <c r="G141" s="12">
        <f t="shared" si="20"/>
        <v>9077.5835487130444</v>
      </c>
      <c r="H141" s="9"/>
      <c r="I141" s="12">
        <f t="shared" si="21"/>
        <v>9659.3161830492299</v>
      </c>
      <c r="J141" s="12">
        <f t="shared" si="22"/>
        <v>4356.5778931882969</v>
      </c>
      <c r="K141" s="12">
        <f t="shared" si="23"/>
        <v>538.45344747271133</v>
      </c>
    </row>
    <row r="142" spans="2:11" x14ac:dyDescent="0.25">
      <c r="B142" s="10">
        <v>138</v>
      </c>
      <c r="C142" s="11">
        <v>44029</v>
      </c>
      <c r="D142" s="12">
        <f t="shared" si="18"/>
        <v>195286.79257967649</v>
      </c>
      <c r="E142" s="12">
        <f t="shared" si="19"/>
        <v>156096.87977843403</v>
      </c>
      <c r="F142" s="12">
        <f t="shared" si="20"/>
        <v>77943.821601281597</v>
      </c>
      <c r="G142" s="12">
        <f t="shared" si="20"/>
        <v>9633.5060406078464</v>
      </c>
      <c r="H142" s="9"/>
      <c r="I142" s="12">
        <f t="shared" si="21"/>
        <v>9535.4955516228674</v>
      </c>
      <c r="J142" s="12">
        <f t="shared" si="22"/>
        <v>4497.9183435124805</v>
      </c>
      <c r="K142" s="12">
        <f t="shared" si="23"/>
        <v>555.92249189480151</v>
      </c>
    </row>
    <row r="143" spans="2:11" x14ac:dyDescent="0.25">
      <c r="B143" s="10">
        <v>139</v>
      </c>
      <c r="C143" s="11">
        <v>44030</v>
      </c>
      <c r="D143" s="12">
        <f t="shared" si="18"/>
        <v>185914.36001373606</v>
      </c>
      <c r="E143" s="12">
        <f t="shared" si="19"/>
        <v>160266.08301842664</v>
      </c>
      <c r="F143" s="12">
        <f t="shared" si="20"/>
        <v>82574.695701375138</v>
      </c>
      <c r="G143" s="12">
        <f t="shared" si="20"/>
        <v>10205.861266462105</v>
      </c>
      <c r="H143" s="9"/>
      <c r="I143" s="12">
        <f t="shared" si="21"/>
        <v>9372.4325659404276</v>
      </c>
      <c r="J143" s="12">
        <f t="shared" si="22"/>
        <v>4630.8741000935424</v>
      </c>
      <c r="K143" s="12">
        <f t="shared" si="23"/>
        <v>572.35522585425861</v>
      </c>
    </row>
    <row r="144" spans="2:11" x14ac:dyDescent="0.25">
      <c r="B144" s="10">
        <v>140</v>
      </c>
      <c r="C144" s="11">
        <v>44031</v>
      </c>
      <c r="D144" s="12">
        <f t="shared" si="18"/>
        <v>176741.19614811733</v>
      </c>
      <c r="E144" s="12">
        <f t="shared" si="19"/>
        <v>164097.0441167645</v>
      </c>
      <c r="F144" s="12">
        <f t="shared" si="20"/>
        <v>87329.25616425513</v>
      </c>
      <c r="G144" s="12">
        <f t="shared" si="20"/>
        <v>10793.503570863004</v>
      </c>
      <c r="H144" s="9"/>
      <c r="I144" s="12">
        <f t="shared" si="21"/>
        <v>9173.1638656187406</v>
      </c>
      <c r="J144" s="12">
        <f t="shared" si="22"/>
        <v>4754.5604628799902</v>
      </c>
      <c r="K144" s="12">
        <f t="shared" si="23"/>
        <v>587.64230440089818</v>
      </c>
    </row>
    <row r="145" spans="2:11" x14ac:dyDescent="0.25">
      <c r="B145" s="10">
        <v>141</v>
      </c>
      <c r="C145" s="11">
        <v>44032</v>
      </c>
      <c r="D145" s="12">
        <f t="shared" si="18"/>
        <v>167799.9349135423</v>
      </c>
      <c r="E145" s="12">
        <f t="shared" si="19"/>
        <v>167568.40388078074</v>
      </c>
      <c r="F145" s="12">
        <f t="shared" si="20"/>
        <v>92197.468473052475</v>
      </c>
      <c r="G145" s="12">
        <f t="shared" si="20"/>
        <v>11395.192732624475</v>
      </c>
      <c r="H145" s="9"/>
      <c r="I145" s="12">
        <f t="shared" si="21"/>
        <v>8941.2612345750367</v>
      </c>
      <c r="J145" s="12">
        <f t="shared" si="22"/>
        <v>4868.2123087973459</v>
      </c>
      <c r="K145" s="12">
        <f t="shared" si="23"/>
        <v>601.68916176147047</v>
      </c>
    </row>
    <row r="146" spans="2:11" x14ac:dyDescent="0.25">
      <c r="B146" s="10">
        <v>142</v>
      </c>
      <c r="C146" s="11">
        <v>44033</v>
      </c>
      <c r="D146" s="12">
        <f t="shared" si="18"/>
        <v>159119.23216355024</v>
      </c>
      <c r="E146" s="12">
        <f t="shared" si="19"/>
        <v>170663.49316808011</v>
      </c>
      <c r="F146" s="12">
        <f t="shared" si="20"/>
        <v>97168.664454848971</v>
      </c>
      <c r="G146" s="12">
        <f t="shared" si="20"/>
        <v>12009.610213520671</v>
      </c>
      <c r="H146" s="9"/>
      <c r="I146" s="12">
        <f t="shared" si="21"/>
        <v>8680.7027499920459</v>
      </c>
      <c r="J146" s="12">
        <f t="shared" si="22"/>
        <v>4971.1959817964944</v>
      </c>
      <c r="K146" s="12">
        <f t="shared" si="23"/>
        <v>614.41748089619659</v>
      </c>
    </row>
    <row r="147" spans="2:11" x14ac:dyDescent="0.25">
      <c r="B147" s="10">
        <v>143</v>
      </c>
      <c r="C147" s="11">
        <v>44034</v>
      </c>
      <c r="D147" s="12">
        <f t="shared" si="18"/>
        <v>150723.49557012162</v>
      </c>
      <c r="E147" s="12">
        <f t="shared" si="19"/>
        <v>173370.44665590604</v>
      </c>
      <c r="F147" s="12">
        <f t="shared" si="20"/>
        <v>102231.68141883535</v>
      </c>
      <c r="G147" s="12">
        <f t="shared" si="20"/>
        <v>12635.376355136965</v>
      </c>
      <c r="H147" s="9"/>
      <c r="I147" s="12">
        <f t="shared" si="21"/>
        <v>8395.7365934286336</v>
      </c>
      <c r="J147" s="12">
        <f t="shared" si="22"/>
        <v>5063.0169639863761</v>
      </c>
      <c r="K147" s="12">
        <f t="shared" si="23"/>
        <v>625.76614161629425</v>
      </c>
    </row>
    <row r="148" spans="2:11" x14ac:dyDescent="0.25">
      <c r="B148" s="10">
        <v>144</v>
      </c>
      <c r="C148" s="11">
        <v>44035</v>
      </c>
      <c r="D148" s="12">
        <f t="shared" si="18"/>
        <v>142632.75043189491</v>
      </c>
      <c r="E148" s="12">
        <f t="shared" si="19"/>
        <v>175682.17690560257</v>
      </c>
      <c r="F148" s="12">
        <f t="shared" si="20"/>
        <v>107375.00466962722</v>
      </c>
      <c r="G148" s="12">
        <f t="shared" si="20"/>
        <v>13271.067992875287</v>
      </c>
      <c r="H148" s="9"/>
      <c r="I148" s="12">
        <f t="shared" si="21"/>
        <v>8090.7451382267263</v>
      </c>
      <c r="J148" s="12">
        <f t="shared" si="22"/>
        <v>5143.3232507918783</v>
      </c>
      <c r="K148" s="12">
        <f t="shared" si="23"/>
        <v>635.6916377383227</v>
      </c>
    </row>
    <row r="149" spans="2:11" x14ac:dyDescent="0.25">
      <c r="B149" s="10">
        <v>145</v>
      </c>
      <c r="C149" s="11">
        <v>44036</v>
      </c>
      <c r="D149" s="12">
        <f t="shared" si="18"/>
        <v>134862.63423299781</v>
      </c>
      <c r="E149" s="12">
        <f t="shared" si="19"/>
        <v>177596.22054097959</v>
      </c>
      <c r="F149" s="12">
        <f t="shared" si="20"/>
        <v>112586.90925116009</v>
      </c>
      <c r="G149" s="12">
        <f t="shared" si="20"/>
        <v>13915.235974862497</v>
      </c>
      <c r="H149" s="9"/>
      <c r="I149" s="12">
        <f t="shared" si="21"/>
        <v>7770.1161988970998</v>
      </c>
      <c r="J149" s="12">
        <f t="shared" si="22"/>
        <v>5211.9045815328755</v>
      </c>
      <c r="K149" s="12">
        <f t="shared" si="23"/>
        <v>644.16798198720994</v>
      </c>
    </row>
    <row r="150" spans="2:11" x14ac:dyDescent="0.25">
      <c r="B150" s="10">
        <v>146</v>
      </c>
      <c r="C150" s="11">
        <v>44037</v>
      </c>
      <c r="D150" s="12">
        <f t="shared" si="18"/>
        <v>127424.50711115098</v>
      </c>
      <c r="E150" s="12">
        <f t="shared" si="19"/>
        <v>179114.47364479376</v>
      </c>
      <c r="F150" s="12">
        <f t="shared" ref="F150:G165" si="24">F149+J150</f>
        <v>117855.59712720916</v>
      </c>
      <c r="G150" s="12">
        <f t="shared" si="24"/>
        <v>14566.42211684609</v>
      </c>
      <c r="H150" s="9"/>
      <c r="I150" s="12">
        <f t="shared" si="21"/>
        <v>7438.1271218468337</v>
      </c>
      <c r="J150" s="12">
        <f t="shared" si="22"/>
        <v>5268.6878760490608</v>
      </c>
      <c r="K150" s="12">
        <f t="shared" si="23"/>
        <v>651.18614198359239</v>
      </c>
    </row>
    <row r="151" spans="2:11" x14ac:dyDescent="0.25">
      <c r="B151" s="10">
        <v>147</v>
      </c>
      <c r="C151" s="11">
        <v>44038</v>
      </c>
      <c r="D151" s="12">
        <f t="shared" si="18"/>
        <v>120325.66122166194</v>
      </c>
      <c r="E151" s="12">
        <f t="shared" si="19"/>
        <v>180242.83707945634</v>
      </c>
      <c r="F151" s="12">
        <f t="shared" si="24"/>
        <v>123169.3265120047</v>
      </c>
      <c r="G151" s="12">
        <f t="shared" si="24"/>
        <v>15223.175186877001</v>
      </c>
      <c r="H151" s="9"/>
      <c r="I151" s="12">
        <f t="shared" si="21"/>
        <v>7098.8458894890409</v>
      </c>
      <c r="J151" s="12">
        <f t="shared" si="22"/>
        <v>5313.729384795547</v>
      </c>
      <c r="K151" s="12">
        <f t="shared" si="23"/>
        <v>656.75307003091098</v>
      </c>
    </row>
    <row r="152" spans="2:11" x14ac:dyDescent="0.25">
      <c r="B152" s="10">
        <v>148</v>
      </c>
      <c r="C152" s="11">
        <v>44039</v>
      </c>
      <c r="D152" s="12">
        <f t="shared" si="18"/>
        <v>113569.60943389987</v>
      </c>
      <c r="E152" s="12">
        <f t="shared" si="19"/>
        <v>180990.79429790319</v>
      </c>
      <c r="F152" s="12">
        <f t="shared" si="24"/>
        <v>128516.53067869524</v>
      </c>
      <c r="G152" s="12">
        <f t="shared" si="24"/>
        <v>15884.065589501675</v>
      </c>
      <c r="H152" s="9"/>
      <c r="I152" s="12">
        <f t="shared" si="21"/>
        <v>6756.0517877620714</v>
      </c>
      <c r="J152" s="12">
        <f t="shared" si="22"/>
        <v>5347.2041666905379</v>
      </c>
      <c r="K152" s="12">
        <f t="shared" si="23"/>
        <v>660.89040262467392</v>
      </c>
    </row>
    <row r="153" spans="2:11" x14ac:dyDescent="0.25">
      <c r="B153" s="10">
        <v>149</v>
      </c>
      <c r="C153" s="11">
        <v>44040</v>
      </c>
      <c r="D153" s="12">
        <f t="shared" si="18"/>
        <v>107156.43281400115</v>
      </c>
      <c r="E153" s="12">
        <f t="shared" si="19"/>
        <v>181370.94444120515</v>
      </c>
      <c r="F153" s="12">
        <f t="shared" si="24"/>
        <v>133885.92424286637</v>
      </c>
      <c r="G153" s="12">
        <f t="shared" si="24"/>
        <v>16547.69850192732</v>
      </c>
      <c r="H153" s="9"/>
      <c r="I153" s="12">
        <f t="shared" si="21"/>
        <v>6413.1766198987198</v>
      </c>
      <c r="J153" s="12">
        <f t="shared" si="22"/>
        <v>5369.3935641711278</v>
      </c>
      <c r="K153" s="12">
        <f t="shared" si="23"/>
        <v>663.63291242564571</v>
      </c>
    </row>
    <row r="154" spans="2:11" x14ac:dyDescent="0.25">
      <c r="B154" s="10">
        <v>150</v>
      </c>
      <c r="C154" s="11">
        <v>44041</v>
      </c>
      <c r="D154" s="12">
        <f t="shared" si="18"/>
        <v>101083.16674339677</v>
      </c>
      <c r="E154" s="12">
        <f t="shared" si="19"/>
        <v>181398.51236376935</v>
      </c>
      <c r="F154" s="12">
        <f t="shared" si="24"/>
        <v>139266.59559462214</v>
      </c>
      <c r="G154" s="12">
        <f t="shared" si="24"/>
        <v>17212.725298211739</v>
      </c>
      <c r="H154" s="9"/>
      <c r="I154" s="12">
        <f t="shared" si="21"/>
        <v>6073.2660706043798</v>
      </c>
      <c r="J154" s="12">
        <f t="shared" si="22"/>
        <v>5380.6713517557519</v>
      </c>
      <c r="K154" s="12">
        <f t="shared" si="23"/>
        <v>665.02679628441945</v>
      </c>
    </row>
    <row r="155" spans="2:11" x14ac:dyDescent="0.25">
      <c r="B155" s="10">
        <v>151</v>
      </c>
      <c r="C155" s="11">
        <v>44042</v>
      </c>
      <c r="D155" s="12">
        <f t="shared" si="18"/>
        <v>95344.20702091491</v>
      </c>
      <c r="E155" s="12">
        <f t="shared" si="19"/>
        <v>181090.85500745889</v>
      </c>
      <c r="F155" s="12">
        <f t="shared" si="24"/>
        <v>144648.08479474729</v>
      </c>
      <c r="G155" s="12">
        <f t="shared" si="24"/>
        <v>17877.853176878893</v>
      </c>
      <c r="H155" s="9"/>
      <c r="I155" s="12">
        <f t="shared" si="21"/>
        <v>5738.9597224818508</v>
      </c>
      <c r="J155" s="12">
        <f t="shared" si="22"/>
        <v>5381.4892001251565</v>
      </c>
      <c r="K155" s="12">
        <f t="shared" si="23"/>
        <v>665.12787866715496</v>
      </c>
    </row>
    <row r="156" spans="2:11" x14ac:dyDescent="0.25">
      <c r="B156" s="10">
        <v>152</v>
      </c>
      <c r="C156" s="13">
        <v>44043</v>
      </c>
      <c r="D156" s="12">
        <f t="shared" si="18"/>
        <v>89931.719579517638</v>
      </c>
      <c r="E156" s="12">
        <f t="shared" si="19"/>
        <v>180466.98061527419</v>
      </c>
      <c r="F156" s="12">
        <f t="shared" si="24"/>
        <v>150020.44682663525</v>
      </c>
      <c r="G156" s="12">
        <f t="shared" si="24"/>
        <v>18541.852978572908</v>
      </c>
      <c r="H156" s="9"/>
      <c r="I156" s="12">
        <f t="shared" si="21"/>
        <v>5412.4874413972684</v>
      </c>
      <c r="J156" s="12">
        <f t="shared" si="22"/>
        <v>5372.3620318879457</v>
      </c>
      <c r="K156" s="12">
        <f t="shared" si="23"/>
        <v>663.99980169401658</v>
      </c>
    </row>
    <row r="157" spans="2:11" x14ac:dyDescent="0.25">
      <c r="B157" s="10">
        <v>153</v>
      </c>
      <c r="C157" s="21">
        <v>44044</v>
      </c>
      <c r="D157" s="12">
        <f t="shared" si="18"/>
        <v>84836.040200514268</v>
      </c>
      <c r="E157" s="12">
        <f t="shared" si="19"/>
        <v>179547.09397376841</v>
      </c>
      <c r="F157" s="12">
        <f t="shared" si="24"/>
        <v>155374.30058488838</v>
      </c>
      <c r="G157" s="12">
        <f t="shared" si="24"/>
        <v>19203.565240828913</v>
      </c>
      <c r="H157" s="9"/>
      <c r="I157" s="12">
        <f t="shared" si="21"/>
        <v>5095.6793790033689</v>
      </c>
      <c r="J157" s="12">
        <f t="shared" si="22"/>
        <v>5353.8537582531335</v>
      </c>
      <c r="K157" s="12">
        <f t="shared" si="23"/>
        <v>661.71226225600594</v>
      </c>
    </row>
    <row r="158" spans="2:11" x14ac:dyDescent="0.25">
      <c r="B158" s="10">
        <v>154</v>
      </c>
      <c r="C158" s="21">
        <v>44045</v>
      </c>
      <c r="D158" s="12">
        <f t="shared" si="18"/>
        <v>80046.053543554182</v>
      </c>
      <c r="E158" s="12">
        <f t="shared" si="19"/>
        <v>178352.17749826956</v>
      </c>
      <c r="F158" s="12">
        <f t="shared" si="24"/>
        <v>160700.86437277685</v>
      </c>
      <c r="G158" s="12">
        <f t="shared" si="24"/>
        <v>19861.904585399399</v>
      </c>
      <c r="H158" s="9"/>
      <c r="I158" s="12">
        <f t="shared" si="21"/>
        <v>4789.9866569600908</v>
      </c>
      <c r="J158" s="12">
        <f t="shared" si="22"/>
        <v>5326.5637878884618</v>
      </c>
      <c r="K158" s="12">
        <f t="shared" si="23"/>
        <v>658.33934457048474</v>
      </c>
    </row>
    <row r="159" spans="2:11" x14ac:dyDescent="0.25">
      <c r="B159" s="10">
        <v>155</v>
      </c>
      <c r="C159" s="21">
        <v>44046</v>
      </c>
      <c r="D159" s="12">
        <f t="shared" si="18"/>
        <v>75549.543696670138</v>
      </c>
      <c r="E159" s="12">
        <f t="shared" si="19"/>
        <v>176903.61476187798</v>
      </c>
      <c r="F159" s="12">
        <f t="shared" si="24"/>
        <v>165991.97897189218</v>
      </c>
      <c r="G159" s="12">
        <f t="shared" si="24"/>
        <v>20515.862569559722</v>
      </c>
      <c r="H159" s="9"/>
      <c r="I159" s="12">
        <f t="shared" si="21"/>
        <v>4496.5098468840451</v>
      </c>
      <c r="J159" s="12">
        <f t="shared" si="22"/>
        <v>5291.1145991153298</v>
      </c>
      <c r="K159" s="12">
        <f t="shared" si="23"/>
        <v>653.95798416032233</v>
      </c>
    </row>
    <row r="160" spans="2:11" x14ac:dyDescent="0.25">
      <c r="B160" s="10">
        <v>156</v>
      </c>
      <c r="C160" s="21">
        <v>44047</v>
      </c>
      <c r="D160" s="12">
        <f t="shared" si="18"/>
        <v>71333.511114377194</v>
      </c>
      <c r="E160" s="12">
        <f t="shared" si="19"/>
        <v>175222.86018544165</v>
      </c>
      <c r="F160" s="12">
        <f t="shared" si="24"/>
        <v>171240.11954316124</v>
      </c>
      <c r="G160" s="12">
        <f t="shared" si="24"/>
        <v>21164.50915701994</v>
      </c>
      <c r="H160" s="9"/>
      <c r="I160" s="12">
        <f t="shared" si="21"/>
        <v>4216.0325822929435</v>
      </c>
      <c r="J160" s="12">
        <f t="shared" si="22"/>
        <v>5248.1405712690466</v>
      </c>
      <c r="K160" s="12">
        <f t="shared" si="23"/>
        <v>648.64658746021985</v>
      </c>
    </row>
    <row r="161" spans="2:11" x14ac:dyDescent="0.25">
      <c r="B161" s="10">
        <v>157</v>
      </c>
      <c r="C161" s="21">
        <v>44048</v>
      </c>
      <c r="D161" s="12">
        <f t="shared" si="18"/>
        <v>67384.453140842917</v>
      </c>
      <c r="E161" s="12">
        <f t="shared" si="19"/>
        <v>173331.15615279455</v>
      </c>
      <c r="F161" s="12">
        <f t="shared" si="24"/>
        <v>176438.39772866268</v>
      </c>
      <c r="G161" s="12">
        <f t="shared" si="24"/>
        <v>21806.992977699894</v>
      </c>
      <c r="H161" s="9"/>
      <c r="I161" s="12">
        <f t="shared" si="21"/>
        <v>3949.0579735342826</v>
      </c>
      <c r="J161" s="12">
        <f t="shared" si="22"/>
        <v>5198.2781855014346</v>
      </c>
      <c r="K161" s="12">
        <f t="shared" si="23"/>
        <v>642.48382067995328</v>
      </c>
    </row>
    <row r="162" spans="2:11" x14ac:dyDescent="0.25">
      <c r="B162" s="10">
        <v>158</v>
      </c>
      <c r="C162" s="21">
        <v>44049</v>
      </c>
      <c r="D162" s="12">
        <f t="shared" si="18"/>
        <v>63688.607250746434</v>
      </c>
      <c r="E162" s="12">
        <f t="shared" si="19"/>
        <v>171249.29683779785</v>
      </c>
      <c r="F162" s="12">
        <f t="shared" si="24"/>
        <v>181580.55536119558</v>
      </c>
      <c r="G162" s="12">
        <f t="shared" si="24"/>
        <v>22442.540550260142</v>
      </c>
      <c r="H162" s="9"/>
      <c r="I162" s="12">
        <f t="shared" si="21"/>
        <v>3695.8458900964806</v>
      </c>
      <c r="J162" s="12">
        <f t="shared" si="22"/>
        <v>5142.1576325329042</v>
      </c>
      <c r="K162" s="12">
        <f t="shared" si="23"/>
        <v>635.5475725602472</v>
      </c>
    </row>
    <row r="163" spans="2:11" x14ac:dyDescent="0.25">
      <c r="B163" s="10">
        <v>159</v>
      </c>
      <c r="C163" s="21">
        <v>44050</v>
      </c>
      <c r="D163" s="12">
        <f t="shared" si="18"/>
        <v>60232.157667711253</v>
      </c>
      <c r="E163" s="12">
        <f t="shared" si="19"/>
        <v>168997.43652623976</v>
      </c>
      <c r="F163" s="12">
        <f t="shared" si="24"/>
        <v>186660.95116738358</v>
      </c>
      <c r="G163" s="12">
        <f t="shared" si="24"/>
        <v>23070.4546386654</v>
      </c>
      <c r="H163" s="9"/>
      <c r="I163" s="12">
        <f t="shared" si="21"/>
        <v>3456.449583035178</v>
      </c>
      <c r="J163" s="12">
        <f t="shared" si="22"/>
        <v>5080.3958061880021</v>
      </c>
      <c r="K163" s="12">
        <f t="shared" si="23"/>
        <v>627.91408840525935</v>
      </c>
    </row>
    <row r="164" spans="2:11" x14ac:dyDescent="0.25">
      <c r="B164" s="10">
        <v>160</v>
      </c>
      <c r="C164" s="21">
        <v>44051</v>
      </c>
      <c r="D164" s="12">
        <f t="shared" si="18"/>
        <v>57001.407156625297</v>
      </c>
      <c r="E164" s="12">
        <f t="shared" si="19"/>
        <v>166594.93915311774</v>
      </c>
      <c r="F164" s="12">
        <f t="shared" si="24"/>
        <v>191674.5417843287</v>
      </c>
      <c r="G164" s="12">
        <f t="shared" si="24"/>
        <v>23690.111905928279</v>
      </c>
      <c r="H164" s="9"/>
      <c r="I164" s="12">
        <f t="shared" si="21"/>
        <v>3230.7505110859588</v>
      </c>
      <c r="J164" s="12">
        <f t="shared" si="22"/>
        <v>5013.5906169451127</v>
      </c>
      <c r="K164" s="12">
        <f t="shared" si="23"/>
        <v>619.6572672628796</v>
      </c>
    </row>
    <row r="165" spans="2:11" x14ac:dyDescent="0.25">
      <c r="B165" s="10">
        <v>161</v>
      </c>
      <c r="C165" s="21">
        <v>44052</v>
      </c>
      <c r="D165" s="12">
        <f t="shared" si="18"/>
        <v>53982.916570724039</v>
      </c>
      <c r="E165" s="12">
        <f t="shared" si="19"/>
        <v>164060.26510058172</v>
      </c>
      <c r="F165" s="12">
        <f t="shared" si="24"/>
        <v>196616.85831253786</v>
      </c>
      <c r="G165" s="12">
        <f t="shared" si="24"/>
        <v>24300.960016156379</v>
      </c>
      <c r="H165" s="9"/>
      <c r="I165" s="12">
        <f t="shared" si="21"/>
        <v>3018.4905859012588</v>
      </c>
      <c r="J165" s="12">
        <f t="shared" si="22"/>
        <v>4942.3165282091595</v>
      </c>
      <c r="K165" s="12">
        <f t="shared" si="23"/>
        <v>610.8481102280989</v>
      </c>
    </row>
    <row r="166" spans="2:11" x14ac:dyDescent="0.25">
      <c r="B166" s="10">
        <v>162</v>
      </c>
      <c r="C166" s="21">
        <v>44053</v>
      </c>
      <c r="D166" s="12">
        <f t="shared" si="18"/>
        <v>51163.615217965365</v>
      </c>
      <c r="E166" s="12">
        <f t="shared" si="19"/>
        <v>161410.89094998766</v>
      </c>
      <c r="F166" s="12">
        <f t="shared" ref="F166:G181" si="25">F165+J166</f>
        <v>201483.97951052178</v>
      </c>
      <c r="G166" s="12">
        <f t="shared" si="25"/>
        <v>24902.514321525181</v>
      </c>
      <c r="H166" s="9"/>
      <c r="I166" s="12">
        <f t="shared" si="21"/>
        <v>2819.3013527586722</v>
      </c>
      <c r="J166" s="12">
        <f t="shared" si="22"/>
        <v>4867.1211979839236</v>
      </c>
      <c r="K166" s="12">
        <f t="shared" si="23"/>
        <v>601.5543053688001</v>
      </c>
    </row>
    <row r="167" spans="2:11" x14ac:dyDescent="0.25">
      <c r="B167" s="10">
        <v>163</v>
      </c>
      <c r="C167" s="21">
        <v>44054</v>
      </c>
      <c r="D167" s="12">
        <f t="shared" si="18"/>
        <v>48530.885349384349</v>
      </c>
      <c r="E167" s="12">
        <f t="shared" si="19"/>
        <v>158663.25778690242</v>
      </c>
      <c r="F167" s="12">
        <f t="shared" si="25"/>
        <v>206272.50260870473</v>
      </c>
      <c r="G167" s="12">
        <f t="shared" si="25"/>
        <v>25494.354255008471</v>
      </c>
      <c r="H167" s="9"/>
      <c r="I167" s="12">
        <f t="shared" si="21"/>
        <v>2632.7298685810179</v>
      </c>
      <c r="J167" s="12">
        <f t="shared" si="22"/>
        <v>4788.5230981829664</v>
      </c>
      <c r="K167" s="12">
        <f t="shared" si="23"/>
        <v>591.83993348328863</v>
      </c>
    </row>
    <row r="168" spans="2:11" x14ac:dyDescent="0.25">
      <c r="B168" s="10">
        <v>164</v>
      </c>
      <c r="C168" s="21">
        <v>44055</v>
      </c>
      <c r="D168" s="12">
        <f t="shared" si="18"/>
        <v>46072.624119194123</v>
      </c>
      <c r="E168" s="12">
        <f t="shared" si="19"/>
        <v>155832.74375752921</v>
      </c>
      <c r="F168" s="12">
        <f t="shared" si="25"/>
        <v>210979.51258971618</v>
      </c>
      <c r="G168" s="12">
        <f t="shared" si="25"/>
        <v>26076.119533560446</v>
      </c>
      <c r="H168" s="9"/>
      <c r="I168" s="12">
        <f t="shared" si="21"/>
        <v>2458.261230190225</v>
      </c>
      <c r="J168" s="12">
        <f t="shared" si="22"/>
        <v>4707.009981011438</v>
      </c>
      <c r="K168" s="12">
        <f t="shared" si="23"/>
        <v>581.76527855197617</v>
      </c>
    </row>
    <row r="169" spans="2:11" x14ac:dyDescent="0.25">
      <c r="B169" s="10">
        <v>165</v>
      </c>
      <c r="C169" s="21">
        <v>44056</v>
      </c>
      <c r="D169" s="12">
        <f t="shared" si="18"/>
        <v>43777.286272225727</v>
      </c>
      <c r="E169" s="12">
        <f t="shared" si="19"/>
        <v>152933.65681257998</v>
      </c>
      <c r="F169" s="12">
        <f t="shared" si="25"/>
        <v>215602.55065452287</v>
      </c>
      <c r="G169" s="12">
        <f t="shared" si="25"/>
        <v>26647.506260671387</v>
      </c>
      <c r="H169" s="9"/>
      <c r="I169" s="12">
        <f t="shared" si="21"/>
        <v>2295.3378469683958</v>
      </c>
      <c r="J169" s="12">
        <f t="shared" si="22"/>
        <v>4623.0380648066994</v>
      </c>
      <c r="K169" s="12">
        <f t="shared" si="23"/>
        <v>571.38672711094102</v>
      </c>
    </row>
    <row r="170" spans="2:11" x14ac:dyDescent="0.25">
      <c r="B170" s="10">
        <v>166</v>
      </c>
      <c r="C170" s="21">
        <v>44057</v>
      </c>
      <c r="D170" s="12">
        <f t="shared" si="18"/>
        <v>41633.910622116287</v>
      </c>
      <c r="E170" s="12">
        <f t="shared" si="19"/>
        <v>149979.24390227007</v>
      </c>
      <c r="F170" s="12">
        <f t="shared" si="25"/>
        <v>220139.58247329609</v>
      </c>
      <c r="G170" s="12">
        <f t="shared" si="25"/>
        <v>27208.263002317515</v>
      </c>
      <c r="H170" s="9"/>
      <c r="I170" s="12">
        <f t="shared" si="21"/>
        <v>2143.3756501094408</v>
      </c>
      <c r="J170" s="12">
        <f t="shared" si="22"/>
        <v>4537.0318187732055</v>
      </c>
      <c r="K170" s="12">
        <f t="shared" si="23"/>
        <v>560.75674164612713</v>
      </c>
    </row>
    <row r="171" spans="2:11" x14ac:dyDescent="0.25">
      <c r="B171" s="10">
        <v>167</v>
      </c>
      <c r="C171" s="21">
        <v>44058</v>
      </c>
      <c r="D171" s="12">
        <f t="shared" si="18"/>
        <v>39632.133129304631</v>
      </c>
      <c r="E171" s="12">
        <f t="shared" si="19"/>
        <v>146981.71326500605</v>
      </c>
      <c r="F171" s="12">
        <f t="shared" si="25"/>
        <v>224588.96670906345</v>
      </c>
      <c r="G171" s="12">
        <f t="shared" si="25"/>
        <v>27758.186896625841</v>
      </c>
      <c r="H171" s="9"/>
      <c r="I171" s="12">
        <f t="shared" si="21"/>
        <v>2001.7774928116592</v>
      </c>
      <c r="J171" s="12">
        <f t="shared" si="22"/>
        <v>4449.3842357673448</v>
      </c>
      <c r="K171" s="12">
        <f t="shared" si="23"/>
        <v>549.92389430832407</v>
      </c>
    </row>
    <row r="172" spans="2:11" x14ac:dyDescent="0.25">
      <c r="B172" s="10">
        <v>168</v>
      </c>
      <c r="C172" s="21">
        <v>44059</v>
      </c>
      <c r="D172" s="12">
        <f t="shared" si="18"/>
        <v>37762.189099855495</v>
      </c>
      <c r="E172" s="12">
        <f t="shared" si="19"/>
        <v>143952.2668522883</v>
      </c>
      <c r="F172" s="12">
        <f t="shared" si="25"/>
        <v>228949.42420259197</v>
      </c>
      <c r="G172" s="12">
        <f t="shared" si="25"/>
        <v>28297.119845264198</v>
      </c>
      <c r="H172" s="9"/>
      <c r="I172" s="12">
        <f t="shared" si="21"/>
        <v>1869.9440294491378</v>
      </c>
      <c r="J172" s="12">
        <f t="shared" si="22"/>
        <v>4360.4574935285118</v>
      </c>
      <c r="K172" s="12">
        <f t="shared" si="23"/>
        <v>538.93294863835604</v>
      </c>
    </row>
    <row r="173" spans="2:11" x14ac:dyDescent="0.25">
      <c r="B173" s="10">
        <v>169</v>
      </c>
      <c r="C173" s="21">
        <v>44060</v>
      </c>
      <c r="D173" s="12">
        <f t="shared" si="18"/>
        <v>36014.906726095578</v>
      </c>
      <c r="E173" s="12">
        <f t="shared" si="19"/>
        <v>140901.14033097195</v>
      </c>
      <c r="F173" s="12">
        <f t="shared" si="25"/>
        <v>233220.00811920984</v>
      </c>
      <c r="G173" s="12">
        <f t="shared" si="25"/>
        <v>28824.944823722588</v>
      </c>
      <c r="H173" s="9"/>
      <c r="I173" s="12">
        <f t="shared" si="21"/>
        <v>1747.2823737599156</v>
      </c>
      <c r="J173" s="12">
        <f t="shared" si="22"/>
        <v>4270.5839166178857</v>
      </c>
      <c r="K173" s="12">
        <f t="shared" si="23"/>
        <v>527.82497845839089</v>
      </c>
    </row>
    <row r="174" spans="2:11" x14ac:dyDescent="0.25">
      <c r="B174" s="10">
        <v>170</v>
      </c>
      <c r="C174" s="21">
        <v>44061</v>
      </c>
      <c r="D174" s="12">
        <f t="shared" si="18"/>
        <v>34381.693893768504</v>
      </c>
      <c r="E174" s="12">
        <f t="shared" si="19"/>
        <v>137837.64848559996</v>
      </c>
      <c r="F174" s="12">
        <f t="shared" si="25"/>
        <v>237400.075282362</v>
      </c>
      <c r="G174" s="12">
        <f t="shared" si="25"/>
        <v>29341.582338269487</v>
      </c>
      <c r="H174" s="9"/>
      <c r="I174" s="12">
        <f t="shared" si="21"/>
        <v>1633.2128323270729</v>
      </c>
      <c r="J174" s="12">
        <f t="shared" si="22"/>
        <v>4180.0671631521673</v>
      </c>
      <c r="K174" s="12">
        <f t="shared" si="23"/>
        <v>516.63751454689759</v>
      </c>
    </row>
    <row r="175" spans="2:11" x14ac:dyDescent="0.25">
      <c r="B175" s="10">
        <v>171</v>
      </c>
      <c r="C175" s="21">
        <v>44062</v>
      </c>
      <c r="D175" s="12">
        <f t="shared" si="18"/>
        <v>32854.519898721053</v>
      </c>
      <c r="E175" s="12">
        <f t="shared" si="19"/>
        <v>134770.23419779408</v>
      </c>
      <c r="F175" s="12">
        <f t="shared" si="25"/>
        <v>241489.25885410147</v>
      </c>
      <c r="G175" s="12">
        <f t="shared" si="25"/>
        <v>29846.987049383355</v>
      </c>
      <c r="H175" s="9"/>
      <c r="I175" s="12">
        <f t="shared" si="21"/>
        <v>1527.1739950474541</v>
      </c>
      <c r="J175" s="12">
        <f t="shared" si="22"/>
        <v>4089.1835717394652</v>
      </c>
      <c r="K175" s="12">
        <f t="shared" si="23"/>
        <v>505.40471111386699</v>
      </c>
    </row>
    <row r="176" spans="2:11" x14ac:dyDescent="0.25">
      <c r="B176" s="10">
        <v>172</v>
      </c>
      <c r="C176" s="21">
        <v>44063</v>
      </c>
      <c r="D176" s="12">
        <f t="shared" si="18"/>
        <v>31425.89345587702</v>
      </c>
      <c r="E176" s="12">
        <f t="shared" si="19"/>
        <v>131706.51950071167</v>
      </c>
      <c r="F176" s="12">
        <f t="shared" si="25"/>
        <v>245487.44246863603</v>
      </c>
      <c r="G176" s="12">
        <f t="shared" si="25"/>
        <v>30341.144574775266</v>
      </c>
      <c r="H176" s="9"/>
      <c r="I176" s="12">
        <f t="shared" si="21"/>
        <v>1428.6264428440338</v>
      </c>
      <c r="J176" s="12">
        <f t="shared" si="22"/>
        <v>3998.1836145345574</v>
      </c>
      <c r="K176" s="12">
        <f t="shared" si="23"/>
        <v>494.15752539191203</v>
      </c>
    </row>
    <row r="177" spans="2:11" x14ac:dyDescent="0.25">
      <c r="B177" s="10">
        <v>173</v>
      </c>
      <c r="C177" s="21">
        <v>44064</v>
      </c>
      <c r="D177" s="12">
        <f t="shared" si="18"/>
        <v>30088.838148235187</v>
      </c>
      <c r="E177" s="12">
        <f t="shared" si="19"/>
        <v>128653.3574916631</v>
      </c>
      <c r="F177" s="12">
        <f t="shared" si="25"/>
        <v>249394.73588049048</v>
      </c>
      <c r="G177" s="12">
        <f t="shared" si="25"/>
        <v>30824.068479611211</v>
      </c>
      <c r="H177" s="9"/>
      <c r="I177" s="12">
        <f t="shared" si="21"/>
        <v>1337.0553076418339</v>
      </c>
      <c r="J177" s="12">
        <f t="shared" si="22"/>
        <v>3907.2934118544458</v>
      </c>
      <c r="K177" s="12">
        <f t="shared" si="23"/>
        <v>482.92390483594323</v>
      </c>
    </row>
    <row r="178" spans="2:11" x14ac:dyDescent="0.25">
      <c r="B178" s="10">
        <v>174</v>
      </c>
      <c r="C178" s="21">
        <v>44065</v>
      </c>
      <c r="D178" s="12">
        <f t="shared" si="18"/>
        <v>28836.866255367557</v>
      </c>
      <c r="E178" s="12">
        <f t="shared" si="19"/>
        <v>125616.88413480863</v>
      </c>
      <c r="F178" s="12">
        <f t="shared" si="25"/>
        <v>253211.45215274315</v>
      </c>
      <c r="G178" s="12">
        <f t="shared" si="25"/>
        <v>31295.797457080644</v>
      </c>
      <c r="H178" s="9"/>
      <c r="I178" s="12">
        <f t="shared" si="21"/>
        <v>1251.9718928676298</v>
      </c>
      <c r="J178" s="12">
        <f t="shared" si="22"/>
        <v>3816.7162722526714</v>
      </c>
      <c r="K178" s="12">
        <f t="shared" si="23"/>
        <v>471.72897746943181</v>
      </c>
    </row>
    <row r="179" spans="2:11" x14ac:dyDescent="0.25">
      <c r="B179" s="10">
        <v>175</v>
      </c>
      <c r="C179" s="21">
        <v>44066</v>
      </c>
      <c r="D179" s="12">
        <f t="shared" si="18"/>
        <v>27663.951719299017</v>
      </c>
      <c r="E179" s="12">
        <f t="shared" si="19"/>
        <v>122602.56919971688</v>
      </c>
      <c r="F179" s="12">
        <f t="shared" si="25"/>
        <v>256938.08638207579</v>
      </c>
      <c r="G179" s="12">
        <f t="shared" si="25"/>
        <v>31756.392698908276</v>
      </c>
      <c r="H179" s="9"/>
      <c r="I179" s="12">
        <f t="shared" si="21"/>
        <v>1172.9145360685391</v>
      </c>
      <c r="J179" s="12">
        <f t="shared" si="22"/>
        <v>3726.6342293326552</v>
      </c>
      <c r="K179" s="12">
        <f t="shared" si="23"/>
        <v>460.59524182763204</v>
      </c>
    </row>
    <row r="180" spans="2:11" x14ac:dyDescent="0.25">
      <c r="B180" s="10">
        <v>176</v>
      </c>
      <c r="C180" s="21">
        <v>44067</v>
      </c>
      <c r="D180" s="12">
        <f t="shared" si="18"/>
        <v>26564.50284953375</v>
      </c>
      <c r="E180" s="12">
        <f t="shared" si="19"/>
        <v>119615.26576282491</v>
      </c>
      <c r="F180" s="12">
        <f t="shared" si="25"/>
        <v>260575.29593500073</v>
      </c>
      <c r="G180" s="12">
        <f t="shared" si="25"/>
        <v>32205.93545264057</v>
      </c>
      <c r="H180" s="9"/>
      <c r="I180" s="12">
        <f t="shared" si="21"/>
        <v>1099.4488697652653</v>
      </c>
      <c r="J180" s="12">
        <f t="shared" si="22"/>
        <v>3637.2095529249336</v>
      </c>
      <c r="K180" s="12">
        <f t="shared" si="23"/>
        <v>449.54275373229564</v>
      </c>
    </row>
    <row r="181" spans="2:11" x14ac:dyDescent="0.25">
      <c r="B181" s="10">
        <v>177</v>
      </c>
      <c r="C181" s="21">
        <v>44068</v>
      </c>
      <c r="D181" s="12">
        <f t="shared" si="18"/>
        <v>25533.335236489482</v>
      </c>
      <c r="E181" s="12">
        <f t="shared" si="19"/>
        <v>116659.25785044169</v>
      </c>
      <c r="F181" s="12">
        <f t="shared" si="25"/>
        <v>264123.88215263118</v>
      </c>
      <c r="G181" s="12">
        <f t="shared" si="25"/>
        <v>32644.524760437595</v>
      </c>
      <c r="H181" s="9"/>
      <c r="I181" s="12">
        <f t="shared" si="21"/>
        <v>1031.1676130442677</v>
      </c>
      <c r="J181" s="12">
        <f t="shared" si="22"/>
        <v>3548.5862176304722</v>
      </c>
      <c r="K181" s="12">
        <f t="shared" si="23"/>
        <v>438.58930779702507</v>
      </c>
    </row>
    <row r="182" spans="2:11" x14ac:dyDescent="0.25">
      <c r="B182" s="10">
        <v>178</v>
      </c>
      <c r="C182" s="21">
        <v>44069</v>
      </c>
      <c r="D182" s="12">
        <f t="shared" si="18"/>
        <v>24565.645231465565</v>
      </c>
      <c r="E182" s="12">
        <f t="shared" si="19"/>
        <v>113738.30592711756</v>
      </c>
      <c r="F182" s="12">
        <f t="shared" ref="F182:G197" si="26">F181+J182</f>
        <v>267584.77346886095</v>
      </c>
      <c r="G182" s="12">
        <f t="shared" si="26"/>
        <v>33072.27537255588</v>
      </c>
      <c r="H182" s="9"/>
      <c r="I182" s="12">
        <f t="shared" si="21"/>
        <v>967.69000502391657</v>
      </c>
      <c r="J182" s="12">
        <f t="shared" si="22"/>
        <v>3460.8913162297695</v>
      </c>
      <c r="K182" s="12">
        <f t="shared" si="23"/>
        <v>427.7506121182866</v>
      </c>
    </row>
    <row r="183" spans="2:11" x14ac:dyDescent="0.25">
      <c r="B183" s="10">
        <v>179</v>
      </c>
      <c r="C183" s="21">
        <v>44070</v>
      </c>
      <c r="D183" s="12">
        <f t="shared" si="18"/>
        <v>23656.984259111272</v>
      </c>
      <c r="E183" s="12">
        <f t="shared" si="19"/>
        <v>110855.6900352346</v>
      </c>
      <c r="F183" s="12">
        <f t="shared" si="26"/>
        <v>270959.00987803208</v>
      </c>
      <c r="G183" s="12">
        <f t="shared" si="26"/>
        <v>33489.315827621976</v>
      </c>
      <c r="H183" s="9"/>
      <c r="I183" s="12">
        <f t="shared" si="21"/>
        <v>908.66097235429424</v>
      </c>
      <c r="J183" s="12">
        <f t="shared" si="22"/>
        <v>3374.2364091711543</v>
      </c>
      <c r="K183" s="12">
        <f t="shared" si="23"/>
        <v>417.04045506609805</v>
      </c>
    </row>
    <row r="184" spans="2:11" x14ac:dyDescent="0.25">
      <c r="B184" s="10">
        <v>180</v>
      </c>
      <c r="C184" s="21">
        <v>44071</v>
      </c>
      <c r="D184" s="12">
        <f t="shared" si="18"/>
        <v>22803.234152786299</v>
      </c>
      <c r="E184" s="12">
        <f t="shared" si="19"/>
        <v>108014.25047371841</v>
      </c>
      <c r="F184" s="12">
        <f t="shared" si="26"/>
        <v>274247.72868241073</v>
      </c>
      <c r="G184" s="12">
        <f t="shared" si="26"/>
        <v>33895.786691084504</v>
      </c>
      <c r="H184" s="9"/>
      <c r="I184" s="12">
        <f t="shared" si="21"/>
        <v>853.75010632497208</v>
      </c>
      <c r="J184" s="12">
        <f t="shared" si="22"/>
        <v>3288.7188043786259</v>
      </c>
      <c r="K184" s="12">
        <f t="shared" si="23"/>
        <v>406.47086346252723</v>
      </c>
    </row>
    <row r="185" spans="2:11" x14ac:dyDescent="0.25">
      <c r="B185" s="10">
        <v>181</v>
      </c>
      <c r="C185" s="21">
        <v>44072</v>
      </c>
      <c r="D185" s="12">
        <f t="shared" si="18"/>
        <v>22000.58364193259</v>
      </c>
      <c r="E185" s="12">
        <f t="shared" si="19"/>
        <v>105216.42596878151</v>
      </c>
      <c r="F185" s="12">
        <f t="shared" si="26"/>
        <v>277452.15144646436</v>
      </c>
      <c r="G185" s="12">
        <f t="shared" si="26"/>
        <v>34291.838942821472</v>
      </c>
      <c r="H185" s="9"/>
      <c r="I185" s="12">
        <f t="shared" si="21"/>
        <v>802.65051085371022</v>
      </c>
      <c r="J185" s="12">
        <f t="shared" si="22"/>
        <v>3204.422764053646</v>
      </c>
      <c r="K185" s="12">
        <f t="shared" si="23"/>
        <v>396.05225173696789</v>
      </c>
    </row>
    <row r="186" spans="2:11" x14ac:dyDescent="0.25">
      <c r="B186" s="10">
        <v>182</v>
      </c>
      <c r="C186" s="21">
        <v>44073</v>
      </c>
      <c r="D186" s="12">
        <f t="shared" si="18"/>
        <v>21245.506071489883</v>
      </c>
      <c r="E186" s="12">
        <f t="shared" si="19"/>
        <v>102464.28934026483</v>
      </c>
      <c r="F186" s="12">
        <f t="shared" si="26"/>
        <v>280573.57208353822</v>
      </c>
      <c r="G186" s="12">
        <f t="shared" si="26"/>
        <v>34677.632504707006</v>
      </c>
      <c r="H186" s="9"/>
      <c r="I186" s="12">
        <f t="shared" si="21"/>
        <v>755.07757044270738</v>
      </c>
      <c r="J186" s="12">
        <f t="shared" si="22"/>
        <v>3121.4206370738511</v>
      </c>
      <c r="K186" s="12">
        <f t="shared" si="23"/>
        <v>385.79356188553254</v>
      </c>
    </row>
    <row r="187" spans="2:11" x14ac:dyDescent="0.25">
      <c r="B187" s="10">
        <v>183</v>
      </c>
      <c r="C187" s="13">
        <v>44074</v>
      </c>
      <c r="D187" s="12">
        <f t="shared" si="18"/>
        <v>20534.73839457436</v>
      </c>
      <c r="E187" s="12">
        <f t="shared" si="19"/>
        <v>99759.580705838191</v>
      </c>
      <c r="F187" s="12">
        <f t="shared" si="26"/>
        <v>283613.34600063274</v>
      </c>
      <c r="G187" s="12">
        <f t="shared" si="26"/>
        <v>35053.334898954643</v>
      </c>
      <c r="H187" s="9"/>
      <c r="I187" s="12">
        <f t="shared" si="21"/>
        <v>710.76767691552061</v>
      </c>
      <c r="J187" s="12">
        <f t="shared" si="22"/>
        <v>3039.7739170945229</v>
      </c>
      <c r="K187" s="12">
        <f t="shared" si="23"/>
        <v>375.70239424763804</v>
      </c>
    </row>
    <row r="188" spans="2:11" x14ac:dyDescent="0.25">
      <c r="B188" s="10">
        <v>184</v>
      </c>
      <c r="C188" s="21">
        <v>44075</v>
      </c>
      <c r="D188" s="12">
        <f t="shared" si="18"/>
        <v>19865.26144940242</v>
      </c>
      <c r="E188" s="12">
        <f t="shared" si="19"/>
        <v>97103.738294148861</v>
      </c>
      <c r="F188" s="12">
        <f t="shared" si="26"/>
        <v>286572.88022823929</v>
      </c>
      <c r="G188" s="12">
        <f t="shared" si="26"/>
        <v>35419.120028209385</v>
      </c>
      <c r="H188" s="9"/>
      <c r="I188" s="12">
        <f t="shared" si="21"/>
        <v>669.47694517194202</v>
      </c>
      <c r="J188" s="12">
        <f t="shared" si="22"/>
        <v>2959.534227606533</v>
      </c>
      <c r="K188" s="12">
        <f t="shared" si="23"/>
        <v>365.78512925474035</v>
      </c>
    </row>
    <row r="189" spans="2:11" x14ac:dyDescent="0.25">
      <c r="B189" s="10">
        <v>185</v>
      </c>
      <c r="C189" s="21">
        <v>44076</v>
      </c>
      <c r="D189" s="12">
        <f t="shared" si="18"/>
        <v>19234.281508296321</v>
      </c>
      <c r="E189" s="12">
        <f t="shared" si="19"/>
        <v>94497.926958783326</v>
      </c>
      <c r="F189" s="12">
        <f t="shared" si="26"/>
        <v>289453.62446429906</v>
      </c>
      <c r="G189" s="12">
        <f t="shared" si="26"/>
        <v>35775.167068621267</v>
      </c>
      <c r="H189" s="9"/>
      <c r="I189" s="12">
        <f t="shared" si="21"/>
        <v>630.97994110610034</v>
      </c>
      <c r="J189" s="12">
        <f t="shared" si="22"/>
        <v>2880.7442360597493</v>
      </c>
      <c r="K189" s="12">
        <f t="shared" si="23"/>
        <v>356.04704041187949</v>
      </c>
    </row>
    <row r="190" spans="2:11" x14ac:dyDescent="0.25">
      <c r="B190" s="10">
        <v>186</v>
      </c>
      <c r="C190" s="21">
        <v>44077</v>
      </c>
      <c r="D190" s="12">
        <f t="shared" si="18"/>
        <v>18639.213069274996</v>
      </c>
      <c r="E190" s="12">
        <f t="shared" si="19"/>
        <v>91943.064499178538</v>
      </c>
      <c r="F190" s="12">
        <f t="shared" si="26"/>
        <v>292257.06296407629</v>
      </c>
      <c r="G190" s="12">
        <f t="shared" si="26"/>
        <v>36121.659467470141</v>
      </c>
      <c r="H190" s="9"/>
      <c r="I190" s="12">
        <f t="shared" si="21"/>
        <v>595.068439021323</v>
      </c>
      <c r="J190" s="12">
        <f t="shared" si="22"/>
        <v>2803.4384997772381</v>
      </c>
      <c r="K190" s="12">
        <f t="shared" si="23"/>
        <v>346.49239884887254</v>
      </c>
    </row>
    <row r="191" spans="2:11" x14ac:dyDescent="0.25">
      <c r="B191" s="10">
        <v>187</v>
      </c>
      <c r="C191" s="21">
        <v>44078</v>
      </c>
      <c r="D191" s="12">
        <f t="shared" si="18"/>
        <v>18077.662848118991</v>
      </c>
      <c r="E191" s="12">
        <f t="shared" si="19"/>
        <v>89439.845903695255</v>
      </c>
      <c r="F191" s="12">
        <f t="shared" si="26"/>
        <v>294984.70721088524</v>
      </c>
      <c r="G191" s="12">
        <f t="shared" si="26"/>
        <v>36458.784037300466</v>
      </c>
      <c r="H191" s="9"/>
      <c r="I191" s="12">
        <f t="shared" si="21"/>
        <v>561.55022115600491</v>
      </c>
      <c r="J191" s="12">
        <f t="shared" si="22"/>
        <v>2727.6442468089631</v>
      </c>
      <c r="K191" s="12">
        <f t="shared" si="23"/>
        <v>337.1245698303216</v>
      </c>
    </row>
    <row r="192" spans="2:11" x14ac:dyDescent="0.25">
      <c r="B192" s="10">
        <v>188</v>
      </c>
      <c r="C192" s="21">
        <v>44079</v>
      </c>
      <c r="D192" s="12">
        <f t="shared" si="18"/>
        <v>17547.414919980474</v>
      </c>
      <c r="E192" s="12">
        <f t="shared" si="19"/>
        <v>86988.765635043921</v>
      </c>
      <c r="F192" s="12">
        <f t="shared" si="26"/>
        <v>297638.08930602821</v>
      </c>
      <c r="G192" s="12">
        <f t="shared" si="26"/>
        <v>36786.73013894735</v>
      </c>
      <c r="H192" s="9"/>
      <c r="I192" s="12">
        <f t="shared" si="21"/>
        <v>530.24792813851604</v>
      </c>
      <c r="J192" s="12">
        <f t="shared" si="22"/>
        <v>2653.3820951429589</v>
      </c>
      <c r="K192" s="12">
        <f t="shared" si="23"/>
        <v>327.94610164688288</v>
      </c>
    </row>
    <row r="193" spans="2:11" x14ac:dyDescent="0.25">
      <c r="B193" s="10">
        <v>189</v>
      </c>
      <c r="C193" s="21">
        <v>44080</v>
      </c>
      <c r="D193" s="12">
        <f t="shared" si="18"/>
        <v>17046.416953814416</v>
      </c>
      <c r="E193" s="12">
        <f t="shared" si="19"/>
        <v>84590.138080041856</v>
      </c>
      <c r="F193" s="12">
        <f t="shared" si="26"/>
        <v>300218.75601986784</v>
      </c>
      <c r="G193" s="12">
        <f t="shared" si="26"/>
        <v>37105.688946275848</v>
      </c>
      <c r="H193" s="9"/>
      <c r="I193" s="12">
        <f t="shared" si="21"/>
        <v>500.9979661660592</v>
      </c>
      <c r="J193" s="12">
        <f t="shared" si="22"/>
        <v>2580.666713839636</v>
      </c>
      <c r="K193" s="12">
        <f t="shared" si="23"/>
        <v>318.95880732849469</v>
      </c>
    </row>
    <row r="194" spans="2:11" x14ac:dyDescent="0.25">
      <c r="B194" s="10">
        <v>190</v>
      </c>
      <c r="C194" s="21">
        <v>44081</v>
      </c>
      <c r="D194" s="12">
        <f t="shared" si="18"/>
        <v>16572.767479492933</v>
      </c>
      <c r="E194" s="12">
        <f t="shared" si="19"/>
        <v>82244.116285028605</v>
      </c>
      <c r="F194" s="12">
        <f t="shared" si="26"/>
        <v>302728.26344957575</v>
      </c>
      <c r="G194" s="12">
        <f t="shared" si="26"/>
        <v>37415.852785902665</v>
      </c>
      <c r="H194" s="9"/>
      <c r="I194" s="12">
        <f t="shared" si="21"/>
        <v>473.64947432148409</v>
      </c>
      <c r="J194" s="12">
        <f t="shared" si="22"/>
        <v>2509.5074297079077</v>
      </c>
      <c r="K194" s="12">
        <f t="shared" si="23"/>
        <v>310.16383962682045</v>
      </c>
    </row>
    <row r="195" spans="2:11" x14ac:dyDescent="0.25">
      <c r="B195" s="10">
        <v>191</v>
      </c>
      <c r="C195" s="21">
        <v>44082</v>
      </c>
      <c r="D195" s="12">
        <f t="shared" si="18"/>
        <v>16124.70412590239</v>
      </c>
      <c r="E195" s="12">
        <f t="shared" si="19"/>
        <v>79950.709095784856</v>
      </c>
      <c r="F195" s="12">
        <f t="shared" si="26"/>
        <v>305168.17223269824</v>
      </c>
      <c r="G195" s="12">
        <f t="shared" si="26"/>
        <v>37717.41454561444</v>
      </c>
      <c r="H195" s="9"/>
      <c r="I195" s="12">
        <f t="shared" si="21"/>
        <v>448.0633535905431</v>
      </c>
      <c r="J195" s="12">
        <f t="shared" si="22"/>
        <v>2439.9087831225147</v>
      </c>
      <c r="K195" s="12">
        <f t="shared" si="23"/>
        <v>301.5617597117718</v>
      </c>
    </row>
    <row r="196" spans="2:11" x14ac:dyDescent="0.25">
      <c r="B196" s="10">
        <v>192</v>
      </c>
      <c r="C196" s="21">
        <v>44083</v>
      </c>
      <c r="D196" s="12">
        <f t="shared" si="18"/>
        <v>15700.592768178696</v>
      </c>
      <c r="E196" s="12">
        <f t="shared" si="19"/>
        <v>77709.796816982402</v>
      </c>
      <c r="F196" s="12">
        <f t="shared" si="26"/>
        <v>307540.04326920654</v>
      </c>
      <c r="G196" s="12">
        <f t="shared" si="26"/>
        <v>38010.567145632318</v>
      </c>
      <c r="H196" s="9"/>
      <c r="I196" s="12">
        <f t="shared" si="21"/>
        <v>424.11135772369369</v>
      </c>
      <c r="J196" s="12">
        <f t="shared" si="22"/>
        <v>2371.8710365082834</v>
      </c>
      <c r="K196" s="12">
        <f t="shared" si="23"/>
        <v>293.15260001787806</v>
      </c>
    </row>
    <row r="197" spans="2:11" x14ac:dyDescent="0.25">
      <c r="B197" s="10">
        <v>193</v>
      </c>
      <c r="C197" s="21">
        <v>44084</v>
      </c>
      <c r="D197" s="12">
        <f t="shared" si="18"/>
        <v>15298.917523158783</v>
      </c>
      <c r="E197" s="12">
        <f t="shared" si="19"/>
        <v>75521.145501436229</v>
      </c>
      <c r="F197" s="12">
        <f t="shared" si="26"/>
        <v>309845.43390811037</v>
      </c>
      <c r="G197" s="12">
        <f t="shared" si="26"/>
        <v>38295.503067294587</v>
      </c>
      <c r="H197" s="9"/>
      <c r="I197" s="12">
        <f t="shared" si="21"/>
        <v>401.67524501991267</v>
      </c>
      <c r="J197" s="12">
        <f t="shared" si="22"/>
        <v>2305.3906389038107</v>
      </c>
      <c r="K197" s="12">
        <f t="shared" si="23"/>
        <v>284.93592166226904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14918.27153383193</v>
      </c>
      <c r="E198" s="12">
        <f t="shared" ref="E198:E204" si="28">E197+I198-J198-K198</f>
        <v>73384.419974048535</v>
      </c>
      <c r="F198" s="12">
        <f t="shared" ref="F198:G204" si="29">F197+J198</f>
        <v>312085.89455798629</v>
      </c>
      <c r="G198" s="12">
        <f t="shared" si="29"/>
        <v>38572.41393413319</v>
      </c>
      <c r="H198" s="9"/>
      <c r="I198" s="12">
        <f t="shared" ref="I198:I204" si="30">E197*N$6*D197/SUM(D197:F197)*N$7</f>
        <v>380.64598932685334</v>
      </c>
      <c r="J198" s="12">
        <f t="shared" ref="J198:J204" si="31">E197*N$8/N$5</f>
        <v>2240.4606498759413</v>
      </c>
      <c r="K198" s="12">
        <f t="shared" ref="K198:K204" si="32">E197*N$9/N$5</f>
        <v>276.91086683859976</v>
      </c>
    </row>
    <row r="199" spans="2:11" x14ac:dyDescent="0.25">
      <c r="B199" s="10">
        <v>195</v>
      </c>
      <c r="C199" s="21">
        <v>44086</v>
      </c>
      <c r="D199" s="12">
        <f t="shared" si="27"/>
        <v>14557.34848583673</v>
      </c>
      <c r="E199" s="12">
        <f t="shared" si="28"/>
        <v>71299.195689575441</v>
      </c>
      <c r="F199" s="12">
        <f t="shared" si="29"/>
        <v>314262.96568388306</v>
      </c>
      <c r="G199" s="12">
        <f t="shared" si="29"/>
        <v>38841.4901407047</v>
      </c>
      <c r="H199" s="9"/>
      <c r="I199" s="12">
        <f t="shared" si="30"/>
        <v>360.92304799520048</v>
      </c>
      <c r="J199" s="12">
        <f t="shared" si="31"/>
        <v>2177.0711258967731</v>
      </c>
      <c r="K199" s="12">
        <f t="shared" si="32"/>
        <v>269.07620657151153</v>
      </c>
    </row>
    <row r="200" spans="2:11" x14ac:dyDescent="0.25">
      <c r="B200" s="10">
        <v>196</v>
      </c>
      <c r="C200" s="21">
        <v>44087</v>
      </c>
      <c r="D200" s="12">
        <f t="shared" si="27"/>
        <v>14214.934801688467</v>
      </c>
      <c r="E200" s="12">
        <f t="shared" si="28"/>
        <v>69264.969517404534</v>
      </c>
      <c r="F200" s="12">
        <f t="shared" si="29"/>
        <v>316378.17515600711</v>
      </c>
      <c r="G200" s="12">
        <f t="shared" si="29"/>
        <v>39102.920524899811</v>
      </c>
      <c r="H200" s="9"/>
      <c r="I200" s="12">
        <f t="shared" si="30"/>
        <v>342.41368414826258</v>
      </c>
      <c r="J200" s="12">
        <f t="shared" si="31"/>
        <v>2115.209472124071</v>
      </c>
      <c r="K200" s="12">
        <f t="shared" si="32"/>
        <v>261.43038419511021</v>
      </c>
    </row>
    <row r="201" spans="2:11" x14ac:dyDescent="0.25">
      <c r="B201" s="10">
        <v>197</v>
      </c>
      <c r="C201" s="21">
        <v>44088</v>
      </c>
      <c r="D201" s="12">
        <f t="shared" si="27"/>
        <v>13889.902461296393</v>
      </c>
      <c r="E201" s="12">
        <f t="shared" si="28"/>
        <v>67281.169540549803</v>
      </c>
      <c r="F201" s="12">
        <f t="shared" si="29"/>
        <v>318433.03591835679</v>
      </c>
      <c r="G201" s="12">
        <f t="shared" si="29"/>
        <v>39356.892079796962</v>
      </c>
      <c r="H201" s="9"/>
      <c r="I201" s="12">
        <f t="shared" si="30"/>
        <v>325.03234039207342</v>
      </c>
      <c r="J201" s="12">
        <f t="shared" si="31"/>
        <v>2054.8607623496673</v>
      </c>
      <c r="K201" s="12">
        <f t="shared" si="32"/>
        <v>253.97155489715018</v>
      </c>
    </row>
    <row r="202" spans="2:11" x14ac:dyDescent="0.25">
      <c r="B202" s="10">
        <v>198</v>
      </c>
      <c r="C202" s="21">
        <v>44089</v>
      </c>
      <c r="D202" s="12">
        <f t="shared" si="27"/>
        <v>13581.202400331411</v>
      </c>
      <c r="E202" s="12">
        <f t="shared" si="28"/>
        <v>65347.163950163129</v>
      </c>
      <c r="F202" s="12">
        <f t="shared" si="29"/>
        <v>320429.04394805979</v>
      </c>
      <c r="G202" s="12">
        <f t="shared" si="29"/>
        <v>39603.589701445642</v>
      </c>
      <c r="H202" s="9"/>
      <c r="I202" s="12">
        <f t="shared" si="30"/>
        <v>308.70006096498247</v>
      </c>
      <c r="J202" s="12">
        <f t="shared" si="31"/>
        <v>1996.0080297029774</v>
      </c>
      <c r="K202" s="12">
        <f t="shared" si="32"/>
        <v>246.69762164868283</v>
      </c>
    </row>
    <row r="203" spans="2:11" x14ac:dyDescent="0.25">
      <c r="B203" s="10">
        <v>199</v>
      </c>
      <c r="C203" s="21">
        <v>44090</v>
      </c>
      <c r="D203" s="12">
        <f t="shared" si="27"/>
        <v>13287.858441048083</v>
      </c>
      <c r="E203" s="12">
        <f t="shared" si="28"/>
        <v>63462.269111107686</v>
      </c>
      <c r="F203" s="12">
        <f t="shared" si="29"/>
        <v>322367.67647858127</v>
      </c>
      <c r="G203" s="12">
        <f t="shared" si="29"/>
        <v>39843.19596926291</v>
      </c>
      <c r="H203" s="9"/>
      <c r="I203" s="12">
        <f t="shared" si="30"/>
        <v>293.34395928332776</v>
      </c>
      <c r="J203" s="12">
        <f t="shared" si="31"/>
        <v>1938.6325305215059</v>
      </c>
      <c r="K203" s="12">
        <f t="shared" si="32"/>
        <v>239.60626781726504</v>
      </c>
    </row>
    <row r="204" spans="2:11" x14ac:dyDescent="0.25">
      <c r="B204" s="20">
        <v>200</v>
      </c>
      <c r="C204" s="21">
        <v>44091</v>
      </c>
      <c r="D204" s="12">
        <f t="shared" si="27"/>
        <v>13008.961713187473</v>
      </c>
      <c r="E204" s="12">
        <f t="shared" si="28"/>
        <v>61625.756868598037</v>
      </c>
      <c r="F204" s="12">
        <f t="shared" si="29"/>
        <v>324250.39046221081</v>
      </c>
      <c r="G204" s="12">
        <f t="shared" si="29"/>
        <v>40075.890956003641</v>
      </c>
      <c r="H204" s="9"/>
      <c r="I204" s="12">
        <f t="shared" si="30"/>
        <v>278.89672786061033</v>
      </c>
      <c r="J204" s="12">
        <f t="shared" si="31"/>
        <v>1882.7139836295278</v>
      </c>
      <c r="K204" s="12">
        <f t="shared" si="32"/>
        <v>232.69498674072838</v>
      </c>
    </row>
    <row r="205" spans="2:11" x14ac:dyDescent="0.25">
      <c r="B205" s="19"/>
      <c r="C205" s="1"/>
      <c r="E205" s="12">
        <f>MAX(E4:E204)</f>
        <v>181398.51236376935</v>
      </c>
      <c r="I205" s="12">
        <f>MAX(I4:I204)</f>
        <v>9780.4200482797623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A6C1A-0950-4A82-AC95-8F5A91A3EB68}">
  <sheetPr codeName="Hoja5"/>
  <dimension ref="B2:N762"/>
  <sheetViews>
    <sheetView showGridLines="0" topLeftCell="B1" workbookViewId="0">
      <selection activeCell="D7" sqref="D7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4" t="s">
        <v>26</v>
      </c>
      <c r="E2" s="35"/>
      <c r="F2" s="35"/>
      <c r="G2" s="36"/>
      <c r="I2" s="34" t="s">
        <v>27</v>
      </c>
      <c r="J2" s="35"/>
      <c r="K2" s="36"/>
    </row>
    <row r="3" spans="2:14" x14ac:dyDescent="0.25">
      <c r="B3" s="14" t="s">
        <v>46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660652</v>
      </c>
    </row>
    <row r="4" spans="2:14" x14ac:dyDescent="0.25">
      <c r="B4" s="10">
        <v>0</v>
      </c>
      <c r="C4" s="11">
        <v>43891</v>
      </c>
      <c r="D4" s="12">
        <f>N3</f>
        <v>660652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660651.86800019979</v>
      </c>
      <c r="E5" s="12">
        <f>E4+I5-J5-K5</f>
        <v>1.0986664668643498</v>
      </c>
      <c r="F5" s="12">
        <f>F4+J5</f>
        <v>2.9666666666666664E-2</v>
      </c>
      <c r="G5" s="12">
        <f>G4+K5</f>
        <v>3.6666666666666701E-3</v>
      </c>
      <c r="H5" s="9"/>
      <c r="I5" s="12">
        <f>E4*N$6*D4/SUM(D4:F4)*N$7</f>
        <v>0.1319998001976832</v>
      </c>
      <c r="J5" s="12">
        <f>E4*N$8/N$5</f>
        <v>2.9666666666666664E-2</v>
      </c>
      <c r="K5" s="12">
        <f>E4*N$9/N$5</f>
        <v>3.6666666666666701E-3</v>
      </c>
      <c r="M5" s="2" t="s">
        <v>7</v>
      </c>
      <c r="N5" s="18">
        <f>Datos!G3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660651.72297647386</v>
      </c>
      <c r="E6" s="12">
        <f t="shared" ref="E6:E69" si="1">E5+I6-J6-K6</f>
        <v>1.2070679772410025</v>
      </c>
      <c r="F6" s="12">
        <f t="shared" ref="F6:G21" si="2">F5+J6</f>
        <v>6.22604385169757E-2</v>
      </c>
      <c r="G6" s="12">
        <f t="shared" si="2"/>
        <v>7.6951103785026231E-3</v>
      </c>
      <c r="H6" s="9"/>
      <c r="I6" s="12">
        <f t="shared" ref="I6:I69" si="3">E5*N$6*D5/SUM(D5:F5)*N$7</f>
        <v>0.14502372593879767</v>
      </c>
      <c r="J6" s="12">
        <f t="shared" ref="J6:J69" si="4">E5*N$8/N$5</f>
        <v>3.2593771850309039E-2</v>
      </c>
      <c r="K6" s="12">
        <f t="shared" ref="K6:K69" si="5">E5*N$9/N$5</f>
        <v>4.0284437118359526E-3</v>
      </c>
      <c r="M6" s="2" t="s">
        <v>8</v>
      </c>
      <c r="N6" s="3">
        <f>Datos!G4</f>
        <v>2</v>
      </c>
    </row>
    <row r="7" spans="2:14" x14ac:dyDescent="0.25">
      <c r="B7" s="10">
        <v>3</v>
      </c>
      <c r="C7" s="11">
        <v>43894</v>
      </c>
      <c r="D7" s="12">
        <f t="shared" si="0"/>
        <v>660651.56364380696</v>
      </c>
      <c r="E7" s="12">
        <f t="shared" si="1"/>
        <v>1.3261650448651912</v>
      </c>
      <c r="F7" s="12">
        <f t="shared" si="2"/>
        <v>9.8070121841792091E-2</v>
      </c>
      <c r="G7" s="12">
        <f t="shared" si="2"/>
        <v>1.212102629505297E-2</v>
      </c>
      <c r="H7" s="9"/>
      <c r="I7" s="12">
        <f t="shared" si="3"/>
        <v>0.1593326668655555</v>
      </c>
      <c r="J7" s="12">
        <f t="shared" si="4"/>
        <v>3.5809683324816398E-2</v>
      </c>
      <c r="K7" s="12">
        <f t="shared" si="5"/>
        <v>4.4259159165503468E-3</v>
      </c>
      <c r="M7" s="2" t="s">
        <v>9</v>
      </c>
      <c r="N7" s="4">
        <f>Datos!G5</f>
        <v>6.6000000000000003E-2</v>
      </c>
    </row>
    <row r="8" spans="2:14" x14ac:dyDescent="0.25">
      <c r="B8" s="10">
        <v>4</v>
      </c>
      <c r="C8" s="11">
        <v>43895</v>
      </c>
      <c r="D8" s="12">
        <f t="shared" si="0"/>
        <v>660651.38859039848</v>
      </c>
      <c r="E8" s="12">
        <f t="shared" si="1"/>
        <v>1.4570129519110824</v>
      </c>
      <c r="F8" s="12">
        <f t="shared" si="2"/>
        <v>0.13741301817279275</v>
      </c>
      <c r="G8" s="12">
        <f t="shared" si="2"/>
        <v>1.6983631459558675E-2</v>
      </c>
      <c r="H8" s="9"/>
      <c r="I8" s="12">
        <f t="shared" si="3"/>
        <v>0.17505340854139784</v>
      </c>
      <c r="J8" s="12">
        <f t="shared" si="4"/>
        <v>3.9342896331000667E-2</v>
      </c>
      <c r="K8" s="12">
        <f t="shared" si="5"/>
        <v>4.8626051645057049E-3</v>
      </c>
      <c r="M8" s="2" t="s">
        <v>10</v>
      </c>
      <c r="N8" s="5">
        <f>Datos!G6</f>
        <v>0.8899999999999999</v>
      </c>
    </row>
    <row r="9" spans="2:14" x14ac:dyDescent="0.25">
      <c r="B9" s="10">
        <v>5</v>
      </c>
      <c r="C9" s="11">
        <v>43896</v>
      </c>
      <c r="D9" s="12">
        <f t="shared" si="0"/>
        <v>660651.196265153</v>
      </c>
      <c r="E9" s="12">
        <f t="shared" si="1"/>
        <v>1.6007710990056772</v>
      </c>
      <c r="F9" s="12">
        <f t="shared" si="2"/>
        <v>0.18063773574615485</v>
      </c>
      <c r="G9" s="12">
        <f t="shared" si="2"/>
        <v>2.2326012283232648E-2</v>
      </c>
      <c r="H9" s="9"/>
      <c r="I9" s="12">
        <f t="shared" si="3"/>
        <v>0.1923252454916308</v>
      </c>
      <c r="J9" s="12">
        <f t="shared" si="4"/>
        <v>4.3224717573362104E-2</v>
      </c>
      <c r="K9" s="12">
        <f t="shared" si="5"/>
        <v>5.3423808236739735E-3</v>
      </c>
      <c r="M9" s="2" t="s">
        <v>11</v>
      </c>
      <c r="N9" s="5">
        <f>Datos!G7</f>
        <v>0.1100000000000001</v>
      </c>
    </row>
    <row r="10" spans="2:14" x14ac:dyDescent="0.25">
      <c r="B10" s="10">
        <v>6</v>
      </c>
      <c r="C10" s="11">
        <v>43897</v>
      </c>
      <c r="D10" s="12">
        <f t="shared" si="0"/>
        <v>660650.98496393766</v>
      </c>
      <c r="E10" s="12">
        <f t="shared" si="1"/>
        <v>1.7587132776790479</v>
      </c>
      <c r="F10" s="12">
        <f t="shared" si="2"/>
        <v>0.22812727834998994</v>
      </c>
      <c r="G10" s="12">
        <f t="shared" si="2"/>
        <v>2.8195506312920136E-2</v>
      </c>
      <c r="H10" s="9"/>
      <c r="I10" s="12">
        <f t="shared" si="3"/>
        <v>0.21130121530689341</v>
      </c>
      <c r="J10" s="12">
        <f t="shared" si="4"/>
        <v>4.7489542603835082E-2</v>
      </c>
      <c r="K10" s="12">
        <f t="shared" si="5"/>
        <v>5.869494029687488E-3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660650.75281448313</v>
      </c>
      <c r="E11" s="12">
        <f t="shared" si="1"/>
        <v>1.9322389562442053</v>
      </c>
      <c r="F11" s="12">
        <f t="shared" si="2"/>
        <v>0.28030243892113504</v>
      </c>
      <c r="G11" s="12">
        <f t="shared" si="2"/>
        <v>3.4644121664409985E-2</v>
      </c>
      <c r="H11" s="9"/>
      <c r="I11" s="12">
        <f t="shared" si="3"/>
        <v>0.23214945448779228</v>
      </c>
      <c r="J11" s="12">
        <f t="shared" si="4"/>
        <v>5.2175160571145088E-2</v>
      </c>
      <c r="K11" s="12">
        <f t="shared" si="5"/>
        <v>6.4486153514898481E-3</v>
      </c>
      <c r="M11" s="2" t="s">
        <v>12</v>
      </c>
      <c r="N11" s="7">
        <f>SUM(I5:I204)+E4</f>
        <v>639084.375108373</v>
      </c>
    </row>
    <row r="12" spans="2:14" x14ac:dyDescent="0.25">
      <c r="B12" s="10">
        <v>8</v>
      </c>
      <c r="C12" s="11">
        <v>43899</v>
      </c>
      <c r="D12" s="12">
        <f t="shared" si="0"/>
        <v>660650.49775979505</v>
      </c>
      <c r="E12" s="12">
        <f t="shared" si="1"/>
        <v>2.1228856790736472</v>
      </c>
      <c r="F12" s="12">
        <f t="shared" si="2"/>
        <v>0.33762552795637979</v>
      </c>
      <c r="G12" s="12">
        <f t="shared" si="2"/>
        <v>4.1728997837305409E-2</v>
      </c>
      <c r="H12" s="9"/>
      <c r="I12" s="12">
        <f t="shared" si="3"/>
        <v>0.25505468803758219</v>
      </c>
      <c r="J12" s="12">
        <f t="shared" si="4"/>
        <v>5.7323089035244752E-2</v>
      </c>
      <c r="K12" s="12">
        <f t="shared" si="5"/>
        <v>7.0848761728954258E-3</v>
      </c>
      <c r="M12" s="2" t="s">
        <v>13</v>
      </c>
      <c r="N12" s="7">
        <f>SUM(J5:J204)</f>
        <v>475074.29142000084</v>
      </c>
    </row>
    <row r="13" spans="2:14" x14ac:dyDescent="0.25">
      <c r="B13" s="10">
        <v>9</v>
      </c>
      <c r="C13" s="11">
        <v>43900</v>
      </c>
      <c r="D13" s="12">
        <f t="shared" si="0"/>
        <v>660650.21753992909</v>
      </c>
      <c r="E13" s="12">
        <f t="shared" si="1"/>
        <v>2.3323426890979553</v>
      </c>
      <c r="F13" s="12">
        <f t="shared" si="2"/>
        <v>0.40060446976889796</v>
      </c>
      <c r="G13" s="12">
        <f t="shared" si="2"/>
        <v>4.9512911993908788E-2</v>
      </c>
      <c r="H13" s="9"/>
      <c r="I13" s="12">
        <f t="shared" si="3"/>
        <v>0.28021986599342985</v>
      </c>
      <c r="J13" s="12">
        <f t="shared" si="4"/>
        <v>6.2978941812518202E-2</v>
      </c>
      <c r="K13" s="12">
        <f t="shared" si="5"/>
        <v>7.7839141566033807E-3</v>
      </c>
      <c r="M13" s="2" t="s">
        <v>14</v>
      </c>
      <c r="N13" s="7">
        <f>SUM(K5:K204)</f>
        <v>58717.047254157471</v>
      </c>
    </row>
    <row r="14" spans="2:14" x14ac:dyDescent="0.25">
      <c r="B14" s="10">
        <v>10</v>
      </c>
      <c r="C14" s="11">
        <v>43901</v>
      </c>
      <c r="D14" s="12">
        <f t="shared" si="0"/>
        <v>660649.90967196773</v>
      </c>
      <c r="E14" s="12">
        <f t="shared" si="1"/>
        <v>2.5624658941817255</v>
      </c>
      <c r="F14" s="12">
        <f t="shared" si="2"/>
        <v>0.46979730287880395</v>
      </c>
      <c r="G14" s="12">
        <f t="shared" si="2"/>
        <v>5.8064835187267967E-2</v>
      </c>
      <c r="H14" s="9"/>
      <c r="I14" s="12">
        <f t="shared" si="3"/>
        <v>0.30786796138703576</v>
      </c>
      <c r="J14" s="12">
        <f t="shared" si="4"/>
        <v>6.919283310990601E-2</v>
      </c>
      <c r="K14" s="12">
        <f t="shared" si="5"/>
        <v>8.5519231933591771E-3</v>
      </c>
      <c r="M14" s="2" t="s">
        <v>15</v>
      </c>
      <c r="N14" s="7">
        <f>SUM(D4:G4)-N11</f>
        <v>21568.624891626998</v>
      </c>
    </row>
    <row r="15" spans="2:14" x14ac:dyDescent="0.25">
      <c r="B15" s="10">
        <v>11</v>
      </c>
      <c r="C15" s="11">
        <v>43902</v>
      </c>
      <c r="D15" s="12">
        <f t="shared" si="0"/>
        <v>660649.57142802223</v>
      </c>
      <c r="E15" s="12">
        <f t="shared" si="1"/>
        <v>2.8152943099293268</v>
      </c>
      <c r="F15" s="12">
        <f t="shared" si="2"/>
        <v>0.54581712440619512</v>
      </c>
      <c r="G15" s="12">
        <f t="shared" si="2"/>
        <v>6.7460543465934303E-2</v>
      </c>
      <c r="H15" s="9"/>
      <c r="I15" s="12">
        <f t="shared" si="3"/>
        <v>0.33824394555365894</v>
      </c>
      <c r="J15" s="12">
        <f t="shared" si="4"/>
        <v>7.6019821527391188E-2</v>
      </c>
      <c r="K15" s="12">
        <f t="shared" si="5"/>
        <v>9.3957082786663357E-3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660649.19981106394</v>
      </c>
      <c r="E16" s="12">
        <f t="shared" si="1"/>
        <v>3.0930681245424951</v>
      </c>
      <c r="F16" s="12">
        <f t="shared" si="2"/>
        <v>0.62933752226743178</v>
      </c>
      <c r="G16" s="12">
        <f t="shared" si="2"/>
        <v>7.7783289269008515E-2</v>
      </c>
      <c r="H16" s="9"/>
      <c r="I16" s="12">
        <f t="shared" si="3"/>
        <v>0.37161695827747965</v>
      </c>
      <c r="J16" s="12">
        <f t="shared" si="4"/>
        <v>8.3520397861236689E-2</v>
      </c>
      <c r="K16" s="12">
        <f t="shared" si="5"/>
        <v>1.0322745803074207E-2</v>
      </c>
      <c r="M16" s="2" t="s">
        <v>16</v>
      </c>
      <c r="N16" s="7">
        <f>MAX(E4:E204)</f>
        <v>273055.59537307976</v>
      </c>
    </row>
    <row r="17" spans="2:14" x14ac:dyDescent="0.25">
      <c r="B17" s="10">
        <v>13</v>
      </c>
      <c r="C17" s="11">
        <v>43904</v>
      </c>
      <c r="D17" s="12">
        <f t="shared" si="0"/>
        <v>660648.79152837198</v>
      </c>
      <c r="E17" s="12">
        <f t="shared" si="1"/>
        <v>3.3982485457089564</v>
      </c>
      <c r="F17" s="12">
        <f t="shared" si="2"/>
        <v>0.72109854329552581</v>
      </c>
      <c r="G17" s="12">
        <f t="shared" si="2"/>
        <v>8.912453905899767E-2</v>
      </c>
      <c r="H17" s="9"/>
      <c r="I17" s="12">
        <f t="shared" si="3"/>
        <v>0.40828269198454398</v>
      </c>
      <c r="J17" s="12">
        <f t="shared" si="4"/>
        <v>9.1761021028094011E-2</v>
      </c>
      <c r="K17" s="12">
        <f t="shared" si="5"/>
        <v>1.1341249789989159E-2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660648.34296236094</v>
      </c>
      <c r="E18" s="12">
        <f t="shared" si="1"/>
        <v>3.7335396052727599</v>
      </c>
      <c r="F18" s="12">
        <f t="shared" si="2"/>
        <v>0.82191325015155814</v>
      </c>
      <c r="G18" s="12">
        <f t="shared" si="2"/>
        <v>0.10158478372659718</v>
      </c>
      <c r="H18" s="9"/>
      <c r="I18" s="12">
        <f t="shared" si="3"/>
        <v>0.44856601108743527</v>
      </c>
      <c r="J18" s="12">
        <f t="shared" si="4"/>
        <v>0.10081470685603236</v>
      </c>
      <c r="K18" s="12">
        <f t="shared" si="5"/>
        <v>1.2460244667599518E-2</v>
      </c>
      <c r="M18" s="2" t="s">
        <v>17</v>
      </c>
      <c r="N18" s="7">
        <f>MAX(I5:I204)</f>
        <v>14724.720520340952</v>
      </c>
    </row>
    <row r="19" spans="2:14" x14ac:dyDescent="0.25">
      <c r="B19" s="10">
        <v>15</v>
      </c>
      <c r="C19" s="11">
        <v>43906</v>
      </c>
      <c r="D19" s="12">
        <f t="shared" si="0"/>
        <v>660647.8501385313</v>
      </c>
      <c r="E19" s="12">
        <f t="shared" si="1"/>
        <v>4.1019121147619408</v>
      </c>
      <c r="F19" s="12">
        <f t="shared" si="2"/>
        <v>0.93267492510798333</v>
      </c>
      <c r="G19" s="12">
        <f t="shared" si="2"/>
        <v>0.11527442894593065</v>
      </c>
      <c r="H19" s="9"/>
      <c r="I19" s="12">
        <f t="shared" si="3"/>
        <v>0.49282382966493943</v>
      </c>
      <c r="J19" s="12">
        <f t="shared" si="4"/>
        <v>0.11076167495642521</v>
      </c>
      <c r="K19" s="12">
        <f t="shared" si="5"/>
        <v>1.3689645219333465E-2</v>
      </c>
      <c r="M19" s="2" t="s">
        <v>18</v>
      </c>
      <c r="N19" s="7">
        <f>MAX(J5:J204)</f>
        <v>8100.6493294013653</v>
      </c>
    </row>
    <row r="20" spans="2:14" x14ac:dyDescent="0.25">
      <c r="B20" s="10">
        <v>16</v>
      </c>
      <c r="C20" s="11">
        <v>43907</v>
      </c>
      <c r="D20" s="12">
        <f t="shared" si="0"/>
        <v>660647.3086902583</v>
      </c>
      <c r="E20" s="12">
        <f t="shared" si="1"/>
        <v>4.506629983880126</v>
      </c>
      <c r="F20" s="12">
        <f t="shared" si="2"/>
        <v>1.0543649845125875</v>
      </c>
      <c r="G20" s="12">
        <f t="shared" si="2"/>
        <v>0.13031477336672445</v>
      </c>
      <c r="H20" s="9"/>
      <c r="I20" s="12">
        <f t="shared" si="3"/>
        <v>0.54144827294358355</v>
      </c>
      <c r="J20" s="12">
        <f t="shared" si="4"/>
        <v>0.12169005940460423</v>
      </c>
      <c r="K20" s="12">
        <f t="shared" si="5"/>
        <v>1.5040344420793796E-2</v>
      </c>
      <c r="M20" s="2" t="s">
        <v>19</v>
      </c>
      <c r="N20" s="7">
        <f>MAX(K5:K204)</f>
        <v>1001.2038497012933</v>
      </c>
    </row>
    <row r="21" spans="2:14" x14ac:dyDescent="0.25">
      <c r="B21" s="10">
        <v>17</v>
      </c>
      <c r="C21" s="11">
        <v>43908</v>
      </c>
      <c r="D21" s="12">
        <f t="shared" si="0"/>
        <v>660646.71382010775</v>
      </c>
      <c r="E21" s="12">
        <f t="shared" si="1"/>
        <v>4.9512791349735181</v>
      </c>
      <c r="F21" s="12">
        <f t="shared" si="2"/>
        <v>1.1880616740343646</v>
      </c>
      <c r="G21" s="12">
        <f t="shared" si="2"/>
        <v>0.14683908330761827</v>
      </c>
      <c r="H21" s="9"/>
      <c r="I21" s="12">
        <f t="shared" si="3"/>
        <v>0.59487015055606318</v>
      </c>
      <c r="J21" s="12">
        <f t="shared" si="4"/>
        <v>0.13369668952177705</v>
      </c>
      <c r="K21" s="12">
        <f t="shared" si="5"/>
        <v>1.6524309940893812E-2</v>
      </c>
    </row>
    <row r="22" spans="2:14" x14ac:dyDescent="0.25">
      <c r="B22" s="10">
        <v>18</v>
      </c>
      <c r="C22" s="11">
        <v>43909</v>
      </c>
      <c r="D22" s="12">
        <f t="shared" si="0"/>
        <v>660646.06025733543</v>
      </c>
      <c r="E22" s="12">
        <f t="shared" si="1"/>
        <v>5.4397992694473052</v>
      </c>
      <c r="F22" s="12">
        <f t="shared" ref="F22:G37" si="6">F21+J22</f>
        <v>1.3349496217052457</v>
      </c>
      <c r="G22" s="12">
        <f t="shared" si="6"/>
        <v>0.16499377346918787</v>
      </c>
      <c r="H22" s="9"/>
      <c r="I22" s="12">
        <f t="shared" si="3"/>
        <v>0.65356277230623749</v>
      </c>
      <c r="J22" s="12">
        <f t="shared" si="4"/>
        <v>0.14688794767088101</v>
      </c>
      <c r="K22" s="12">
        <f t="shared" si="5"/>
        <v>1.8154690161569582E-2</v>
      </c>
    </row>
    <row r="23" spans="2:14" x14ac:dyDescent="0.25">
      <c r="B23" s="10">
        <v>19</v>
      </c>
      <c r="C23" s="11">
        <v>43910</v>
      </c>
      <c r="D23" s="12">
        <f t="shared" si="0"/>
        <v>660645.34221119527</v>
      </c>
      <c r="E23" s="12">
        <f t="shared" si="1"/>
        <v>5.9765187673280602</v>
      </c>
      <c r="F23" s="12">
        <f t="shared" si="6"/>
        <v>1.4963303333655158</v>
      </c>
      <c r="G23" s="12">
        <f t="shared" si="6"/>
        <v>0.18493970412382799</v>
      </c>
      <c r="H23" s="9"/>
      <c r="I23" s="12">
        <f t="shared" si="3"/>
        <v>0.71804614019566493</v>
      </c>
      <c r="J23" s="12">
        <f t="shared" si="4"/>
        <v>0.16138071166027004</v>
      </c>
      <c r="K23" s="12">
        <f t="shared" si="5"/>
        <v>1.9945930654640134E-2</v>
      </c>
    </row>
    <row r="24" spans="2:14" x14ac:dyDescent="0.25">
      <c r="B24" s="10">
        <v>20</v>
      </c>
      <c r="C24" s="11">
        <v>43911</v>
      </c>
      <c r="D24" s="12">
        <f t="shared" si="0"/>
        <v>660644.55331964151</v>
      </c>
      <c r="E24" s="12">
        <f t="shared" si="1"/>
        <v>6.5661930288728705</v>
      </c>
      <c r="F24" s="12">
        <f t="shared" si="6"/>
        <v>1.6736337234629148</v>
      </c>
      <c r="G24" s="12">
        <f t="shared" si="6"/>
        <v>0.20685360627069754</v>
      </c>
      <c r="H24" s="9"/>
      <c r="I24" s="12">
        <f t="shared" si="3"/>
        <v>0.78889155378907938</v>
      </c>
      <c r="J24" s="12">
        <f t="shared" si="4"/>
        <v>0.17730339009739909</v>
      </c>
      <c r="K24" s="12">
        <f t="shared" si="5"/>
        <v>2.1913902146869571E-2</v>
      </c>
    </row>
    <row r="25" spans="2:14" x14ac:dyDescent="0.25">
      <c r="B25" s="10">
        <v>21</v>
      </c>
      <c r="C25" s="11">
        <v>43912</v>
      </c>
      <c r="D25" s="12">
        <f t="shared" si="0"/>
        <v>660643.68659297191</v>
      </c>
      <c r="E25" s="12">
        <f t="shared" si="1"/>
        <v>7.2140465975551891</v>
      </c>
      <c r="F25" s="12">
        <f t="shared" si="6"/>
        <v>1.8684307833194767</v>
      </c>
      <c r="G25" s="12">
        <f t="shared" si="6"/>
        <v>0.23092964737656477</v>
      </c>
      <c r="H25" s="9"/>
      <c r="I25" s="12">
        <f t="shared" si="3"/>
        <v>0.86672666964474787</v>
      </c>
      <c r="J25" s="12">
        <f t="shared" si="4"/>
        <v>0.19479705985656182</v>
      </c>
      <c r="K25" s="12">
        <f t="shared" si="5"/>
        <v>2.4076041105867214E-2</v>
      </c>
    </row>
    <row r="26" spans="2:14" x14ac:dyDescent="0.25">
      <c r="B26" s="10">
        <v>22</v>
      </c>
      <c r="C26" s="11">
        <v>43913</v>
      </c>
      <c r="D26" s="12">
        <f t="shared" si="0"/>
        <v>660642.7343519124</v>
      </c>
      <c r="E26" s="12">
        <f t="shared" si="1"/>
        <v>7.9258194371788653</v>
      </c>
      <c r="F26" s="12">
        <f t="shared" si="6"/>
        <v>2.082447499046947</v>
      </c>
      <c r="G26" s="12">
        <f t="shared" si="6"/>
        <v>0.2573811515676005</v>
      </c>
      <c r="H26" s="9"/>
      <c r="I26" s="12">
        <f t="shared" si="3"/>
        <v>0.95224105954218263</v>
      </c>
      <c r="J26" s="12">
        <f t="shared" si="4"/>
        <v>0.21401671572747058</v>
      </c>
      <c r="K26" s="12">
        <f t="shared" si="5"/>
        <v>2.6451504191035716E-2</v>
      </c>
    </row>
    <row r="27" spans="2:14" x14ac:dyDescent="0.25">
      <c r="B27" s="10">
        <v>23</v>
      </c>
      <c r="C27" s="11">
        <v>43914</v>
      </c>
      <c r="D27" s="12">
        <f t="shared" si="0"/>
        <v>660641.68815959571</v>
      </c>
      <c r="E27" s="12">
        <f t="shared" si="1"/>
        <v>8.7078177725786485</v>
      </c>
      <c r="F27" s="12">
        <f t="shared" si="6"/>
        <v>2.3175801423499198</v>
      </c>
      <c r="G27" s="12">
        <f t="shared" si="6"/>
        <v>0.28644248950392304</v>
      </c>
      <c r="H27" s="9"/>
      <c r="I27" s="12">
        <f t="shared" si="3"/>
        <v>1.046192316639079</v>
      </c>
      <c r="J27" s="12">
        <f t="shared" si="4"/>
        <v>0.23513264330297295</v>
      </c>
      <c r="K27" s="12">
        <f t="shared" si="5"/>
        <v>2.9061337936322533E-2</v>
      </c>
    </row>
    <row r="28" spans="2:14" x14ac:dyDescent="0.25">
      <c r="B28" s="10">
        <v>24</v>
      </c>
      <c r="C28" s="11">
        <v>43915</v>
      </c>
      <c r="D28" s="12">
        <f t="shared" si="0"/>
        <v>660640.53874683217</v>
      </c>
      <c r="E28" s="12">
        <f t="shared" si="1"/>
        <v>9.5669699436792435</v>
      </c>
      <c r="F28" s="12">
        <f t="shared" si="6"/>
        <v>2.5759120696030866</v>
      </c>
      <c r="G28" s="12">
        <f t="shared" si="6"/>
        <v>0.31837115467004479</v>
      </c>
      <c r="H28" s="9"/>
      <c r="I28" s="12">
        <f t="shared" si="3"/>
        <v>1.1494127635198836</v>
      </c>
      <c r="J28" s="12">
        <f t="shared" si="4"/>
        <v>0.25833192725316656</v>
      </c>
      <c r="K28" s="12">
        <f t="shared" si="5"/>
        <v>3.1928665166121736E-2</v>
      </c>
    </row>
    <row r="29" spans="2:14" x14ac:dyDescent="0.25">
      <c r="B29" s="10">
        <v>25</v>
      </c>
      <c r="C29" s="11">
        <v>43916</v>
      </c>
      <c r="D29" s="12">
        <f t="shared" si="0"/>
        <v>660639.27593001071</v>
      </c>
      <c r="E29" s="12">
        <f t="shared" si="1"/>
        <v>10.5108877669586</v>
      </c>
      <c r="F29" s="12">
        <f t="shared" si="6"/>
        <v>2.8597321779322376</v>
      </c>
      <c r="G29" s="12">
        <f t="shared" si="6"/>
        <v>0.3534500444635354</v>
      </c>
      <c r="H29" s="9"/>
      <c r="I29" s="12">
        <f t="shared" si="3"/>
        <v>1.2628168214019979</v>
      </c>
      <c r="J29" s="12">
        <f t="shared" si="4"/>
        <v>0.28382010832915083</v>
      </c>
      <c r="K29" s="12">
        <f t="shared" si="5"/>
        <v>3.5078889793490595E-2</v>
      </c>
    </row>
    <row r="30" spans="2:14" x14ac:dyDescent="0.25">
      <c r="B30" s="10">
        <v>26</v>
      </c>
      <c r="C30" s="11">
        <v>43917</v>
      </c>
      <c r="D30" s="12">
        <f t="shared" si="0"/>
        <v>660637.88852090517</v>
      </c>
      <c r="E30" s="12">
        <f t="shared" si="1"/>
        <v>11.547933946981523</v>
      </c>
      <c r="F30" s="12">
        <f t="shared" si="6"/>
        <v>3.1715551816853425</v>
      </c>
      <c r="G30" s="12">
        <f t="shared" si="6"/>
        <v>0.39198996627571697</v>
      </c>
      <c r="H30" s="9"/>
      <c r="I30" s="12">
        <f t="shared" si="3"/>
        <v>1.3874091055882107</v>
      </c>
      <c r="J30" s="12">
        <f t="shared" si="4"/>
        <v>0.31182300375310507</v>
      </c>
      <c r="K30" s="12">
        <f t="shared" si="5"/>
        <v>3.853992181218157E-2</v>
      </c>
    </row>
    <row r="31" spans="2:14" x14ac:dyDescent="0.25">
      <c r="B31" s="10">
        <v>27</v>
      </c>
      <c r="C31" s="11">
        <v>43918</v>
      </c>
      <c r="D31" s="12">
        <f t="shared" si="0"/>
        <v>660636.36422758654</v>
      </c>
      <c r="E31" s="12">
        <f t="shared" si="1"/>
        <v>12.687296134061373</v>
      </c>
      <c r="F31" s="12">
        <f t="shared" si="6"/>
        <v>3.5141438887791274</v>
      </c>
      <c r="G31" s="12">
        <f t="shared" si="6"/>
        <v>0.43433239074798258</v>
      </c>
      <c r="H31" s="9"/>
      <c r="I31" s="12">
        <f t="shared" si="3"/>
        <v>1.5242933186459005</v>
      </c>
      <c r="J31" s="12">
        <f t="shared" si="4"/>
        <v>0.34258870709378514</v>
      </c>
      <c r="K31" s="12">
        <f t="shared" si="5"/>
        <v>4.2342424472265626E-2</v>
      </c>
    </row>
    <row r="32" spans="2:14" x14ac:dyDescent="0.25">
      <c r="B32" s="10">
        <v>28</v>
      </c>
      <c r="C32" s="11">
        <v>43919</v>
      </c>
      <c r="D32" s="12">
        <f t="shared" si="0"/>
        <v>660634.68954556668</v>
      </c>
      <c r="E32" s="12">
        <f t="shared" si="1"/>
        <v>13.939068282735892</v>
      </c>
      <c r="F32" s="12">
        <f t="shared" si="6"/>
        <v>3.8905336740896148</v>
      </c>
      <c r="G32" s="12">
        <f t="shared" si="6"/>
        <v>0.48085247657287433</v>
      </c>
      <c r="H32" s="9"/>
      <c r="I32" s="12">
        <f t="shared" si="3"/>
        <v>1.6746820198098971</v>
      </c>
      <c r="J32" s="12">
        <f t="shared" si="4"/>
        <v>0.37638978531048739</v>
      </c>
      <c r="K32" s="12">
        <f t="shared" si="5"/>
        <v>4.6520085824891748E-2</v>
      </c>
    </row>
    <row r="33" spans="2:11" x14ac:dyDescent="0.25">
      <c r="B33" s="10">
        <v>29</v>
      </c>
      <c r="C33" s="11">
        <v>43920</v>
      </c>
      <c r="D33" s="12">
        <f t="shared" si="0"/>
        <v>660632.84963820991</v>
      </c>
      <c r="E33" s="12">
        <f t="shared" si="1"/>
        <v>15.314340030118352</v>
      </c>
      <c r="F33" s="12">
        <f t="shared" si="6"/>
        <v>4.3040593664774462</v>
      </c>
      <c r="G33" s="12">
        <f t="shared" si="6"/>
        <v>0.53196239360957265</v>
      </c>
      <c r="H33" s="9"/>
      <c r="I33" s="12">
        <f t="shared" si="3"/>
        <v>1.8399073568069884</v>
      </c>
      <c r="J33" s="12">
        <f t="shared" si="4"/>
        <v>0.41352569238783143</v>
      </c>
      <c r="K33" s="12">
        <f t="shared" si="5"/>
        <v>5.1109917036698316E-2</v>
      </c>
    </row>
    <row r="34" spans="2:11" x14ac:dyDescent="0.25">
      <c r="B34" s="10">
        <v>30</v>
      </c>
      <c r="C34" s="13">
        <v>43921</v>
      </c>
      <c r="D34" s="12">
        <f t="shared" si="0"/>
        <v>660630.82820535521</v>
      </c>
      <c r="E34" s="12">
        <f t="shared" si="1"/>
        <v>16.825294883866352</v>
      </c>
      <c r="F34" s="12">
        <f t="shared" si="6"/>
        <v>4.7583847873709573</v>
      </c>
      <c r="G34" s="12">
        <f t="shared" si="6"/>
        <v>0.58811497372000665</v>
      </c>
      <c r="H34" s="9"/>
      <c r="I34" s="12">
        <f t="shared" si="3"/>
        <v>2.0214328547519478</v>
      </c>
      <c r="J34" s="12">
        <f t="shared" si="4"/>
        <v>0.45432542089351108</v>
      </c>
      <c r="K34" s="12">
        <f t="shared" si="5"/>
        <v>5.615258011043401E-2</v>
      </c>
    </row>
    <row r="35" spans="2:11" x14ac:dyDescent="0.25">
      <c r="B35" s="10">
        <v>31</v>
      </c>
      <c r="C35" s="11">
        <v>43922</v>
      </c>
      <c r="D35" s="12">
        <f t="shared" si="0"/>
        <v>660628.60733898915</v>
      </c>
      <c r="E35" s="12">
        <f t="shared" si="1"/>
        <v>18.485318087110549</v>
      </c>
      <c r="F35" s="12">
        <f t="shared" si="6"/>
        <v>5.2575352022589925</v>
      </c>
      <c r="G35" s="12">
        <f t="shared" si="6"/>
        <v>0.64980772162751665</v>
      </c>
      <c r="H35" s="9"/>
      <c r="I35" s="12">
        <f t="shared" si="3"/>
        <v>2.2208663660397425</v>
      </c>
      <c r="J35" s="12">
        <f t="shared" si="4"/>
        <v>0.49915041488803508</v>
      </c>
      <c r="K35" s="12">
        <f t="shared" si="5"/>
        <v>6.1692747907510011E-2</v>
      </c>
    </row>
    <row r="36" spans="2:11" x14ac:dyDescent="0.25">
      <c r="B36" s="10">
        <v>32</v>
      </c>
      <c r="C36" s="11">
        <v>43923</v>
      </c>
      <c r="D36" s="12">
        <f t="shared" si="0"/>
        <v>660626.16736469383</v>
      </c>
      <c r="E36" s="12">
        <f t="shared" si="1"/>
        <v>20.309115112875475</v>
      </c>
      <c r="F36" s="12">
        <f t="shared" si="6"/>
        <v>5.8059329721766053</v>
      </c>
      <c r="G36" s="12">
        <f t="shared" si="6"/>
        <v>0.71758722128025543</v>
      </c>
      <c r="H36" s="9"/>
      <c r="I36" s="12">
        <f t="shared" si="3"/>
        <v>2.4399742953352788</v>
      </c>
      <c r="J36" s="12">
        <f t="shared" si="4"/>
        <v>0.54839776991761291</v>
      </c>
      <c r="K36" s="12">
        <f t="shared" si="5"/>
        <v>6.7779499652738745E-2</v>
      </c>
    </row>
    <row r="37" spans="2:11" x14ac:dyDescent="0.25">
      <c r="B37" s="10">
        <v>33</v>
      </c>
      <c r="C37" s="11">
        <v>43924</v>
      </c>
      <c r="D37" s="12">
        <f t="shared" si="0"/>
        <v>660623.48666746891</v>
      </c>
      <c r="E37" s="12">
        <f t="shared" si="1"/>
        <v>22.312841834039808</v>
      </c>
      <c r="F37" s="12">
        <f t="shared" si="6"/>
        <v>6.4084367205252439</v>
      </c>
      <c r="G37" s="12">
        <f t="shared" si="6"/>
        <v>0.79205397669413224</v>
      </c>
      <c r="H37" s="9"/>
      <c r="I37" s="12">
        <f t="shared" si="3"/>
        <v>2.6806972249268477</v>
      </c>
      <c r="J37" s="12">
        <f t="shared" si="4"/>
        <v>0.60250374834863896</v>
      </c>
      <c r="K37" s="12">
        <f t="shared" si="5"/>
        <v>7.4466755413876803E-2</v>
      </c>
    </row>
    <row r="38" spans="2:11" x14ac:dyDescent="0.25">
      <c r="B38" s="10">
        <v>34</v>
      </c>
      <c r="C38" s="11">
        <v>43925</v>
      </c>
      <c r="D38" s="12">
        <f t="shared" si="0"/>
        <v>660620.54150039097</v>
      </c>
      <c r="E38" s="12">
        <f t="shared" si="1"/>
        <v>24.514247517528368</v>
      </c>
      <c r="F38" s="12">
        <f t="shared" ref="F38:G53" si="7">F37+J38</f>
        <v>7.0703843616017581</v>
      </c>
      <c r="G38" s="12">
        <f t="shared" si="7"/>
        <v>0.87386773008561158</v>
      </c>
      <c r="H38" s="9"/>
      <c r="I38" s="12">
        <f t="shared" si="3"/>
        <v>2.9451670779565529</v>
      </c>
      <c r="J38" s="12">
        <f t="shared" si="4"/>
        <v>0.66194764107651427</v>
      </c>
      <c r="K38" s="12">
        <f t="shared" si="5"/>
        <v>8.1813753391479366E-2</v>
      </c>
    </row>
    <row r="39" spans="2:11" x14ac:dyDescent="0.25">
      <c r="B39" s="10">
        <v>35</v>
      </c>
      <c r="C39" s="11">
        <v>43926</v>
      </c>
      <c r="D39" s="12">
        <f t="shared" si="0"/>
        <v>660617.3057744205</v>
      </c>
      <c r="E39" s="12">
        <f t="shared" si="1"/>
        <v>26.932831904084008</v>
      </c>
      <c r="F39" s="12">
        <f t="shared" si="7"/>
        <v>7.7976403712884332</v>
      </c>
      <c r="G39" s="12">
        <f t="shared" si="7"/>
        <v>0.96375330431654904</v>
      </c>
      <c r="H39" s="9"/>
      <c r="I39" s="12">
        <f t="shared" si="3"/>
        <v>3.2357259704732493</v>
      </c>
      <c r="J39" s="12">
        <f t="shared" si="4"/>
        <v>0.72725600968667481</v>
      </c>
      <c r="K39" s="12">
        <f t="shared" si="5"/>
        <v>8.9885574230937432E-2</v>
      </c>
    </row>
    <row r="40" spans="2:11" x14ac:dyDescent="0.25">
      <c r="B40" s="10">
        <v>36</v>
      </c>
      <c r="C40" s="11">
        <v>43927</v>
      </c>
      <c r="D40" s="12">
        <f t="shared" si="0"/>
        <v>660613.75082750246</v>
      </c>
      <c r="E40" s="12">
        <f t="shared" si="1"/>
        <v>29.590017758597529</v>
      </c>
      <c r="F40" s="12">
        <f t="shared" si="7"/>
        <v>8.5966477177762588</v>
      </c>
      <c r="G40" s="12">
        <f t="shared" si="7"/>
        <v>1.0625070212981904</v>
      </c>
      <c r="H40" s="9"/>
      <c r="I40" s="12">
        <f t="shared" si="3"/>
        <v>3.5549469179829871</v>
      </c>
      <c r="J40" s="12">
        <f t="shared" si="4"/>
        <v>0.79900734648782545</v>
      </c>
      <c r="K40" s="12">
        <f t="shared" si="5"/>
        <v>9.8753716981641454E-2</v>
      </c>
    </row>
    <row r="41" spans="2:11" x14ac:dyDescent="0.25">
      <c r="B41" s="10">
        <v>37</v>
      </c>
      <c r="C41" s="11">
        <v>43928</v>
      </c>
      <c r="D41" s="12">
        <f t="shared" si="0"/>
        <v>660609.84517092409</v>
      </c>
      <c r="E41" s="12">
        <f t="shared" si="1"/>
        <v>32.509340411631783</v>
      </c>
      <c r="F41" s="12">
        <f t="shared" si="7"/>
        <v>9.4744849112813192</v>
      </c>
      <c r="G41" s="12">
        <f t="shared" si="7"/>
        <v>1.1710037530797148</v>
      </c>
      <c r="H41" s="9"/>
      <c r="I41" s="12">
        <f t="shared" si="3"/>
        <v>3.9056565783208339</v>
      </c>
      <c r="J41" s="12">
        <f t="shared" si="4"/>
        <v>0.87783719350505995</v>
      </c>
      <c r="K41" s="12">
        <f t="shared" si="5"/>
        <v>0.10849673178152437</v>
      </c>
    </row>
    <row r="42" spans="2:11" x14ac:dyDescent="0.25">
      <c r="B42" s="10">
        <v>38</v>
      </c>
      <c r="C42" s="11">
        <v>43929</v>
      </c>
      <c r="D42" s="12">
        <f t="shared" si="0"/>
        <v>660605.55421069369</v>
      </c>
      <c r="E42" s="12">
        <f t="shared" si="1"/>
        <v>35.716655961613419</v>
      </c>
      <c r="F42" s="12">
        <f t="shared" si="7"/>
        <v>10.438928676826395</v>
      </c>
      <c r="G42" s="12">
        <f t="shared" si="7"/>
        <v>1.2902046679223649</v>
      </c>
      <c r="H42" s="9"/>
      <c r="I42" s="12">
        <f t="shared" si="3"/>
        <v>4.290960230369361</v>
      </c>
      <c r="J42" s="12">
        <f t="shared" si="4"/>
        <v>0.96444376554507605</v>
      </c>
      <c r="K42" s="12">
        <f t="shared" si="5"/>
        <v>0.11920091484264998</v>
      </c>
    </row>
    <row r="43" spans="2:11" x14ac:dyDescent="0.25">
      <c r="B43" s="10">
        <v>39</v>
      </c>
      <c r="C43" s="11">
        <v>43930</v>
      </c>
      <c r="D43" s="12">
        <f t="shared" si="0"/>
        <v>660600.83994148613</v>
      </c>
      <c r="E43" s="12">
        <f t="shared" si="1"/>
        <v>39.240369970440575</v>
      </c>
      <c r="F43" s="12">
        <f t="shared" si="7"/>
        <v>11.498522803687592</v>
      </c>
      <c r="G43" s="12">
        <f t="shared" si="7"/>
        <v>1.4211657397816142</v>
      </c>
      <c r="H43" s="9"/>
      <c r="I43" s="12">
        <f t="shared" si="3"/>
        <v>4.7142692075476038</v>
      </c>
      <c r="J43" s="12">
        <f t="shared" si="4"/>
        <v>1.0595941268611981</v>
      </c>
      <c r="K43" s="12">
        <f t="shared" si="5"/>
        <v>0.13096107185924932</v>
      </c>
    </row>
    <row r="44" spans="2:11" x14ac:dyDescent="0.25">
      <c r="B44" s="10">
        <v>40</v>
      </c>
      <c r="C44" s="11">
        <v>43931</v>
      </c>
      <c r="D44" s="12">
        <f t="shared" si="0"/>
        <v>660595.66061045986</v>
      </c>
      <c r="E44" s="12">
        <f t="shared" si="1"/>
        <v>43.111688664339901</v>
      </c>
      <c r="F44" s="12">
        <f t="shared" si="7"/>
        <v>12.66265377947733</v>
      </c>
      <c r="G44" s="12">
        <f t="shared" si="7"/>
        <v>1.5650470963398964</v>
      </c>
      <c r="H44" s="9"/>
      <c r="I44" s="12">
        <f t="shared" si="3"/>
        <v>5.1793310262473451</v>
      </c>
      <c r="J44" s="12">
        <f t="shared" si="4"/>
        <v>1.1641309757897369</v>
      </c>
      <c r="K44" s="12">
        <f t="shared" si="5"/>
        <v>0.14388135655828224</v>
      </c>
    </row>
    <row r="45" spans="2:11" x14ac:dyDescent="0.25">
      <c r="B45" s="10">
        <v>41</v>
      </c>
      <c r="C45" s="11">
        <v>43932</v>
      </c>
      <c r="D45" s="12">
        <f t="shared" si="0"/>
        <v>660589.97034798714</v>
      </c>
      <c r="E45" s="12">
        <f t="shared" si="1"/>
        <v>47.364894848200358</v>
      </c>
      <c r="F45" s="12">
        <f t="shared" si="7"/>
        <v>13.941633876519413</v>
      </c>
      <c r="G45" s="12">
        <f t="shared" si="7"/>
        <v>1.7231232881091427</v>
      </c>
      <c r="H45" s="9"/>
      <c r="I45" s="12">
        <f t="shared" si="3"/>
        <v>5.6902624726717912</v>
      </c>
      <c r="J45" s="12">
        <f t="shared" si="4"/>
        <v>1.2789800970420835</v>
      </c>
      <c r="K45" s="12">
        <f t="shared" si="5"/>
        <v>0.15807619176924645</v>
      </c>
    </row>
    <row r="46" spans="2:11" x14ac:dyDescent="0.25">
      <c r="B46" s="10">
        <v>42</v>
      </c>
      <c r="C46" s="11">
        <v>43933</v>
      </c>
      <c r="D46" s="12">
        <f t="shared" si="0"/>
        <v>660583.71876205015</v>
      </c>
      <c r="E46" s="12">
        <f t="shared" si="1"/>
        <v>52.037650956946905</v>
      </c>
      <c r="F46" s="12">
        <f t="shared" si="7"/>
        <v>15.34679242368269</v>
      </c>
      <c r="G46" s="12">
        <f t="shared" si="7"/>
        <v>1.8967945692192107</v>
      </c>
      <c r="H46" s="9"/>
      <c r="I46" s="12">
        <f t="shared" si="3"/>
        <v>6.2515859370198861</v>
      </c>
      <c r="J46" s="12">
        <f t="shared" si="4"/>
        <v>1.4051585471632773</v>
      </c>
      <c r="K46" s="12">
        <f t="shared" si="5"/>
        <v>0.17367128111006813</v>
      </c>
    </row>
    <row r="47" spans="2:11" x14ac:dyDescent="0.25">
      <c r="B47" s="10">
        <v>43</v>
      </c>
      <c r="C47" s="11">
        <v>43934</v>
      </c>
      <c r="D47" s="12">
        <f t="shared" si="0"/>
        <v>660576.8504927383</v>
      </c>
      <c r="E47" s="12">
        <f t="shared" si="1"/>
        <v>57.171331903573602</v>
      </c>
      <c r="F47" s="12">
        <f t="shared" si="7"/>
        <v>16.890576068738781</v>
      </c>
      <c r="G47" s="12">
        <f t="shared" si="7"/>
        <v>2.0875992893946829</v>
      </c>
      <c r="H47" s="9"/>
      <c r="I47" s="12">
        <f t="shared" si="3"/>
        <v>6.868269311858259</v>
      </c>
      <c r="J47" s="12">
        <f t="shared" si="4"/>
        <v>1.5437836450560913</v>
      </c>
      <c r="K47" s="12">
        <f t="shared" si="5"/>
        <v>0.19080472017547215</v>
      </c>
    </row>
    <row r="48" spans="2:11" x14ac:dyDescent="0.25">
      <c r="B48" s="10">
        <v>44</v>
      </c>
      <c r="C48" s="11">
        <v>43935</v>
      </c>
      <c r="D48" s="12">
        <f t="shared" si="0"/>
        <v>660569.30472293624</v>
      </c>
      <c r="E48" s="12">
        <f t="shared" si="1"/>
        <v>62.811390642168888</v>
      </c>
      <c r="F48" s="12">
        <f t="shared" si="7"/>
        <v>18.586658915211466</v>
      </c>
      <c r="G48" s="12">
        <f t="shared" si="7"/>
        <v>2.2972275063744529</v>
      </c>
      <c r="H48" s="9"/>
      <c r="I48" s="12">
        <f t="shared" si="3"/>
        <v>7.5457698020477437</v>
      </c>
      <c r="J48" s="12">
        <f t="shared" si="4"/>
        <v>1.6960828464726834</v>
      </c>
      <c r="K48" s="12">
        <f t="shared" si="5"/>
        <v>0.20962821697977005</v>
      </c>
    </row>
    <row r="49" spans="2:11" x14ac:dyDescent="0.25">
      <c r="B49" s="10">
        <v>45</v>
      </c>
      <c r="C49" s="11">
        <v>43936</v>
      </c>
      <c r="D49" s="12">
        <f t="shared" si="0"/>
        <v>660561.01464090927</v>
      </c>
      <c r="E49" s="12">
        <f t="shared" si="1"/>
        <v>69.007759647739576</v>
      </c>
      <c r="F49" s="12">
        <f t="shared" si="7"/>
        <v>20.450063504262477</v>
      </c>
      <c r="G49" s="12">
        <f t="shared" si="7"/>
        <v>2.5275359387290726</v>
      </c>
      <c r="H49" s="9"/>
      <c r="I49" s="12">
        <f t="shared" si="3"/>
        <v>8.2900820269763269</v>
      </c>
      <c r="J49" s="12">
        <f t="shared" si="4"/>
        <v>1.8634045890510103</v>
      </c>
      <c r="K49" s="12">
        <f t="shared" si="5"/>
        <v>0.23030843235461948</v>
      </c>
    </row>
    <row r="50" spans="2:11" x14ac:dyDescent="0.25">
      <c r="B50" s="10">
        <v>46</v>
      </c>
      <c r="C50" s="11">
        <v>43937</v>
      </c>
      <c r="D50" s="12">
        <f t="shared" si="0"/>
        <v>660551.90685007698</v>
      </c>
      <c r="E50" s="12">
        <f t="shared" si="1"/>
        <v>75.815291825160415</v>
      </c>
      <c r="F50" s="12">
        <f t="shared" si="7"/>
        <v>22.497293707145417</v>
      </c>
      <c r="G50" s="12">
        <f t="shared" si="7"/>
        <v>2.7805643907707847</v>
      </c>
      <c r="H50" s="9"/>
      <c r="I50" s="12">
        <f t="shared" si="3"/>
        <v>9.1077908323455059</v>
      </c>
      <c r="J50" s="12">
        <f t="shared" si="4"/>
        <v>2.0472302028829406</v>
      </c>
      <c r="K50" s="12">
        <f t="shared" si="5"/>
        <v>0.25302845204171198</v>
      </c>
    </row>
    <row r="51" spans="2:11" x14ac:dyDescent="0.25">
      <c r="B51" s="10">
        <v>47</v>
      </c>
      <c r="C51" s="11">
        <v>43938</v>
      </c>
      <c r="D51" s="12">
        <f t="shared" si="0"/>
        <v>660541.90072080831</v>
      </c>
      <c r="E51" s="12">
        <f t="shared" si="1"/>
        <v>83.294244699620151</v>
      </c>
      <c r="F51" s="12">
        <f t="shared" si="7"/>
        <v>24.746480697958511</v>
      </c>
      <c r="G51" s="12">
        <f t="shared" si="7"/>
        <v>3.0585537941297063</v>
      </c>
      <c r="H51" s="9"/>
      <c r="I51" s="12">
        <f t="shared" si="3"/>
        <v>10.006129268631735</v>
      </c>
      <c r="J51" s="12">
        <f t="shared" si="4"/>
        <v>2.2491869908130924</v>
      </c>
      <c r="K51" s="12">
        <f t="shared" si="5"/>
        <v>0.2779894033589218</v>
      </c>
    </row>
    <row r="52" spans="2:11" x14ac:dyDescent="0.25">
      <c r="B52" s="10">
        <v>48</v>
      </c>
      <c r="C52" s="11">
        <v>43939</v>
      </c>
      <c r="D52" s="12">
        <f t="shared" si="0"/>
        <v>660530.90767857141</v>
      </c>
      <c r="E52" s="12">
        <f t="shared" si="1"/>
        <v>91.51081211318612</v>
      </c>
      <c r="F52" s="12">
        <f t="shared" si="7"/>
        <v>27.217543290713909</v>
      </c>
      <c r="G52" s="12">
        <f t="shared" si="7"/>
        <v>3.3639660246949803</v>
      </c>
      <c r="H52" s="9"/>
      <c r="I52" s="12">
        <f t="shared" si="3"/>
        <v>10.993042236886659</v>
      </c>
      <c r="J52" s="12">
        <f t="shared" si="4"/>
        <v>2.4710625927553975</v>
      </c>
      <c r="K52" s="12">
        <f t="shared" si="5"/>
        <v>0.30541223056527417</v>
      </c>
    </row>
    <row r="53" spans="2:11" x14ac:dyDescent="0.25">
      <c r="B53" s="10">
        <v>49</v>
      </c>
      <c r="C53" s="11">
        <v>43940</v>
      </c>
      <c r="D53" s="12">
        <f t="shared" si="0"/>
        <v>660518.83042222133</v>
      </c>
      <c r="E53" s="12">
        <f t="shared" si="1"/>
        <v>100.53770805946913</v>
      </c>
      <c r="F53" s="12">
        <f t="shared" si="7"/>
        <v>29.932364050071765</v>
      </c>
      <c r="G53" s="12">
        <f t="shared" si="7"/>
        <v>3.6995056691099966</v>
      </c>
      <c r="H53" s="9"/>
      <c r="I53" s="12">
        <f t="shared" si="3"/>
        <v>12.077256350055883</v>
      </c>
      <c r="J53" s="12">
        <f t="shared" si="4"/>
        <v>2.7148207593578548</v>
      </c>
      <c r="K53" s="12">
        <f t="shared" si="5"/>
        <v>0.3355396444150161</v>
      </c>
    </row>
    <row r="54" spans="2:11" x14ac:dyDescent="0.25">
      <c r="B54" s="10">
        <v>50</v>
      </c>
      <c r="C54" s="11">
        <v>43941</v>
      </c>
      <c r="D54" s="12">
        <f t="shared" si="0"/>
        <v>660505.56206561148</v>
      </c>
      <c r="E54" s="12">
        <f t="shared" si="1"/>
        <v>110.45480773396577</v>
      </c>
      <c r="F54" s="12">
        <f t="shared" ref="F54:G69" si="8">F53+J54</f>
        <v>32.914982722502685</v>
      </c>
      <c r="G54" s="12">
        <f t="shared" si="8"/>
        <v>4.068143931994717</v>
      </c>
      <c r="H54" s="9"/>
      <c r="I54" s="12">
        <f t="shared" si="3"/>
        <v>13.268356609812274</v>
      </c>
      <c r="J54" s="12">
        <f t="shared" si="4"/>
        <v>2.9826186724309172</v>
      </c>
      <c r="K54" s="12">
        <f t="shared" si="5"/>
        <v>0.3686382628847204</v>
      </c>
    </row>
    <row r="55" spans="2:11" x14ac:dyDescent="0.25">
      <c r="B55" s="10">
        <v>51</v>
      </c>
      <c r="C55" s="11">
        <v>43942</v>
      </c>
      <c r="D55" s="12">
        <f t="shared" si="0"/>
        <v>660490.98519505607</v>
      </c>
      <c r="E55" s="12">
        <f t="shared" si="1"/>
        <v>121.34985136486019</v>
      </c>
      <c r="F55" s="12">
        <f t="shared" si="8"/>
        <v>36.191808685277003</v>
      </c>
      <c r="G55" s="12">
        <f t="shared" si="8"/>
        <v>4.4731448936859248</v>
      </c>
      <c r="H55" s="9"/>
      <c r="I55" s="12">
        <f t="shared" si="3"/>
        <v>14.576870555359948</v>
      </c>
      <c r="J55" s="12">
        <f t="shared" si="4"/>
        <v>3.2768259627743173</v>
      </c>
      <c r="K55" s="12">
        <f t="shared" si="5"/>
        <v>0.40500096169120814</v>
      </c>
    </row>
    <row r="56" spans="2:11" x14ac:dyDescent="0.25">
      <c r="B56" s="10">
        <v>52</v>
      </c>
      <c r="C56" s="11">
        <v>43943</v>
      </c>
      <c r="D56" s="12">
        <f t="shared" si="0"/>
        <v>660474.97083445394</v>
      </c>
      <c r="E56" s="12">
        <f t="shared" si="1"/>
        <v>133.31921692149695</v>
      </c>
      <c r="F56" s="12">
        <f t="shared" si="8"/>
        <v>39.791854275767854</v>
      </c>
      <c r="G56" s="12">
        <f t="shared" si="8"/>
        <v>4.9180943486904125</v>
      </c>
      <c r="H56" s="9"/>
      <c r="I56" s="12">
        <f t="shared" si="3"/>
        <v>16.01436060213209</v>
      </c>
      <c r="J56" s="12">
        <f t="shared" si="4"/>
        <v>3.6000455904908515</v>
      </c>
      <c r="K56" s="12">
        <f t="shared" si="5"/>
        <v>0.44494945500448774</v>
      </c>
    </row>
    <row r="57" spans="2:11" x14ac:dyDescent="0.25">
      <c r="B57" s="10">
        <v>53</v>
      </c>
      <c r="C57" s="11">
        <v>43944</v>
      </c>
      <c r="D57" s="12">
        <f t="shared" si="0"/>
        <v>660457.37730909884</v>
      </c>
      <c r="E57" s="12">
        <f t="shared" si="1"/>
        <v>146.46876837927013</v>
      </c>
      <c r="F57" s="12">
        <f t="shared" si="8"/>
        <v>43.746991044438928</v>
      </c>
      <c r="G57" s="12">
        <f t="shared" si="8"/>
        <v>5.4069314774025683</v>
      </c>
      <c r="H57" s="9"/>
      <c r="I57" s="12">
        <f t="shared" si="3"/>
        <v>17.593525355156419</v>
      </c>
      <c r="J57" s="12">
        <f t="shared" si="4"/>
        <v>3.9551367686710757</v>
      </c>
      <c r="K57" s="12">
        <f t="shared" si="5"/>
        <v>0.4888371287121559</v>
      </c>
    </row>
    <row r="58" spans="2:11" x14ac:dyDescent="0.25">
      <c r="B58" s="10">
        <v>54</v>
      </c>
      <c r="C58" s="11">
        <v>43945</v>
      </c>
      <c r="D58" s="12">
        <f t="shared" si="0"/>
        <v>660438.04899834434</v>
      </c>
      <c r="E58" s="12">
        <f t="shared" si="1"/>
        <v>160.91478685445014</v>
      </c>
      <c r="F58" s="12">
        <f t="shared" si="8"/>
        <v>48.09223117302394</v>
      </c>
      <c r="G58" s="12">
        <f t="shared" si="8"/>
        <v>5.943983628126559</v>
      </c>
      <c r="H58" s="9"/>
      <c r="I58" s="12">
        <f t="shared" si="3"/>
        <v>19.328310754488992</v>
      </c>
      <c r="J58" s="12">
        <f t="shared" si="4"/>
        <v>4.3452401285850133</v>
      </c>
      <c r="K58" s="12">
        <f t="shared" si="5"/>
        <v>0.53705215072399093</v>
      </c>
    </row>
    <row r="59" spans="2:11" x14ac:dyDescent="0.25">
      <c r="B59" s="10">
        <v>55</v>
      </c>
      <c r="C59" s="11">
        <v>43946</v>
      </c>
      <c r="D59" s="12">
        <f t="shared" si="0"/>
        <v>660416.81496635545</v>
      </c>
      <c r="E59" s="12">
        <f t="shared" si="1"/>
        <v>176.78499261488949</v>
      </c>
      <c r="F59" s="12">
        <f t="shared" si="8"/>
        <v>52.866036516372624</v>
      </c>
      <c r="G59" s="12">
        <f t="shared" si="8"/>
        <v>6.5340045132595437</v>
      </c>
      <c r="H59" s="9"/>
      <c r="I59" s="12">
        <f t="shared" si="3"/>
        <v>21.234031988921039</v>
      </c>
      <c r="J59" s="12">
        <f t="shared" si="4"/>
        <v>4.7738053433486867</v>
      </c>
      <c r="K59" s="12">
        <f t="shared" si="5"/>
        <v>0.59002088513298445</v>
      </c>
    </row>
    <row r="60" spans="2:11" x14ac:dyDescent="0.25">
      <c r="B60" s="10">
        <v>56</v>
      </c>
      <c r="C60" s="11">
        <v>43947</v>
      </c>
      <c r="D60" s="12">
        <f t="shared" si="0"/>
        <v>660393.48745915585</v>
      </c>
      <c r="E60" s="12">
        <f t="shared" si="1"/>
        <v>194.21966672727811</v>
      </c>
      <c r="F60" s="12">
        <f t="shared" si="8"/>
        <v>58.110657963947681</v>
      </c>
      <c r="G60" s="12">
        <f t="shared" si="8"/>
        <v>7.1822161528474719</v>
      </c>
      <c r="H60" s="9"/>
      <c r="I60" s="12">
        <f t="shared" si="3"/>
        <v>23.32750719955159</v>
      </c>
      <c r="J60" s="12">
        <f t="shared" si="4"/>
        <v>5.2446214475750548</v>
      </c>
      <c r="K60" s="12">
        <f t="shared" si="5"/>
        <v>0.64821163958792871</v>
      </c>
    </row>
    <row r="61" spans="2:11" x14ac:dyDescent="0.25">
      <c r="B61" s="10">
        <v>57</v>
      </c>
      <c r="C61" s="11">
        <v>43948</v>
      </c>
      <c r="D61" s="12">
        <f t="shared" si="0"/>
        <v>660367.86025506863</v>
      </c>
      <c r="E61" s="12">
        <f t="shared" si="1"/>
        <v>213.37288192356618</v>
      </c>
      <c r="F61" s="12">
        <f t="shared" si="8"/>
        <v>63.872508076856931</v>
      </c>
      <c r="G61" s="12">
        <f t="shared" si="8"/>
        <v>7.8943549308474923</v>
      </c>
      <c r="H61" s="9"/>
      <c r="I61" s="12">
        <f t="shared" si="3"/>
        <v>25.627204087197359</v>
      </c>
      <c r="J61" s="12">
        <f t="shared" si="4"/>
        <v>5.7618501129092499</v>
      </c>
      <c r="K61" s="12">
        <f t="shared" si="5"/>
        <v>0.71213877800002046</v>
      </c>
    </row>
    <row r="62" spans="2:11" x14ac:dyDescent="0.25">
      <c r="B62" s="10">
        <v>58</v>
      </c>
      <c r="C62" s="11">
        <v>43949</v>
      </c>
      <c r="D62" s="12">
        <f t="shared" si="0"/>
        <v>660339.70685443131</v>
      </c>
      <c r="E62" s="12">
        <f t="shared" si="1"/>
        <v>234.41385316348905</v>
      </c>
      <c r="F62" s="12">
        <f t="shared" si="8"/>
        <v>70.202570240589395</v>
      </c>
      <c r="G62" s="12">
        <f t="shared" si="8"/>
        <v>8.6767221645672361</v>
      </c>
      <c r="H62" s="9"/>
      <c r="I62" s="12">
        <f t="shared" si="3"/>
        <v>28.153400637375082</v>
      </c>
      <c r="J62" s="12">
        <f t="shared" si="4"/>
        <v>6.330062163732463</v>
      </c>
      <c r="K62" s="12">
        <f t="shared" si="5"/>
        <v>0.78236723371974337</v>
      </c>
    </row>
    <row r="63" spans="2:11" x14ac:dyDescent="0.25">
      <c r="B63" s="10">
        <v>59</v>
      </c>
      <c r="C63" s="11">
        <v>43950</v>
      </c>
      <c r="D63" s="12">
        <f t="shared" si="0"/>
        <v>660308.77849314723</v>
      </c>
      <c r="E63" s="12">
        <f t="shared" si="1"/>
        <v>257.52841934215763</v>
      </c>
      <c r="F63" s="12">
        <f t="shared" si="8"/>
        <v>77.156847884439571</v>
      </c>
      <c r="G63" s="12">
        <f t="shared" si="8"/>
        <v>9.5362396261666973</v>
      </c>
      <c r="H63" s="9"/>
      <c r="I63" s="12">
        <f t="shared" si="3"/>
        <v>30.928361284118214</v>
      </c>
      <c r="J63" s="12">
        <f t="shared" si="4"/>
        <v>6.9542776438501743</v>
      </c>
      <c r="K63" s="12">
        <f t="shared" si="5"/>
        <v>0.85951746159946063</v>
      </c>
    </row>
    <row r="64" spans="2:11" x14ac:dyDescent="0.25">
      <c r="B64" s="10">
        <v>60</v>
      </c>
      <c r="C64" s="13">
        <v>43951</v>
      </c>
      <c r="D64" s="12">
        <f t="shared" si="0"/>
        <v>660274.80196319777</v>
      </c>
      <c r="E64" s="12">
        <f t="shared" si="1"/>
        <v>282.92066864693766</v>
      </c>
      <c r="F64" s="12">
        <f t="shared" si="8"/>
        <v>84.796857658256911</v>
      </c>
      <c r="G64" s="12">
        <f t="shared" si="8"/>
        <v>10.480510497087943</v>
      </c>
      <c r="H64" s="9"/>
      <c r="I64" s="12">
        <f t="shared" si="3"/>
        <v>33.976529949518572</v>
      </c>
      <c r="J64" s="12">
        <f t="shared" si="4"/>
        <v>7.6400097738173418</v>
      </c>
      <c r="K64" s="12">
        <f t="shared" si="5"/>
        <v>0.94427087092124551</v>
      </c>
    </row>
    <row r="65" spans="2:11" x14ac:dyDescent="0.25">
      <c r="B65" s="10">
        <v>61</v>
      </c>
      <c r="C65" s="11">
        <v>43952</v>
      </c>
      <c r="D65" s="12">
        <f t="shared" si="0"/>
        <v>660237.47722167789</v>
      </c>
      <c r="E65" s="12">
        <f t="shared" si="1"/>
        <v>310.81472121194412</v>
      </c>
      <c r="F65" s="12">
        <f t="shared" si="8"/>
        <v>93.190170828116067</v>
      </c>
      <c r="G65" s="12">
        <f t="shared" si="8"/>
        <v>11.517886282126716</v>
      </c>
      <c r="H65" s="9"/>
      <c r="I65" s="12">
        <f t="shared" si="3"/>
        <v>37.324741519904386</v>
      </c>
      <c r="J65" s="12">
        <f t="shared" si="4"/>
        <v>8.3933131698591499</v>
      </c>
      <c r="K65" s="12">
        <f t="shared" si="5"/>
        <v>1.0373757850387724</v>
      </c>
    </row>
    <row r="66" spans="2:11" x14ac:dyDescent="0.25">
      <c r="B66" s="10">
        <v>62</v>
      </c>
      <c r="C66" s="11">
        <v>43953</v>
      </c>
      <c r="D66" s="12">
        <f t="shared" si="0"/>
        <v>660196.47476822569</v>
      </c>
      <c r="E66" s="12">
        <f t="shared" si="1"/>
        <v>341.45668395707304</v>
      </c>
      <c r="F66" s="12">
        <f t="shared" si="8"/>
        <v>102.41100755740374</v>
      </c>
      <c r="G66" s="12">
        <f t="shared" si="8"/>
        <v>12.657540259903845</v>
      </c>
      <c r="H66" s="9"/>
      <c r="I66" s="12">
        <f t="shared" si="3"/>
        <v>41.002453452193691</v>
      </c>
      <c r="J66" s="12">
        <f t="shared" si="4"/>
        <v>9.2208367292876741</v>
      </c>
      <c r="K66" s="12">
        <f t="shared" si="5"/>
        <v>1.1396539777771295</v>
      </c>
    </row>
    <row r="67" spans="2:11" x14ac:dyDescent="0.25">
      <c r="B67" s="10">
        <v>63</v>
      </c>
      <c r="C67" s="11">
        <v>43954</v>
      </c>
      <c r="D67" s="12">
        <f t="shared" si="0"/>
        <v>660151.43276888039</v>
      </c>
      <c r="E67" s="12">
        <f t="shared" si="1"/>
        <v>375.11679383714431</v>
      </c>
      <c r="F67" s="12">
        <f t="shared" si="8"/>
        <v>112.54088918146357</v>
      </c>
      <c r="G67" s="12">
        <f t="shared" si="8"/>
        <v>13.90954810107978</v>
      </c>
      <c r="H67" s="9"/>
      <c r="I67" s="12">
        <f t="shared" si="3"/>
        <v>45.041999345307033</v>
      </c>
      <c r="J67" s="12">
        <f t="shared" si="4"/>
        <v>10.129881624059832</v>
      </c>
      <c r="K67" s="12">
        <f t="shared" si="5"/>
        <v>1.2520078411759354</v>
      </c>
    </row>
    <row r="68" spans="2:11" x14ac:dyDescent="0.25">
      <c r="B68" s="10">
        <v>64</v>
      </c>
      <c r="C68" s="11">
        <v>43955</v>
      </c>
      <c r="D68" s="12">
        <f t="shared" si="0"/>
        <v>660101.95390241884</v>
      </c>
      <c r="E68" s="12">
        <f t="shared" si="1"/>
        <v>412.09176717080294</v>
      </c>
      <c r="F68" s="12">
        <f t="shared" si="8"/>
        <v>123.66935406529885</v>
      </c>
      <c r="G68" s="12">
        <f t="shared" si="8"/>
        <v>15.28497634514931</v>
      </c>
      <c r="H68" s="9"/>
      <c r="I68" s="12">
        <f t="shared" si="3"/>
        <v>49.478866461563477</v>
      </c>
      <c r="J68" s="12">
        <f t="shared" si="4"/>
        <v>11.12846488383528</v>
      </c>
      <c r="K68" s="12">
        <f t="shared" si="5"/>
        <v>1.3754282440695305</v>
      </c>
    </row>
    <row r="69" spans="2:11" x14ac:dyDescent="0.25">
      <c r="B69" s="10">
        <v>65</v>
      </c>
      <c r="C69" s="11">
        <v>43956</v>
      </c>
      <c r="D69" s="12">
        <f t="shared" si="0"/>
        <v>660047.60190307733</v>
      </c>
      <c r="E69" s="12">
        <f t="shared" si="1"/>
        <v>452.70737427328913</v>
      </c>
      <c r="F69" s="12">
        <f t="shared" si="8"/>
        <v>135.89474315803267</v>
      </c>
      <c r="G69" s="12">
        <f t="shared" si="8"/>
        <v>16.795979491442257</v>
      </c>
      <c r="H69" s="9"/>
      <c r="I69" s="12">
        <f t="shared" si="3"/>
        <v>54.351999341512922</v>
      </c>
      <c r="J69" s="12">
        <f t="shared" si="4"/>
        <v>12.225389092733819</v>
      </c>
      <c r="K69" s="12">
        <f t="shared" si="5"/>
        <v>1.5110031462929454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659987.89777125511</v>
      </c>
      <c r="E70" s="12">
        <f t="shared" ref="E70:E133" si="10">E69+I70-J70-K70</f>
        <v>497.32126028642131</v>
      </c>
      <c r="F70" s="12">
        <f t="shared" ref="F70:G85" si="11">F69+J70</f>
        <v>149.32506192814026</v>
      </c>
      <c r="G70" s="12">
        <f t="shared" si="11"/>
        <v>18.455906530444317</v>
      </c>
      <c r="H70" s="9"/>
      <c r="I70" s="12">
        <f t="shared" ref="I70:I133" si="12">E69*N$6*D69/SUM(D69:F69)*N$7</f>
        <v>59.704131822241813</v>
      </c>
      <c r="J70" s="12">
        <f t="shared" ref="J70:J133" si="13">E69*N$8/N$5</f>
        <v>13.430318770107577</v>
      </c>
      <c r="K70" s="12">
        <f t="shared" ref="K70:K133" si="14">E69*N$9/N$5</f>
        <v>1.6599270390020615</v>
      </c>
    </row>
    <row r="71" spans="2:11" x14ac:dyDescent="0.25">
      <c r="B71" s="10">
        <v>67</v>
      </c>
      <c r="C71" s="11">
        <v>43958</v>
      </c>
      <c r="D71" s="12">
        <f t="shared" si="9"/>
        <v>659922.31562131201</v>
      </c>
      <c r="E71" s="12">
        <f t="shared" si="10"/>
        <v>546.32603488663688</v>
      </c>
      <c r="F71" s="12">
        <f t="shared" si="11"/>
        <v>164.07892598330409</v>
      </c>
      <c r="G71" s="12">
        <f t="shared" si="11"/>
        <v>20.279417818161196</v>
      </c>
      <c r="H71" s="9"/>
      <c r="I71" s="12">
        <f t="shared" si="12"/>
        <v>65.582149943096326</v>
      </c>
      <c r="J71" s="12">
        <f t="shared" si="13"/>
        <v>14.753864055163831</v>
      </c>
      <c r="K71" s="12">
        <f t="shared" si="14"/>
        <v>1.8235112877168798</v>
      </c>
    </row>
    <row r="72" spans="2:11" x14ac:dyDescent="0.25">
      <c r="B72" s="10">
        <v>68</v>
      </c>
      <c r="C72" s="11">
        <v>43959</v>
      </c>
      <c r="D72" s="12">
        <f t="shared" si="9"/>
        <v>659850.27813290909</v>
      </c>
      <c r="E72" s="12">
        <f t="shared" si="10"/>
        <v>600.15265545997602</v>
      </c>
      <c r="F72" s="12">
        <f t="shared" si="11"/>
        <v>180.28659835160764</v>
      </c>
      <c r="G72" s="12">
        <f t="shared" si="11"/>
        <v>22.2826132794122</v>
      </c>
      <c r="H72" s="9"/>
      <c r="I72" s="12">
        <f t="shared" si="12"/>
        <v>72.037488402893757</v>
      </c>
      <c r="J72" s="12">
        <f t="shared" si="13"/>
        <v>16.207672368303559</v>
      </c>
      <c r="K72" s="12">
        <f t="shared" si="14"/>
        <v>2.0031954612510039</v>
      </c>
    </row>
    <row r="73" spans="2:11" x14ac:dyDescent="0.25">
      <c r="B73" s="10">
        <v>69</v>
      </c>
      <c r="C73" s="11">
        <v>43960</v>
      </c>
      <c r="D73" s="12">
        <f t="shared" si="9"/>
        <v>659771.1515694916</v>
      </c>
      <c r="E73" s="12">
        <f t="shared" si="10"/>
        <v>659.27413036210874</v>
      </c>
      <c r="F73" s="12">
        <f t="shared" si="11"/>
        <v>198.0911271302536</v>
      </c>
      <c r="G73" s="12">
        <f t="shared" si="11"/>
        <v>24.483173016098782</v>
      </c>
      <c r="H73" s="9"/>
      <c r="I73" s="12">
        <f t="shared" si="12"/>
        <v>79.126563417465263</v>
      </c>
      <c r="J73" s="12">
        <f t="shared" si="13"/>
        <v>17.804528778645953</v>
      </c>
      <c r="K73" s="12">
        <f t="shared" si="14"/>
        <v>2.2005597366865803</v>
      </c>
    </row>
    <row r="74" spans="2:11" x14ac:dyDescent="0.25">
      <c r="B74" s="10">
        <v>70</v>
      </c>
      <c r="C74" s="11">
        <v>43961</v>
      </c>
      <c r="D74" s="12">
        <f t="shared" si="9"/>
        <v>659684.24032447801</v>
      </c>
      <c r="E74" s="12">
        <f t="shared" si="10"/>
        <v>724.20957103034243</v>
      </c>
      <c r="F74" s="12">
        <f t="shared" si="11"/>
        <v>217.64959299766281</v>
      </c>
      <c r="G74" s="12">
        <f t="shared" si="11"/>
        <v>26.90051149409318</v>
      </c>
      <c r="H74" s="9"/>
      <c r="I74" s="12">
        <f t="shared" si="12"/>
        <v>86.911245013637355</v>
      </c>
      <c r="J74" s="12">
        <f t="shared" si="13"/>
        <v>19.558465867409222</v>
      </c>
      <c r="K74" s="12">
        <f t="shared" si="14"/>
        <v>2.4173384779944005</v>
      </c>
    </row>
    <row r="75" spans="2:11" x14ac:dyDescent="0.25">
      <c r="B75" s="10">
        <v>71</v>
      </c>
      <c r="C75" s="11">
        <v>43962</v>
      </c>
      <c r="D75" s="12">
        <f t="shared" si="9"/>
        <v>659588.78095249541</v>
      </c>
      <c r="E75" s="12">
        <f t="shared" si="10"/>
        <v>795.52862397863873</v>
      </c>
      <c r="F75" s="12">
        <f t="shared" si="11"/>
        <v>239.13447693822962</v>
      </c>
      <c r="G75" s="12">
        <f t="shared" si="11"/>
        <v>29.555946587871105</v>
      </c>
      <c r="H75" s="9"/>
      <c r="I75" s="12">
        <f t="shared" si="12"/>
        <v>95.459371982641045</v>
      </c>
      <c r="J75" s="12">
        <f t="shared" si="13"/>
        <v>21.484883940566824</v>
      </c>
      <c r="K75" s="12">
        <f t="shared" si="14"/>
        <v>2.6554350937779247</v>
      </c>
    </row>
    <row r="76" spans="2:11" x14ac:dyDescent="0.25">
      <c r="B76" s="10">
        <v>72</v>
      </c>
      <c r="C76" s="11">
        <v>43963</v>
      </c>
      <c r="D76" s="12">
        <f t="shared" si="9"/>
        <v>659483.93563959678</v>
      </c>
      <c r="E76" s="12">
        <f t="shared" si="10"/>
        <v>873.85631607802691</v>
      </c>
      <c r="F76" s="12">
        <f t="shared" si="11"/>
        <v>262.73515944959593</v>
      </c>
      <c r="G76" s="12">
        <f t="shared" si="11"/>
        <v>32.472884875792786</v>
      </c>
      <c r="H76" s="9"/>
      <c r="I76" s="12">
        <f t="shared" si="12"/>
        <v>104.84531289867603</v>
      </c>
      <c r="J76" s="12">
        <f t="shared" si="13"/>
        <v>23.60068251136628</v>
      </c>
      <c r="K76" s="12">
        <f t="shared" si="14"/>
        <v>2.9169382879216781</v>
      </c>
    </row>
    <row r="77" spans="2:11" x14ac:dyDescent="0.25">
      <c r="B77" s="10">
        <v>73</v>
      </c>
      <c r="C77" s="11">
        <v>43964</v>
      </c>
      <c r="D77" s="12">
        <f t="shared" si="9"/>
        <v>659368.78506281471</v>
      </c>
      <c r="E77" s="12">
        <f t="shared" si="10"/>
        <v>959.87834899086715</v>
      </c>
      <c r="F77" s="12">
        <f t="shared" si="11"/>
        <v>288.65956349324404</v>
      </c>
      <c r="G77" s="12">
        <f t="shared" si="11"/>
        <v>35.677024701412222</v>
      </c>
      <c r="H77" s="9"/>
      <c r="I77" s="12">
        <f t="shared" si="12"/>
        <v>115.15057678210782</v>
      </c>
      <c r="J77" s="12">
        <f t="shared" si="13"/>
        <v>25.924404043648128</v>
      </c>
      <c r="K77" s="12">
        <f t="shared" si="14"/>
        <v>3.2041398256194347</v>
      </c>
    </row>
    <row r="78" spans="2:11" x14ac:dyDescent="0.25">
      <c r="B78" s="10">
        <v>74</v>
      </c>
      <c r="C78" s="11">
        <v>43965</v>
      </c>
      <c r="D78" s="12">
        <f t="shared" si="9"/>
        <v>659242.32058566937</v>
      </c>
      <c r="E78" s="12">
        <f t="shared" si="10"/>
        <v>1054.3468811698845</v>
      </c>
      <c r="F78" s="12">
        <f t="shared" si="11"/>
        <v>317.13595451330644</v>
      </c>
      <c r="G78" s="12">
        <f t="shared" si="11"/>
        <v>39.196578647712073</v>
      </c>
      <c r="H78" s="9"/>
      <c r="I78" s="12">
        <f t="shared" si="12"/>
        <v>126.46447714537962</v>
      </c>
      <c r="J78" s="12">
        <f t="shared" si="13"/>
        <v>28.47639102006239</v>
      </c>
      <c r="K78" s="12">
        <f t="shared" si="14"/>
        <v>3.5195539462998493</v>
      </c>
    </row>
    <row r="79" spans="2:11" x14ac:dyDescent="0.25">
      <c r="B79" s="10">
        <v>75</v>
      </c>
      <c r="C79" s="11">
        <v>43966</v>
      </c>
      <c r="D79" s="12">
        <f t="shared" si="9"/>
        <v>659103.43573237397</v>
      </c>
      <c r="E79" s="12">
        <f t="shared" si="10"/>
        <v>1158.0868384263024</v>
      </c>
      <c r="F79" s="12">
        <f t="shared" si="11"/>
        <v>348.41491198801299</v>
      </c>
      <c r="G79" s="12">
        <f t="shared" si="11"/>
        <v>43.062517212001652</v>
      </c>
      <c r="H79" s="9"/>
      <c r="I79" s="12">
        <f t="shared" si="12"/>
        <v>138.8848532954141</v>
      </c>
      <c r="J79" s="12">
        <f t="shared" si="13"/>
        <v>31.278957474706566</v>
      </c>
      <c r="K79" s="12">
        <f t="shared" si="14"/>
        <v>3.8659385642895798</v>
      </c>
    </row>
    <row r="80" spans="2:11" x14ac:dyDescent="0.25">
      <c r="B80" s="10">
        <v>76</v>
      </c>
      <c r="C80" s="11">
        <v>43967</v>
      </c>
      <c r="D80" s="12">
        <f t="shared" si="9"/>
        <v>658950.91687950457</v>
      </c>
      <c r="E80" s="12">
        <f t="shared" si="10"/>
        <v>1272.002796681468</v>
      </c>
      <c r="F80" s="12">
        <f t="shared" si="11"/>
        <v>382.77148819465998</v>
      </c>
      <c r="G80" s="12">
        <f t="shared" si="11"/>
        <v>47.308835619564761</v>
      </c>
      <c r="H80" s="9"/>
      <c r="I80" s="12">
        <f t="shared" si="12"/>
        <v>152.51885286937571</v>
      </c>
      <c r="J80" s="12">
        <f t="shared" si="13"/>
        <v>34.35657620664697</v>
      </c>
      <c r="K80" s="12">
        <f t="shared" si="14"/>
        <v>4.2463184075631126</v>
      </c>
    </row>
    <row r="81" spans="2:11" x14ac:dyDescent="0.25">
      <c r="B81" s="10">
        <v>77</v>
      </c>
      <c r="C81" s="11">
        <v>43968</v>
      </c>
      <c r="D81" s="12">
        <f t="shared" si="9"/>
        <v>658783.43309986545</v>
      </c>
      <c r="E81" s="12">
        <f t="shared" si="10"/>
        <v>1397.0864830979037</v>
      </c>
      <c r="F81" s="12">
        <f t="shared" si="11"/>
        <v>420.50757116287684</v>
      </c>
      <c r="G81" s="12">
        <f t="shared" si="11"/>
        <v>51.972845874063481</v>
      </c>
      <c r="H81" s="9"/>
      <c r="I81" s="12">
        <f t="shared" si="12"/>
        <v>167.48377963915109</v>
      </c>
      <c r="J81" s="12">
        <f t="shared" si="13"/>
        <v>37.736082968216884</v>
      </c>
      <c r="K81" s="12">
        <f t="shared" si="14"/>
        <v>4.6640102544987201</v>
      </c>
    </row>
    <row r="82" spans="2:11" x14ac:dyDescent="0.25">
      <c r="B82" s="10">
        <v>78</v>
      </c>
      <c r="C82" s="11">
        <v>43969</v>
      </c>
      <c r="D82" s="12">
        <f t="shared" si="9"/>
        <v>658599.52508924645</v>
      </c>
      <c r="E82" s="12">
        <f t="shared" si="10"/>
        <v>1534.4249442803175</v>
      </c>
      <c r="F82" s="12">
        <f t="shared" si="11"/>
        <v>461.954470161448</v>
      </c>
      <c r="G82" s="12">
        <f t="shared" si="11"/>
        <v>57.095496312089132</v>
      </c>
      <c r="H82" s="9"/>
      <c r="I82" s="12">
        <f t="shared" si="12"/>
        <v>183.90801061901058</v>
      </c>
      <c r="J82" s="12">
        <f t="shared" si="13"/>
        <v>41.446898998571136</v>
      </c>
      <c r="K82" s="12">
        <f t="shared" si="14"/>
        <v>5.1226504380256523</v>
      </c>
    </row>
    <row r="83" spans="2:11" x14ac:dyDescent="0.25">
      <c r="B83" s="10">
        <v>79</v>
      </c>
      <c r="C83" s="11">
        <v>43970</v>
      </c>
      <c r="D83" s="12">
        <f t="shared" si="9"/>
        <v>658397.59310281393</v>
      </c>
      <c r="E83" s="12">
        <f t="shared" si="10"/>
        <v>1685.2094325701808</v>
      </c>
      <c r="F83" s="12">
        <f t="shared" si="11"/>
        <v>507.47574350843075</v>
      </c>
      <c r="G83" s="12">
        <f t="shared" si="11"/>
        <v>62.721721107783637</v>
      </c>
      <c r="H83" s="9"/>
      <c r="I83" s="12">
        <f t="shared" si="12"/>
        <v>201.9319864325405</v>
      </c>
      <c r="J83" s="12">
        <f t="shared" si="13"/>
        <v>45.521273346982746</v>
      </c>
      <c r="K83" s="12">
        <f t="shared" si="14"/>
        <v>5.626224795694502</v>
      </c>
    </row>
    <row r="84" spans="2:11" x14ac:dyDescent="0.25">
      <c r="B84" s="10">
        <v>80</v>
      </c>
      <c r="C84" s="11">
        <v>43971</v>
      </c>
      <c r="D84" s="12">
        <f t="shared" si="9"/>
        <v>658175.88382409688</v>
      </c>
      <c r="E84" s="12">
        <f t="shared" si="10"/>
        <v>1850.7450635349455</v>
      </c>
      <c r="F84" s="12">
        <f t="shared" si="11"/>
        <v>557.47029000801274</v>
      </c>
      <c r="G84" s="12">
        <f t="shared" si="11"/>
        <v>68.900822360540971</v>
      </c>
      <c r="H84" s="9"/>
      <c r="I84" s="12">
        <f t="shared" si="12"/>
        <v>221.70927871710404</v>
      </c>
      <c r="J84" s="12">
        <f t="shared" si="13"/>
        <v>49.994546499582022</v>
      </c>
      <c r="K84" s="12">
        <f t="shared" si="14"/>
        <v>6.1791012527573352</v>
      </c>
    </row>
    <row r="85" spans="2:11" x14ac:dyDescent="0.25">
      <c r="B85" s="10">
        <v>81</v>
      </c>
      <c r="C85" s="11">
        <v>43972</v>
      </c>
      <c r="D85" s="12">
        <f t="shared" si="9"/>
        <v>657932.47608605667</v>
      </c>
      <c r="E85" s="12">
        <f t="shared" si="10"/>
        <v>2032.461299457274</v>
      </c>
      <c r="F85" s="12">
        <f t="shared" si="11"/>
        <v>612.37572689288277</v>
      </c>
      <c r="G85" s="12">
        <f t="shared" si="11"/>
        <v>75.686887593502448</v>
      </c>
      <c r="H85" s="9"/>
      <c r="I85" s="12">
        <f t="shared" si="12"/>
        <v>243.40773804015998</v>
      </c>
      <c r="J85" s="12">
        <f t="shared" si="13"/>
        <v>54.905436884870042</v>
      </c>
      <c r="K85" s="12">
        <f t="shared" si="14"/>
        <v>6.786065232961473</v>
      </c>
    </row>
    <row r="86" spans="2:11" x14ac:dyDescent="0.25">
      <c r="B86" s="10">
        <v>82</v>
      </c>
      <c r="C86" s="11">
        <v>43973</v>
      </c>
      <c r="D86" s="12">
        <f t="shared" si="9"/>
        <v>657665.26536071696</v>
      </c>
      <c r="E86" s="12">
        <f t="shared" si="10"/>
        <v>2231.9233148150906</v>
      </c>
      <c r="F86" s="12">
        <f t="shared" ref="F86:G101" si="15">F85+J86</f>
        <v>672.67207877678186</v>
      </c>
      <c r="G86" s="12">
        <f t="shared" si="15"/>
        <v>83.139245691512457</v>
      </c>
      <c r="H86" s="9"/>
      <c r="I86" s="12">
        <f t="shared" si="12"/>
        <v>267.21072533972551</v>
      </c>
      <c r="J86" s="12">
        <f t="shared" si="13"/>
        <v>60.296351883899121</v>
      </c>
      <c r="K86" s="12">
        <f t="shared" si="14"/>
        <v>7.452358098010011</v>
      </c>
    </row>
    <row r="87" spans="2:11" x14ac:dyDescent="0.25">
      <c r="B87" s="10">
        <v>83</v>
      </c>
      <c r="C87" s="11">
        <v>43974</v>
      </c>
      <c r="D87" s="12">
        <f t="shared" si="9"/>
        <v>657371.94693147426</v>
      </c>
      <c r="E87" s="12">
        <f t="shared" si="10"/>
        <v>2450.844300230659</v>
      </c>
      <c r="F87" s="12">
        <f t="shared" si="15"/>
        <v>738.88580378296285</v>
      </c>
      <c r="G87" s="12">
        <f t="shared" si="15"/>
        <v>91.32296451250113</v>
      </c>
      <c r="H87" s="9"/>
      <c r="I87" s="12">
        <f t="shared" si="12"/>
        <v>293.31842924273826</v>
      </c>
      <c r="J87" s="12">
        <f t="shared" si="13"/>
        <v>66.213725006181022</v>
      </c>
      <c r="K87" s="12">
        <f t="shared" si="14"/>
        <v>8.1837188209886733</v>
      </c>
    </row>
    <row r="88" spans="2:11" x14ac:dyDescent="0.25">
      <c r="B88" s="10">
        <v>84</v>
      </c>
      <c r="C88" s="11">
        <v>43975</v>
      </c>
      <c r="D88" s="12">
        <f t="shared" si="9"/>
        <v>657049.99766075984</v>
      </c>
      <c r="E88" s="12">
        <f t="shared" si="10"/>
        <v>2691.0987609373556</v>
      </c>
      <c r="F88" s="12">
        <f t="shared" si="15"/>
        <v>811.59418468980573</v>
      </c>
      <c r="G88" s="12">
        <f t="shared" si="15"/>
        <v>100.30939361334688</v>
      </c>
      <c r="H88" s="9"/>
      <c r="I88" s="12">
        <f t="shared" si="12"/>
        <v>321.94927071438525</v>
      </c>
      <c r="J88" s="12">
        <f t="shared" si="13"/>
        <v>72.708380906842876</v>
      </c>
      <c r="K88" s="12">
        <f t="shared" si="14"/>
        <v>8.9864291008457577</v>
      </c>
    </row>
    <row r="89" spans="2:11" x14ac:dyDescent="0.25">
      <c r="B89" s="10">
        <v>85</v>
      </c>
      <c r="C89" s="11">
        <v>43976</v>
      </c>
      <c r="D89" s="12">
        <f t="shared" si="9"/>
        <v>656696.65626546531</v>
      </c>
      <c r="E89" s="12">
        <f t="shared" si="10"/>
        <v>2954.7368642006099</v>
      </c>
      <c r="F89" s="12">
        <f t="shared" si="15"/>
        <v>891.43011459761397</v>
      </c>
      <c r="G89" s="12">
        <f t="shared" si="15"/>
        <v>110.17675573678386</v>
      </c>
      <c r="H89" s="9"/>
      <c r="I89" s="12">
        <f t="shared" si="12"/>
        <v>353.3413952944997</v>
      </c>
      <c r="J89" s="12">
        <f t="shared" si="13"/>
        <v>79.835929907808207</v>
      </c>
      <c r="K89" s="12">
        <f t="shared" si="14"/>
        <v>9.8673621234369797</v>
      </c>
    </row>
    <row r="90" spans="2:11" x14ac:dyDescent="0.25">
      <c r="B90" s="10">
        <v>86</v>
      </c>
      <c r="C90" s="11">
        <v>43977</v>
      </c>
      <c r="D90" s="12">
        <f t="shared" si="9"/>
        <v>656308.90201384516</v>
      </c>
      <c r="E90" s="12">
        <f t="shared" si="10"/>
        <v>3243.9998870141021</v>
      </c>
      <c r="F90" s="12">
        <f t="shared" si="15"/>
        <v>979.08730823556539</v>
      </c>
      <c r="G90" s="12">
        <f t="shared" si="15"/>
        <v>121.01079090551944</v>
      </c>
      <c r="H90" s="9"/>
      <c r="I90" s="12">
        <f t="shared" si="12"/>
        <v>387.75425162017928</v>
      </c>
      <c r="J90" s="12">
        <f t="shared" si="13"/>
        <v>87.657193637951423</v>
      </c>
      <c r="K90" s="12">
        <f t="shared" si="14"/>
        <v>10.834035168735578</v>
      </c>
    </row>
    <row r="91" spans="2:11" x14ac:dyDescent="0.25">
      <c r="B91" s="10">
        <v>87</v>
      </c>
      <c r="C91" s="11">
        <v>43978</v>
      </c>
      <c r="D91" s="12">
        <f t="shared" si="9"/>
        <v>655883.43176090287</v>
      </c>
      <c r="E91" s="12">
        <f t="shared" si="10"/>
        <v>3561.3368103892481</v>
      </c>
      <c r="F91" s="12">
        <f t="shared" si="15"/>
        <v>1075.325971550317</v>
      </c>
      <c r="G91" s="12">
        <f t="shared" si="15"/>
        <v>132.90545715790449</v>
      </c>
      <c r="H91" s="9"/>
      <c r="I91" s="12">
        <f t="shared" si="12"/>
        <v>425.47025294228268</v>
      </c>
      <c r="J91" s="12">
        <f t="shared" si="13"/>
        <v>96.238663314751676</v>
      </c>
      <c r="K91" s="12">
        <f t="shared" si="14"/>
        <v>11.894666252385052</v>
      </c>
    </row>
    <row r="92" spans="2:11" x14ac:dyDescent="0.25">
      <c r="B92" s="10">
        <v>88</v>
      </c>
      <c r="C92" s="11">
        <v>43979</v>
      </c>
      <c r="D92" s="12">
        <f t="shared" si="9"/>
        <v>655416.63524507207</v>
      </c>
      <c r="E92" s="12">
        <f t="shared" si="10"/>
        <v>3909.422099207025</v>
      </c>
      <c r="F92" s="12">
        <f t="shared" si="15"/>
        <v>1180.9789635918646</v>
      </c>
      <c r="G92" s="12">
        <f t="shared" si="15"/>
        <v>145.96369212933175</v>
      </c>
      <c r="H92" s="9"/>
      <c r="I92" s="12">
        <f t="shared" si="12"/>
        <v>466.7965158307519</v>
      </c>
      <c r="J92" s="12">
        <f t="shared" si="13"/>
        <v>105.65299204154768</v>
      </c>
      <c r="K92" s="12">
        <f t="shared" si="14"/>
        <v>13.058234971427254</v>
      </c>
    </row>
    <row r="93" spans="2:11" x14ac:dyDescent="0.25">
      <c r="B93" s="10">
        <v>89</v>
      </c>
      <c r="C93" s="11">
        <v>43980</v>
      </c>
      <c r="D93" s="12">
        <f t="shared" si="9"/>
        <v>654904.56857794221</v>
      </c>
      <c r="E93" s="12">
        <f t="shared" si="10"/>
        <v>4291.1746963632968</v>
      </c>
      <c r="F93" s="12">
        <f t="shared" si="15"/>
        <v>1296.9584858683397</v>
      </c>
      <c r="G93" s="12">
        <f t="shared" si="15"/>
        <v>160.29823982642418</v>
      </c>
      <c r="H93" s="9"/>
      <c r="I93" s="12">
        <f t="shared" si="12"/>
        <v>512.0666671298394</v>
      </c>
      <c r="J93" s="12">
        <f t="shared" si="13"/>
        <v>115.97952227647507</v>
      </c>
      <c r="K93" s="12">
        <f t="shared" si="14"/>
        <v>14.334547697092438</v>
      </c>
    </row>
    <row r="94" spans="2:11" x14ac:dyDescent="0.25">
      <c r="B94" s="10">
        <v>90</v>
      </c>
      <c r="C94" s="11">
        <v>43981</v>
      </c>
      <c r="D94" s="12">
        <f t="shared" si="9"/>
        <v>654342.92587158724</v>
      </c>
      <c r="E94" s="12">
        <f t="shared" si="10"/>
        <v>4709.7782461728366</v>
      </c>
      <c r="F94" s="12">
        <f t="shared" si="15"/>
        <v>1424.2633351937841</v>
      </c>
      <c r="G94" s="12">
        <f t="shared" si="15"/>
        <v>176.03254704642296</v>
      </c>
      <c r="H94" s="9"/>
      <c r="I94" s="12">
        <f t="shared" si="12"/>
        <v>561.64270635498372</v>
      </c>
      <c r="J94" s="12">
        <f t="shared" si="13"/>
        <v>127.30484932544445</v>
      </c>
      <c r="K94" s="12">
        <f t="shared" si="14"/>
        <v>15.734307219998771</v>
      </c>
    </row>
    <row r="95" spans="2:11" x14ac:dyDescent="0.25">
      <c r="B95" s="10">
        <v>91</v>
      </c>
      <c r="C95" s="13">
        <v>43982</v>
      </c>
      <c r="D95" s="12">
        <f t="shared" si="9"/>
        <v>653727.00896559842</v>
      </c>
      <c r="E95" s="12">
        <f t="shared" si="10"/>
        <v>5168.7025439559457</v>
      </c>
      <c r="F95" s="12">
        <f t="shared" si="15"/>
        <v>1563.9867564969115</v>
      </c>
      <c r="G95" s="12">
        <f t="shared" si="15"/>
        <v>193.30173394905671</v>
      </c>
      <c r="H95" s="9"/>
      <c r="I95" s="12">
        <f t="shared" si="12"/>
        <v>615.91690598887078</v>
      </c>
      <c r="J95" s="12">
        <f t="shared" si="13"/>
        <v>139.72342130312748</v>
      </c>
      <c r="K95" s="12">
        <f t="shared" si="14"/>
        <v>17.269186902633749</v>
      </c>
    </row>
    <row r="96" spans="2:11" x14ac:dyDescent="0.25">
      <c r="B96" s="10">
        <v>92</v>
      </c>
      <c r="C96" s="11">
        <v>43983</v>
      </c>
      <c r="D96" s="12">
        <f t="shared" si="9"/>
        <v>653051.69523920806</v>
      </c>
      <c r="E96" s="12">
        <f t="shared" si="10"/>
        <v>5671.7261855477773</v>
      </c>
      <c r="F96" s="12">
        <f t="shared" si="15"/>
        <v>1717.3249319676047</v>
      </c>
      <c r="G96" s="12">
        <f t="shared" si="15"/>
        <v>212.25364327689519</v>
      </c>
      <c r="H96" s="9"/>
      <c r="I96" s="12">
        <f t="shared" si="12"/>
        <v>675.31372639036374</v>
      </c>
      <c r="J96" s="12">
        <f t="shared" si="13"/>
        <v>153.33817547069305</v>
      </c>
      <c r="K96" s="12">
        <f t="shared" si="14"/>
        <v>18.951909327838486</v>
      </c>
    </row>
    <row r="97" spans="2:11" x14ac:dyDescent="0.25">
      <c r="B97" s="10">
        <v>93</v>
      </c>
      <c r="C97" s="11">
        <v>43984</v>
      </c>
      <c r="D97" s="12">
        <f t="shared" si="9"/>
        <v>652311.40352409135</v>
      </c>
      <c r="E97" s="12">
        <f t="shared" si="10"/>
        <v>6222.9603611462671</v>
      </c>
      <c r="F97" s="12">
        <f t="shared" si="15"/>
        <v>1885.5861421388554</v>
      </c>
      <c r="G97" s="12">
        <f t="shared" si="15"/>
        <v>233.04997262390373</v>
      </c>
      <c r="H97" s="9"/>
      <c r="I97" s="12">
        <f t="shared" si="12"/>
        <v>740.29171511674951</v>
      </c>
      <c r="J97" s="12">
        <f t="shared" si="13"/>
        <v>168.2612101712507</v>
      </c>
      <c r="K97" s="12">
        <f t="shared" si="14"/>
        <v>20.796329347008534</v>
      </c>
    </row>
    <row r="98" spans="2:11" x14ac:dyDescent="0.25">
      <c r="B98" s="10">
        <v>94</v>
      </c>
      <c r="C98" s="11">
        <v>43985</v>
      </c>
      <c r="D98" s="12">
        <f t="shared" si="9"/>
        <v>651500.0581718873</v>
      </c>
      <c r="E98" s="12">
        <f t="shared" si="10"/>
        <v>6826.8737013121072</v>
      </c>
      <c r="F98" s="12">
        <f t="shared" si="15"/>
        <v>2070.2006328528614</v>
      </c>
      <c r="G98" s="12">
        <f t="shared" si="15"/>
        <v>255.86749394810673</v>
      </c>
      <c r="H98" s="9"/>
      <c r="I98" s="12">
        <f t="shared" si="12"/>
        <v>811.34535220404916</v>
      </c>
      <c r="J98" s="12">
        <f t="shared" si="13"/>
        <v>184.61449071400591</v>
      </c>
      <c r="K98" s="12">
        <f t="shared" si="14"/>
        <v>22.817521324203003</v>
      </c>
    </row>
    <row r="99" spans="2:11" x14ac:dyDescent="0.25">
      <c r="B99" s="10">
        <v>95</v>
      </c>
      <c r="C99" s="11">
        <v>43986</v>
      </c>
      <c r="D99" s="12">
        <f t="shared" si="9"/>
        <v>650611.05137871881</v>
      </c>
      <c r="E99" s="12">
        <f t="shared" si="10"/>
        <v>7488.3180377702047</v>
      </c>
      <c r="F99" s="12">
        <f t="shared" si="15"/>
        <v>2272.7312193251205</v>
      </c>
      <c r="G99" s="12">
        <f t="shared" si="15"/>
        <v>280.89936418625115</v>
      </c>
      <c r="H99" s="9"/>
      <c r="I99" s="12">
        <f t="shared" si="12"/>
        <v>889.00679316850153</v>
      </c>
      <c r="J99" s="12">
        <f t="shared" si="13"/>
        <v>202.53058647225916</v>
      </c>
      <c r="K99" s="12">
        <f t="shared" si="14"/>
        <v>25.031870238144414</v>
      </c>
    </row>
    <row r="100" spans="2:11" x14ac:dyDescent="0.25">
      <c r="B100" s="10">
        <v>96</v>
      </c>
      <c r="C100" s="11">
        <v>43987</v>
      </c>
      <c r="D100" s="12">
        <f t="shared" si="9"/>
        <v>649637.20392872265</v>
      </c>
      <c r="E100" s="12">
        <f t="shared" si="10"/>
        <v>8212.5548865073215</v>
      </c>
      <c r="F100" s="12">
        <f t="shared" si="15"/>
        <v>2494.8846544456364</v>
      </c>
      <c r="G100" s="12">
        <f t="shared" si="15"/>
        <v>308.35653032474193</v>
      </c>
      <c r="H100" s="9"/>
      <c r="I100" s="12">
        <f t="shared" si="12"/>
        <v>973.84744999612269</v>
      </c>
      <c r="J100" s="12">
        <f t="shared" si="13"/>
        <v>222.15343512051604</v>
      </c>
      <c r="K100" s="12">
        <f t="shared" si="14"/>
        <v>27.457166138490773</v>
      </c>
    </row>
    <row r="101" spans="2:11" x14ac:dyDescent="0.25">
      <c r="B101" s="10">
        <v>97</v>
      </c>
      <c r="C101" s="11">
        <v>43988</v>
      </c>
      <c r="D101" s="12">
        <f t="shared" si="9"/>
        <v>648570.72459173214</v>
      </c>
      <c r="E101" s="12">
        <f t="shared" si="10"/>
        <v>9005.2823939476184</v>
      </c>
      <c r="F101" s="12">
        <f t="shared" si="15"/>
        <v>2738.5237827453534</v>
      </c>
      <c r="G101" s="12">
        <f t="shared" si="15"/>
        <v>338.46923157526879</v>
      </c>
      <c r="H101" s="9"/>
      <c r="I101" s="12">
        <f t="shared" si="12"/>
        <v>1066.4793369905419</v>
      </c>
      <c r="J101" s="12">
        <f t="shared" si="13"/>
        <v>243.63912829971716</v>
      </c>
      <c r="K101" s="12">
        <f t="shared" si="14"/>
        <v>30.112701250526872</v>
      </c>
    </row>
    <row r="102" spans="2:11" x14ac:dyDescent="0.25">
      <c r="B102" s="10">
        <v>98</v>
      </c>
      <c r="C102" s="11">
        <v>43989</v>
      </c>
      <c r="D102" s="12">
        <f t="shared" si="9"/>
        <v>647403.16849885159</v>
      </c>
      <c r="E102" s="12">
        <f t="shared" si="10"/>
        <v>9872.6624070299222</v>
      </c>
      <c r="F102" s="12">
        <f t="shared" ref="F102:G117" si="16">F101+J102</f>
        <v>3005.6804937657994</v>
      </c>
      <c r="G102" s="12">
        <f t="shared" si="16"/>
        <v>371.48860035307678</v>
      </c>
      <c r="H102" s="9"/>
      <c r="I102" s="12">
        <f t="shared" si="12"/>
        <v>1167.5560928805594</v>
      </c>
      <c r="J102" s="12">
        <f t="shared" si="13"/>
        <v>267.15671102044598</v>
      </c>
      <c r="K102" s="12">
        <f t="shared" si="14"/>
        <v>33.019368777807962</v>
      </c>
    </row>
    <row r="103" spans="2:11" x14ac:dyDescent="0.25">
      <c r="B103" s="10">
        <v>99</v>
      </c>
      <c r="C103" s="11">
        <v>43990</v>
      </c>
      <c r="D103" s="12">
        <f t="shared" si="9"/>
        <v>646125.39492594451</v>
      </c>
      <c r="E103" s="12">
        <f t="shared" si="10"/>
        <v>10821.347233036058</v>
      </c>
      <c r="F103" s="12">
        <f t="shared" si="16"/>
        <v>3298.5694785076871</v>
      </c>
      <c r="G103" s="12">
        <f t="shared" si="16"/>
        <v>407.68836251218653</v>
      </c>
      <c r="H103" s="9"/>
      <c r="I103" s="12">
        <f t="shared" si="12"/>
        <v>1277.7735729071321</v>
      </c>
      <c r="J103" s="12">
        <f t="shared" si="13"/>
        <v>292.88898474188767</v>
      </c>
      <c r="K103" s="12">
        <f t="shared" si="14"/>
        <v>36.199762159109746</v>
      </c>
    </row>
    <row r="104" spans="2:11" x14ac:dyDescent="0.25">
      <c r="B104" s="10">
        <v>100</v>
      </c>
      <c r="C104" s="11">
        <v>43991</v>
      </c>
      <c r="D104" s="12">
        <f t="shared" si="9"/>
        <v>644727.5250413178</v>
      </c>
      <c r="E104" s="12">
        <f t="shared" si="10"/>
        <v>11858.505543228288</v>
      </c>
      <c r="F104" s="12">
        <f t="shared" si="16"/>
        <v>3619.6027797544234</v>
      </c>
      <c r="G104" s="12">
        <f t="shared" si="16"/>
        <v>447.36663569998547</v>
      </c>
      <c r="H104" s="9"/>
      <c r="I104" s="12">
        <f t="shared" si="12"/>
        <v>1397.869884626765</v>
      </c>
      <c r="J104" s="12">
        <f t="shared" si="13"/>
        <v>321.03330124673636</v>
      </c>
      <c r="K104" s="12">
        <f t="shared" si="14"/>
        <v>39.678273187798915</v>
      </c>
    </row>
    <row r="105" spans="2:11" x14ac:dyDescent="0.25">
      <c r="B105" s="10">
        <v>101</v>
      </c>
      <c r="C105" s="11">
        <v>43992</v>
      </c>
      <c r="D105" s="12">
        <f t="shared" si="9"/>
        <v>643198.9003224388</v>
      </c>
      <c r="E105" s="12">
        <f t="shared" si="10"/>
        <v>12991.84674399964</v>
      </c>
      <c r="F105" s="12">
        <f t="shared" si="16"/>
        <v>3971.405110870196</v>
      </c>
      <c r="G105" s="12">
        <f t="shared" si="16"/>
        <v>490.84782269182256</v>
      </c>
      <c r="H105" s="9"/>
      <c r="I105" s="12">
        <f t="shared" si="12"/>
        <v>1528.6247188789616</v>
      </c>
      <c r="J105" s="12">
        <f t="shared" si="13"/>
        <v>351.80233111577246</v>
      </c>
      <c r="K105" s="12">
        <f t="shared" si="14"/>
        <v>43.481186991837099</v>
      </c>
    </row>
    <row r="106" spans="2:11" x14ac:dyDescent="0.25">
      <c r="B106" s="10">
        <v>102</v>
      </c>
      <c r="C106" s="11">
        <v>43993</v>
      </c>
      <c r="D106" s="12">
        <f t="shared" si="9"/>
        <v>641528.04251955415</v>
      </c>
      <c r="E106" s="12">
        <f t="shared" si="10"/>
        <v>14229.642988750948</v>
      </c>
      <c r="F106" s="12">
        <f t="shared" si="16"/>
        <v>4356.8298976088518</v>
      </c>
      <c r="G106" s="12">
        <f t="shared" si="16"/>
        <v>538.48459408648796</v>
      </c>
      <c r="H106" s="9"/>
      <c r="I106" s="12">
        <f t="shared" si="12"/>
        <v>1670.8578028846289</v>
      </c>
      <c r="J106" s="12">
        <f t="shared" si="13"/>
        <v>385.42478673865594</v>
      </c>
      <c r="K106" s="12">
        <f t="shared" si="14"/>
        <v>47.636771394665388</v>
      </c>
    </row>
    <row r="107" spans="2:11" x14ac:dyDescent="0.25">
      <c r="B107" s="10">
        <v>103</v>
      </c>
      <c r="C107" s="11">
        <v>43994</v>
      </c>
      <c r="D107" s="12">
        <f t="shared" si="9"/>
        <v>639702.61624349956</v>
      </c>
      <c r="E107" s="12">
        <f t="shared" si="10"/>
        <v>15580.747831847124</v>
      </c>
      <c r="F107" s="12">
        <f t="shared" si="16"/>
        <v>4778.9759729417965</v>
      </c>
      <c r="G107" s="12">
        <f t="shared" si="16"/>
        <v>590.65995171190809</v>
      </c>
      <c r="H107" s="9"/>
      <c r="I107" s="12">
        <f t="shared" si="12"/>
        <v>1825.4262760545405</v>
      </c>
      <c r="J107" s="12">
        <f t="shared" si="13"/>
        <v>422.14607533294475</v>
      </c>
      <c r="K107" s="12">
        <f t="shared" si="14"/>
        <v>52.175357625420183</v>
      </c>
    </row>
    <row r="108" spans="2:11" x14ac:dyDescent="0.25">
      <c r="B108" s="10">
        <v>104</v>
      </c>
      <c r="C108" s="11">
        <v>43995</v>
      </c>
      <c r="D108" s="12">
        <f t="shared" si="9"/>
        <v>637709.3954821938</v>
      </c>
      <c r="E108" s="12">
        <f t="shared" si="10"/>
        <v>17054.610332091288</v>
      </c>
      <c r="F108" s="12">
        <f t="shared" si="16"/>
        <v>5241.2048252865943</v>
      </c>
      <c r="G108" s="12">
        <f t="shared" si="16"/>
        <v>647.78936042868088</v>
      </c>
      <c r="H108" s="9"/>
      <c r="I108" s="12">
        <f t="shared" si="12"/>
        <v>1993.2207613057353</v>
      </c>
      <c r="J108" s="12">
        <f t="shared" si="13"/>
        <v>462.22885234479793</v>
      </c>
      <c r="K108" s="12">
        <f t="shared" si="14"/>
        <v>57.129408716772836</v>
      </c>
    </row>
    <row r="109" spans="2:11" x14ac:dyDescent="0.25">
      <c r="B109" s="10">
        <v>105</v>
      </c>
      <c r="C109" s="11">
        <v>43996</v>
      </c>
      <c r="D109" s="12">
        <f t="shared" si="9"/>
        <v>635534.23560586944</v>
      </c>
      <c r="E109" s="12">
        <f t="shared" si="10"/>
        <v>18661.283197345972</v>
      </c>
      <c r="F109" s="12">
        <f t="shared" si="16"/>
        <v>5747.1582651386361</v>
      </c>
      <c r="G109" s="12">
        <f t="shared" si="16"/>
        <v>710.32293164634905</v>
      </c>
      <c r="H109" s="9"/>
      <c r="I109" s="12">
        <f t="shared" si="12"/>
        <v>2175.1598763243915</v>
      </c>
      <c r="J109" s="12">
        <f t="shared" si="13"/>
        <v>505.95343985204153</v>
      </c>
      <c r="K109" s="12">
        <f t="shared" si="14"/>
        <v>62.533571217668118</v>
      </c>
    </row>
    <row r="110" spans="2:11" x14ac:dyDescent="0.25">
      <c r="B110" s="10">
        <v>106</v>
      </c>
      <c r="C110" s="11">
        <v>43997</v>
      </c>
      <c r="D110" s="12">
        <f t="shared" si="9"/>
        <v>633162.05270439165</v>
      </c>
      <c r="E110" s="12">
        <f t="shared" si="10"/>
        <v>20411.423325578839</v>
      </c>
      <c r="F110" s="12">
        <f t="shared" si="16"/>
        <v>6300.7763333265666</v>
      </c>
      <c r="G110" s="12">
        <f t="shared" si="16"/>
        <v>778.74763670328434</v>
      </c>
      <c r="H110" s="9"/>
      <c r="I110" s="12">
        <f t="shared" si="12"/>
        <v>2372.1829014777327</v>
      </c>
      <c r="J110" s="12">
        <f t="shared" si="13"/>
        <v>553.61806818793048</v>
      </c>
      <c r="K110" s="12">
        <f t="shared" si="14"/>
        <v>68.424705056935281</v>
      </c>
    </row>
    <row r="111" spans="2:11" x14ac:dyDescent="0.25">
      <c r="B111" s="10">
        <v>107</v>
      </c>
      <c r="C111" s="11">
        <v>43998</v>
      </c>
      <c r="D111" s="12">
        <f t="shared" si="9"/>
        <v>630576.81240874343</v>
      </c>
      <c r="E111" s="12">
        <f t="shared" si="10"/>
        <v>22316.282843707733</v>
      </c>
      <c r="F111" s="12">
        <f t="shared" si="16"/>
        <v>6906.3152253187391</v>
      </c>
      <c r="G111" s="12">
        <f t="shared" si="16"/>
        <v>853.58952223040683</v>
      </c>
      <c r="H111" s="9"/>
      <c r="I111" s="12">
        <f t="shared" si="12"/>
        <v>2585.2402956481883</v>
      </c>
      <c r="J111" s="12">
        <f t="shared" si="13"/>
        <v>605.53889199217213</v>
      </c>
      <c r="K111" s="12">
        <f t="shared" si="14"/>
        <v>74.841885527122471</v>
      </c>
    </row>
    <row r="112" spans="2:11" x14ac:dyDescent="0.25">
      <c r="B112" s="10">
        <v>108</v>
      </c>
      <c r="C112" s="11">
        <v>43999</v>
      </c>
      <c r="D112" s="12">
        <f t="shared" si="9"/>
        <v>627761.53067833488</v>
      </c>
      <c r="E112" s="12">
        <f t="shared" si="10"/>
        <v>24387.688479326065</v>
      </c>
      <c r="F112" s="12">
        <f t="shared" si="16"/>
        <v>7568.3649496820681</v>
      </c>
      <c r="G112" s="12">
        <f t="shared" si="16"/>
        <v>935.41589265733523</v>
      </c>
      <c r="H112" s="9"/>
      <c r="I112" s="12">
        <f t="shared" si="12"/>
        <v>2815.2817304085902</v>
      </c>
      <c r="J112" s="12">
        <f t="shared" si="13"/>
        <v>662.04972436332935</v>
      </c>
      <c r="K112" s="12">
        <f t="shared" si="14"/>
        <v>81.82637042692842</v>
      </c>
    </row>
    <row r="113" spans="2:11" x14ac:dyDescent="0.25">
      <c r="B113" s="10">
        <v>109</v>
      </c>
      <c r="C113" s="11">
        <v>44000</v>
      </c>
      <c r="D113" s="12">
        <f t="shared" si="9"/>
        <v>624698.28937870078</v>
      </c>
      <c r="E113" s="12">
        <f t="shared" si="10"/>
        <v>26638.006829649275</v>
      </c>
      <c r="F113" s="12">
        <f t="shared" si="16"/>
        <v>8291.8663745687409</v>
      </c>
      <c r="G113" s="12">
        <f t="shared" si="16"/>
        <v>1024.8374170815309</v>
      </c>
      <c r="H113" s="9"/>
      <c r="I113" s="12">
        <f t="shared" si="12"/>
        <v>3063.241299634079</v>
      </c>
      <c r="J113" s="12">
        <f t="shared" si="13"/>
        <v>723.50142488667325</v>
      </c>
      <c r="K113" s="12">
        <f t="shared" si="14"/>
        <v>89.421524424195653</v>
      </c>
    </row>
    <row r="114" spans="2:11" x14ac:dyDescent="0.25">
      <c r="B114" s="10">
        <v>110</v>
      </c>
      <c r="C114" s="11">
        <v>44001</v>
      </c>
      <c r="D114" s="12">
        <f t="shared" si="9"/>
        <v>621368.26981910691</v>
      </c>
      <c r="E114" s="12">
        <f t="shared" si="10"/>
        <v>29080.092828254838</v>
      </c>
      <c r="F114" s="12">
        <f t="shared" si="16"/>
        <v>9082.1272438483356</v>
      </c>
      <c r="G114" s="12">
        <f t="shared" si="16"/>
        <v>1122.5101087902451</v>
      </c>
      <c r="H114" s="9"/>
      <c r="I114" s="12">
        <f t="shared" si="12"/>
        <v>3330.0195595938726</v>
      </c>
      <c r="J114" s="12">
        <f t="shared" si="13"/>
        <v>790.26086927959511</v>
      </c>
      <c r="K114" s="12">
        <f t="shared" si="14"/>
        <v>97.672691708714098</v>
      </c>
    </row>
    <row r="115" spans="2:11" x14ac:dyDescent="0.25">
      <c r="B115" s="10">
        <v>111</v>
      </c>
      <c r="C115" s="11">
        <v>44002</v>
      </c>
      <c r="D115" s="12">
        <f t="shared" si="9"/>
        <v>617751.8077507338</v>
      </c>
      <c r="E115" s="12">
        <f t="shared" si="10"/>
        <v>31727.218469019412</v>
      </c>
      <c r="F115" s="12">
        <f t="shared" si="16"/>
        <v>9944.8366644198959</v>
      </c>
      <c r="G115" s="12">
        <f t="shared" si="16"/>
        <v>1229.1371158271795</v>
      </c>
      <c r="H115" s="9"/>
      <c r="I115" s="12">
        <f t="shared" si="12"/>
        <v>3616.4620683730677</v>
      </c>
      <c r="J115" s="12">
        <f t="shared" si="13"/>
        <v>862.70942057156014</v>
      </c>
      <c r="K115" s="12">
        <f t="shared" si="14"/>
        <v>106.62700703693449</v>
      </c>
    </row>
    <row r="116" spans="2:11" x14ac:dyDescent="0.25">
      <c r="B116" s="10">
        <v>112</v>
      </c>
      <c r="C116" s="11">
        <v>44003</v>
      </c>
      <c r="D116" s="12">
        <f t="shared" si="9"/>
        <v>613828.4736221343</v>
      </c>
      <c r="E116" s="12">
        <f t="shared" si="10"/>
        <v>34592.978648651573</v>
      </c>
      <c r="F116" s="12">
        <f t="shared" si="16"/>
        <v>10886.077479000805</v>
      </c>
      <c r="G116" s="12">
        <f t="shared" si="16"/>
        <v>1345.4702502135842</v>
      </c>
      <c r="H116" s="9"/>
      <c r="I116" s="12">
        <f t="shared" si="12"/>
        <v>3923.3341285994734</v>
      </c>
      <c r="J116" s="12">
        <f t="shared" si="13"/>
        <v>941.24081458090916</v>
      </c>
      <c r="K116" s="12">
        <f t="shared" si="14"/>
        <v>116.33313438640462</v>
      </c>
    </row>
    <row r="117" spans="2:11" x14ac:dyDescent="0.25">
      <c r="B117" s="10">
        <v>113</v>
      </c>
      <c r="C117" s="11">
        <v>44004</v>
      </c>
      <c r="D117" s="12">
        <f t="shared" si="9"/>
        <v>609577.1821219743</v>
      </c>
      <c r="E117" s="12">
        <f t="shared" si="10"/>
        <v>37691.17086052314</v>
      </c>
      <c r="F117" s="12">
        <f t="shared" si="16"/>
        <v>11912.335845577469</v>
      </c>
      <c r="G117" s="12">
        <f t="shared" si="16"/>
        <v>1472.3111719253068</v>
      </c>
      <c r="H117" s="9"/>
      <c r="I117" s="12">
        <f t="shared" si="12"/>
        <v>4251.2915001599531</v>
      </c>
      <c r="J117" s="12">
        <f t="shared" si="13"/>
        <v>1026.2583665766631</v>
      </c>
      <c r="K117" s="12">
        <f t="shared" si="14"/>
        <v>126.84092171172254</v>
      </c>
    </row>
    <row r="118" spans="2:11" x14ac:dyDescent="0.25">
      <c r="B118" s="10">
        <v>114</v>
      </c>
      <c r="C118" s="11">
        <v>44005</v>
      </c>
      <c r="D118" s="12">
        <f t="shared" si="9"/>
        <v>604976.33517519175</v>
      </c>
      <c r="E118" s="12">
        <f t="shared" si="10"/>
        <v>41035.645445288297</v>
      </c>
      <c r="F118" s="12">
        <f t="shared" ref="F118:G133" si="17">F117+J118</f>
        <v>13030.507247772988</v>
      </c>
      <c r="G118" s="12">
        <f t="shared" si="17"/>
        <v>1610.5121317472251</v>
      </c>
      <c r="H118" s="9"/>
      <c r="I118" s="12">
        <f t="shared" si="12"/>
        <v>4600.8469467825935</v>
      </c>
      <c r="J118" s="12">
        <f t="shared" si="13"/>
        <v>1118.1714021955197</v>
      </c>
      <c r="K118" s="12">
        <f t="shared" si="14"/>
        <v>138.2009598219183</v>
      </c>
    </row>
    <row r="119" spans="2:11" x14ac:dyDescent="0.25">
      <c r="B119" s="10">
        <v>115</v>
      </c>
      <c r="C119" s="11">
        <v>44006</v>
      </c>
      <c r="D119" s="12">
        <f t="shared" si="9"/>
        <v>600004.00255596882</v>
      </c>
      <c r="E119" s="12">
        <f t="shared" si="10"/>
        <v>44640.123216334963</v>
      </c>
      <c r="F119" s="12">
        <f t="shared" si="17"/>
        <v>14247.898062649874</v>
      </c>
      <c r="G119" s="12">
        <f t="shared" si="17"/>
        <v>1760.9761650466157</v>
      </c>
      <c r="H119" s="9"/>
      <c r="I119" s="12">
        <f t="shared" si="12"/>
        <v>4972.3326192229451</v>
      </c>
      <c r="J119" s="12">
        <f t="shared" si="13"/>
        <v>1217.390814876886</v>
      </c>
      <c r="K119" s="12">
        <f t="shared" si="14"/>
        <v>150.46403329939054</v>
      </c>
    </row>
    <row r="120" spans="2:11" x14ac:dyDescent="0.25">
      <c r="B120" s="10">
        <v>116</v>
      </c>
      <c r="C120" s="11">
        <v>44007</v>
      </c>
      <c r="D120" s="12">
        <f t="shared" si="9"/>
        <v>594638.14409071987</v>
      </c>
      <c r="E120" s="12">
        <f t="shared" si="10"/>
        <v>48517.977574372788</v>
      </c>
      <c r="F120" s="12">
        <f t="shared" si="17"/>
        <v>15572.221718067811</v>
      </c>
      <c r="G120" s="12">
        <f t="shared" si="17"/>
        <v>1924.656616839844</v>
      </c>
      <c r="H120" s="9"/>
      <c r="I120" s="12">
        <f t="shared" si="12"/>
        <v>5365.8584652489881</v>
      </c>
      <c r="J120" s="12">
        <f t="shared" si="13"/>
        <v>1324.3236554179373</v>
      </c>
      <c r="K120" s="12">
        <f t="shared" si="14"/>
        <v>163.68045179322834</v>
      </c>
    </row>
    <row r="121" spans="2:11" x14ac:dyDescent="0.25">
      <c r="B121" s="10">
        <v>117</v>
      </c>
      <c r="C121" s="11">
        <v>44008</v>
      </c>
      <c r="D121" s="12">
        <f t="shared" si="9"/>
        <v>588856.87699220306</v>
      </c>
      <c r="E121" s="12">
        <f t="shared" si="10"/>
        <v>52681.978753743831</v>
      </c>
      <c r="F121" s="12">
        <f t="shared" si="17"/>
        <v>17011.588386107538</v>
      </c>
      <c r="G121" s="12">
        <f t="shared" si="17"/>
        <v>2102.5558679458777</v>
      </c>
      <c r="H121" s="9"/>
      <c r="I121" s="12">
        <f t="shared" si="12"/>
        <v>5781.2670985168079</v>
      </c>
      <c r="J121" s="12">
        <f t="shared" si="13"/>
        <v>1439.3666680397259</v>
      </c>
      <c r="K121" s="12">
        <f t="shared" si="14"/>
        <v>177.89925110603372</v>
      </c>
    </row>
    <row r="122" spans="2:11" x14ac:dyDescent="0.25">
      <c r="B122" s="10">
        <v>118</v>
      </c>
      <c r="C122" s="11">
        <v>44009</v>
      </c>
      <c r="D122" s="12">
        <f t="shared" si="9"/>
        <v>582638.79113377922</v>
      </c>
      <c r="E122" s="12">
        <f t="shared" si="10"/>
        <v>57143.998653709583</v>
      </c>
      <c r="F122" s="12">
        <f t="shared" si="17"/>
        <v>18574.487089135273</v>
      </c>
      <c r="G122" s="12">
        <f t="shared" si="17"/>
        <v>2295.7231233762718</v>
      </c>
      <c r="H122" s="9"/>
      <c r="I122" s="12">
        <f t="shared" si="12"/>
        <v>6218.0858584238795</v>
      </c>
      <c r="J122" s="12">
        <f t="shared" si="13"/>
        <v>1562.8987030277335</v>
      </c>
      <c r="K122" s="12">
        <f t="shared" si="14"/>
        <v>193.16725543039422</v>
      </c>
    </row>
    <row r="123" spans="2:11" x14ac:dyDescent="0.25">
      <c r="B123" s="10">
        <v>119</v>
      </c>
      <c r="C123" s="11">
        <v>44010</v>
      </c>
      <c r="D123" s="12">
        <f t="shared" si="9"/>
        <v>575963.31398261664</v>
      </c>
      <c r="E123" s="12">
        <f t="shared" si="10"/>
        <v>61914.675849748462</v>
      </c>
      <c r="F123" s="12">
        <f t="shared" si="17"/>
        <v>20269.759049195323</v>
      </c>
      <c r="G123" s="12">
        <f t="shared" si="17"/>
        <v>2505.2511184398736</v>
      </c>
      <c r="H123" s="9"/>
      <c r="I123" s="12">
        <f t="shared" si="12"/>
        <v>6675.4771511625368</v>
      </c>
      <c r="J123" s="12">
        <f t="shared" si="13"/>
        <v>1695.2719600600508</v>
      </c>
      <c r="K123" s="12">
        <f t="shared" si="14"/>
        <v>209.52799506360196</v>
      </c>
    </row>
    <row r="124" spans="2:11" x14ac:dyDescent="0.25">
      <c r="B124" s="10">
        <v>120</v>
      </c>
      <c r="C124" s="11">
        <v>44011</v>
      </c>
      <c r="D124" s="12">
        <f t="shared" si="9"/>
        <v>568811.12540941569</v>
      </c>
      <c r="E124" s="12">
        <f t="shared" si="10"/>
        <v>67003.041894624475</v>
      </c>
      <c r="F124" s="12">
        <f t="shared" si="17"/>
        <v>22106.561099404527</v>
      </c>
      <c r="G124" s="12">
        <f t="shared" si="17"/>
        <v>2732.2715965556181</v>
      </c>
      <c r="H124" s="9"/>
      <c r="I124" s="12">
        <f t="shared" si="12"/>
        <v>7152.1885732009741</v>
      </c>
      <c r="J124" s="12">
        <f t="shared" si="13"/>
        <v>1836.8020502092043</v>
      </c>
      <c r="K124" s="12">
        <f t="shared" si="14"/>
        <v>227.02047811574457</v>
      </c>
    </row>
    <row r="125" spans="2:11" x14ac:dyDescent="0.25">
      <c r="B125" s="10">
        <v>121</v>
      </c>
      <c r="C125" s="13">
        <v>44012</v>
      </c>
      <c r="D125" s="12">
        <f t="shared" si="9"/>
        <v>561164.62063959101</v>
      </c>
      <c r="E125" s="12">
        <f t="shared" si="10"/>
        <v>72416.111934628381</v>
      </c>
      <c r="F125" s="12">
        <f t="shared" si="17"/>
        <v>24094.318008945054</v>
      </c>
      <c r="G125" s="12">
        <f t="shared" si="17"/>
        <v>2977.9494168359079</v>
      </c>
      <c r="H125" s="9"/>
      <c r="I125" s="12">
        <f t="shared" si="12"/>
        <v>7646.5047698247245</v>
      </c>
      <c r="J125" s="12">
        <f t="shared" si="13"/>
        <v>1987.7569095405261</v>
      </c>
      <c r="K125" s="12">
        <f t="shared" si="14"/>
        <v>245.67782028028995</v>
      </c>
    </row>
    <row r="126" spans="2:11" x14ac:dyDescent="0.25">
      <c r="B126" s="10">
        <v>122</v>
      </c>
      <c r="C126" s="11">
        <v>44013</v>
      </c>
      <c r="D126" s="12">
        <f t="shared" si="9"/>
        <v>553008.4171879529</v>
      </c>
      <c r="E126" s="12">
        <f t="shared" si="10"/>
        <v>78158.444988445539</v>
      </c>
      <c r="F126" s="12">
        <f t="shared" si="17"/>
        <v>26242.662663005696</v>
      </c>
      <c r="G126" s="12">
        <f t="shared" si="17"/>
        <v>3243.4751605962119</v>
      </c>
      <c r="H126" s="9"/>
      <c r="I126" s="12">
        <f t="shared" si="12"/>
        <v>8156.2034516380963</v>
      </c>
      <c r="J126" s="12">
        <f t="shared" si="13"/>
        <v>2148.3446540606415</v>
      </c>
      <c r="K126" s="12">
        <f t="shared" si="14"/>
        <v>265.52574376030429</v>
      </c>
    </row>
    <row r="127" spans="2:11" x14ac:dyDescent="0.25">
      <c r="B127" s="10">
        <v>123</v>
      </c>
      <c r="C127" s="11">
        <v>44014</v>
      </c>
      <c r="D127" s="12">
        <f t="shared" si="9"/>
        <v>544329.89873907471</v>
      </c>
      <c r="E127" s="12">
        <f t="shared" si="10"/>
        <v>84231.681937708883</v>
      </c>
      <c r="F127" s="12">
        <f t="shared" si="17"/>
        <v>28561.363197662915</v>
      </c>
      <c r="G127" s="12">
        <f t="shared" si="17"/>
        <v>3530.056125553846</v>
      </c>
      <c r="H127" s="9"/>
      <c r="I127" s="12">
        <f t="shared" si="12"/>
        <v>8678.5184488781997</v>
      </c>
      <c r="J127" s="12">
        <f t="shared" si="13"/>
        <v>2318.7005346572173</v>
      </c>
      <c r="K127" s="12">
        <f t="shared" si="14"/>
        <v>286.58096495763391</v>
      </c>
    </row>
    <row r="128" spans="2:11" x14ac:dyDescent="0.25">
      <c r="B128" s="10">
        <v>124</v>
      </c>
      <c r="C128" s="11">
        <v>44015</v>
      </c>
      <c r="D128" s="12">
        <f t="shared" si="9"/>
        <v>535119.78565569001</v>
      </c>
      <c r="E128" s="12">
        <f t="shared" si="10"/>
        <v>90634.072289836593</v>
      </c>
      <c r="F128" s="12">
        <f t="shared" si="17"/>
        <v>31060.23642848161</v>
      </c>
      <c r="G128" s="12">
        <f t="shared" si="17"/>
        <v>3838.9056259921122</v>
      </c>
      <c r="H128" s="9"/>
      <c r="I128" s="12">
        <f t="shared" si="12"/>
        <v>9210.113083384691</v>
      </c>
      <c r="J128" s="12">
        <f t="shared" si="13"/>
        <v>2498.8732308186964</v>
      </c>
      <c r="K128" s="12">
        <f t="shared" si="14"/>
        <v>308.84950043826615</v>
      </c>
    </row>
    <row r="129" spans="2:11" x14ac:dyDescent="0.25">
      <c r="B129" s="10">
        <v>125</v>
      </c>
      <c r="C129" s="11">
        <v>44016</v>
      </c>
      <c r="D129" s="12">
        <f t="shared" si="9"/>
        <v>525372.71822930593</v>
      </c>
      <c r="E129" s="12">
        <f t="shared" si="10"/>
        <v>97360.003973226092</v>
      </c>
      <c r="F129" s="12">
        <f t="shared" si="17"/>
        <v>33749.04723974676</v>
      </c>
      <c r="G129" s="12">
        <f t="shared" si="17"/>
        <v>4171.2305577215129</v>
      </c>
      <c r="H129" s="9"/>
      <c r="I129" s="12">
        <f t="shared" si="12"/>
        <v>9747.0674263840519</v>
      </c>
      <c r="J129" s="12">
        <f t="shared" si="13"/>
        <v>2688.8108112651521</v>
      </c>
      <c r="K129" s="12">
        <f t="shared" si="14"/>
        <v>332.32493172940116</v>
      </c>
    </row>
    <row r="130" spans="2:11" x14ac:dyDescent="0.25">
      <c r="B130" s="10">
        <v>126</v>
      </c>
      <c r="C130" s="11">
        <v>44017</v>
      </c>
      <c r="D130" s="12">
        <f t="shared" si="9"/>
        <v>515087.83510596433</v>
      </c>
      <c r="E130" s="12">
        <f t="shared" si="10"/>
        <v>104399.5536307935</v>
      </c>
      <c r="F130" s="12">
        <f t="shared" si="17"/>
        <v>36637.394024285801</v>
      </c>
      <c r="G130" s="12">
        <f t="shared" si="17"/>
        <v>4528.2172389566758</v>
      </c>
      <c r="H130" s="9"/>
      <c r="I130" s="12">
        <f t="shared" si="12"/>
        <v>10284.883123341619</v>
      </c>
      <c r="J130" s="12">
        <f t="shared" si="13"/>
        <v>2888.3467845390405</v>
      </c>
      <c r="K130" s="12">
        <f t="shared" si="14"/>
        <v>356.98668123516268</v>
      </c>
    </row>
    <row r="131" spans="2:11" x14ac:dyDescent="0.25">
      <c r="B131" s="10">
        <v>127</v>
      </c>
      <c r="C131" s="11">
        <v>44018</v>
      </c>
      <c r="D131" s="12">
        <f t="shared" si="9"/>
        <v>504269.32576875575</v>
      </c>
      <c r="E131" s="12">
        <f t="shared" si="10"/>
        <v>111738.07784697563</v>
      </c>
      <c r="F131" s="12">
        <f t="shared" si="17"/>
        <v>39734.580781999342</v>
      </c>
      <c r="G131" s="12">
        <f t="shared" si="17"/>
        <v>4911.0156022695855</v>
      </c>
      <c r="H131" s="9"/>
      <c r="I131" s="12">
        <f t="shared" si="12"/>
        <v>10818.509337208587</v>
      </c>
      <c r="J131" s="12">
        <f t="shared" si="13"/>
        <v>3097.1867577135404</v>
      </c>
      <c r="K131" s="12">
        <f t="shared" si="14"/>
        <v>382.79836331290983</v>
      </c>
    </row>
    <row r="132" spans="2:11" x14ac:dyDescent="0.25">
      <c r="B132" s="10">
        <v>128</v>
      </c>
      <c r="C132" s="11">
        <v>44019</v>
      </c>
      <c r="D132" s="12">
        <f t="shared" si="9"/>
        <v>492926.93284510419</v>
      </c>
      <c r="E132" s="12">
        <f t="shared" si="10"/>
        <v>119355.86817572797</v>
      </c>
      <c r="F132" s="12">
        <f t="shared" si="17"/>
        <v>43049.477091459616</v>
      </c>
      <c r="G132" s="12">
        <f t="shared" si="17"/>
        <v>5320.721887708497</v>
      </c>
      <c r="H132" s="9"/>
      <c r="I132" s="12">
        <f t="shared" si="12"/>
        <v>11342.392923651527</v>
      </c>
      <c r="J132" s="12">
        <f t="shared" si="13"/>
        <v>3314.8963094602764</v>
      </c>
      <c r="K132" s="12">
        <f t="shared" si="14"/>
        <v>409.70628543891104</v>
      </c>
    </row>
    <row r="133" spans="2:11" x14ac:dyDescent="0.25">
      <c r="B133" s="10">
        <v>129</v>
      </c>
      <c r="C133" s="11">
        <v>44020</v>
      </c>
      <c r="D133" s="12">
        <f t="shared" si="9"/>
        <v>481076.37769069511</v>
      </c>
      <c r="E133" s="12">
        <f t="shared" si="10"/>
        <v>127227.89439094611</v>
      </c>
      <c r="F133" s="12">
        <f t="shared" si="17"/>
        <v>46590.367847339548</v>
      </c>
      <c r="G133" s="12">
        <f t="shared" si="17"/>
        <v>5758.3600710194996</v>
      </c>
      <c r="H133" s="9"/>
      <c r="I133" s="12">
        <f t="shared" si="12"/>
        <v>11850.555154409065</v>
      </c>
      <c r="J133" s="12">
        <f t="shared" si="13"/>
        <v>3540.8907558799297</v>
      </c>
      <c r="K133" s="12">
        <f t="shared" si="14"/>
        <v>437.63818331100293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468739.68157000135</v>
      </c>
      <c r="E134" s="12">
        <f t="shared" ref="E134:E197" si="19">E133+I134-J134-K134</f>
        <v>135323.66069860835</v>
      </c>
      <c r="F134" s="12">
        <f t="shared" ref="F134:G149" si="20">F133+J134</f>
        <v>50364.795380937619</v>
      </c>
      <c r="G134" s="12">
        <f t="shared" si="20"/>
        <v>6224.8623504529687</v>
      </c>
      <c r="H134" s="9"/>
      <c r="I134" s="12">
        <f t="shared" ref="I134:I197" si="21">E133*N$6*D133/SUM(D133:F133)*N$7</f>
        <v>12336.696120693779</v>
      </c>
      <c r="J134" s="12">
        <f t="shared" ref="J134:J197" si="22">E133*N$8/N$5</f>
        <v>3774.4275335980678</v>
      </c>
      <c r="K134" s="12">
        <f t="shared" ref="K134:K197" si="23">E133*N$9/N$5</f>
        <v>466.50227943346948</v>
      </c>
    </row>
    <row r="135" spans="2:11" x14ac:dyDescent="0.25">
      <c r="B135" s="10">
        <v>131</v>
      </c>
      <c r="C135" s="11">
        <v>44022</v>
      </c>
      <c r="D135" s="12">
        <f t="shared" si="18"/>
        <v>455945.35518217244</v>
      </c>
      <c r="E135" s="12">
        <f t="shared" si="19"/>
        <v>143607.19839648367</v>
      </c>
      <c r="F135" s="12">
        <f t="shared" si="20"/>
        <v>54379.397314996335</v>
      </c>
      <c r="G135" s="12">
        <f t="shared" si="20"/>
        <v>6721.0491063478667</v>
      </c>
      <c r="H135" s="9"/>
      <c r="I135" s="12">
        <f t="shared" si="21"/>
        <v>12794.326387828924</v>
      </c>
      <c r="J135" s="12">
        <f t="shared" si="22"/>
        <v>4014.6019340587141</v>
      </c>
      <c r="K135" s="12">
        <f t="shared" si="23"/>
        <v>496.18675589489771</v>
      </c>
    </row>
    <row r="136" spans="2:11" x14ac:dyDescent="0.25">
      <c r="B136" s="10">
        <v>132</v>
      </c>
      <c r="C136" s="11">
        <v>44023</v>
      </c>
      <c r="D136" s="12">
        <f t="shared" si="18"/>
        <v>442728.43158837029</v>
      </c>
      <c r="E136" s="12">
        <f t="shared" si="19"/>
        <v>152037.21537706969</v>
      </c>
      <c r="F136" s="12">
        <f t="shared" si="20"/>
        <v>58639.74420075868</v>
      </c>
      <c r="G136" s="12">
        <f t="shared" si="20"/>
        <v>7247.6088338016407</v>
      </c>
      <c r="H136" s="9"/>
      <c r="I136" s="12">
        <f t="shared" si="21"/>
        <v>13216.923593802159</v>
      </c>
      <c r="J136" s="12">
        <f t="shared" si="22"/>
        <v>4260.3468857623484</v>
      </c>
      <c r="K136" s="12">
        <f t="shared" si="23"/>
        <v>526.55972745377392</v>
      </c>
    </row>
    <row r="137" spans="2:11" x14ac:dyDescent="0.25">
      <c r="B137" s="10">
        <v>133</v>
      </c>
      <c r="C137" s="11">
        <v>44024</v>
      </c>
      <c r="D137" s="12">
        <f t="shared" si="18"/>
        <v>429130.32198621391</v>
      </c>
      <c r="E137" s="12">
        <f t="shared" si="19"/>
        <v>160567.41779999042</v>
      </c>
      <c r="F137" s="12">
        <f t="shared" si="20"/>
        <v>63150.181590278415</v>
      </c>
      <c r="G137" s="12">
        <f t="shared" si="20"/>
        <v>7805.0786235175638</v>
      </c>
      <c r="H137" s="9"/>
      <c r="I137" s="12">
        <f t="shared" si="21"/>
        <v>13598.10960215639</v>
      </c>
      <c r="J137" s="12">
        <f t="shared" si="22"/>
        <v>4510.4373895197341</v>
      </c>
      <c r="K137" s="12">
        <f t="shared" si="23"/>
        <v>557.46978971592262</v>
      </c>
    </row>
    <row r="138" spans="2:11" x14ac:dyDescent="0.25">
      <c r="B138" s="10">
        <v>134</v>
      </c>
      <c r="C138" s="11">
        <v>44025</v>
      </c>
      <c r="D138" s="12">
        <f t="shared" si="18"/>
        <v>415198.48028354649</v>
      </c>
      <c r="E138" s="12">
        <f t="shared" si="19"/>
        <v>169147.01224265818</v>
      </c>
      <c r="F138" s="12">
        <f t="shared" si="20"/>
        <v>67913.681651678125</v>
      </c>
      <c r="G138" s="12">
        <f t="shared" si="20"/>
        <v>8393.8258221175292</v>
      </c>
      <c r="H138" s="9"/>
      <c r="I138" s="12">
        <f t="shared" si="21"/>
        <v>13931.841702667441</v>
      </c>
      <c r="J138" s="12">
        <f t="shared" si="22"/>
        <v>4763.5000613997154</v>
      </c>
      <c r="K138" s="12">
        <f t="shared" si="23"/>
        <v>588.74719859996537</v>
      </c>
    </row>
    <row r="139" spans="2:11" x14ac:dyDescent="0.25">
      <c r="B139" s="10">
        <v>135</v>
      </c>
      <c r="C139" s="11">
        <v>44026</v>
      </c>
      <c r="D139" s="12">
        <f t="shared" si="18"/>
        <v>400985.87086776516</v>
      </c>
      <c r="E139" s="12">
        <f t="shared" si="19"/>
        <v>177721.38791701756</v>
      </c>
      <c r="F139" s="12">
        <f t="shared" si="20"/>
        <v>72931.709681543653</v>
      </c>
      <c r="G139" s="12">
        <f t="shared" si="20"/>
        <v>9014.0315336739422</v>
      </c>
      <c r="H139" s="9"/>
      <c r="I139" s="12">
        <f t="shared" si="21"/>
        <v>14212.609415781348</v>
      </c>
      <c r="J139" s="12">
        <f t="shared" si="22"/>
        <v>5018.0280298655252</v>
      </c>
      <c r="K139" s="12">
        <f t="shared" si="23"/>
        <v>620.2057115564138</v>
      </c>
    </row>
    <row r="140" spans="2:11" x14ac:dyDescent="0.25">
      <c r="B140" s="10">
        <v>136</v>
      </c>
      <c r="C140" s="11">
        <v>44027</v>
      </c>
      <c r="D140" s="12">
        <f t="shared" si="18"/>
        <v>386550.24393020442</v>
      </c>
      <c r="E140" s="12">
        <f t="shared" si="19"/>
        <v>186232.96859067772</v>
      </c>
      <c r="F140" s="12">
        <f t="shared" si="20"/>
        <v>78204.11085641518</v>
      </c>
      <c r="G140" s="12">
        <f t="shared" si="20"/>
        <v>9665.6766227030075</v>
      </c>
      <c r="H140" s="9"/>
      <c r="I140" s="12">
        <f t="shared" si="21"/>
        <v>14435.626937560723</v>
      </c>
      <c r="J140" s="12">
        <f t="shared" si="22"/>
        <v>5272.4011748715211</v>
      </c>
      <c r="K140" s="12">
        <f t="shared" si="23"/>
        <v>651.64508902906505</v>
      </c>
    </row>
    <row r="141" spans="2:11" x14ac:dyDescent="0.25">
      <c r="B141" s="10">
        <v>137</v>
      </c>
      <c r="C141" s="11">
        <v>44028</v>
      </c>
      <c r="D141" s="12">
        <f t="shared" si="18"/>
        <v>371953.23353631666</v>
      </c>
      <c r="E141" s="12">
        <f t="shared" si="19"/>
        <v>194622.2133648762</v>
      </c>
      <c r="F141" s="12">
        <f t="shared" si="20"/>
        <v>83729.022257938617</v>
      </c>
      <c r="G141" s="12">
        <f t="shared" si="20"/>
        <v>10348.530840868827</v>
      </c>
      <c r="H141" s="9"/>
      <c r="I141" s="12">
        <f t="shared" si="21"/>
        <v>14597.010393887758</v>
      </c>
      <c r="J141" s="12">
        <f t="shared" si="22"/>
        <v>5524.9114015234381</v>
      </c>
      <c r="K141" s="12">
        <f t="shared" si="23"/>
        <v>682.85421816581891</v>
      </c>
    </row>
    <row r="142" spans="2:11" x14ac:dyDescent="0.25">
      <c r="B142" s="10">
        <v>138</v>
      </c>
      <c r="C142" s="11">
        <v>44029</v>
      </c>
      <c r="D142" s="12">
        <f t="shared" si="18"/>
        <v>357259.30448983226</v>
      </c>
      <c r="E142" s="12">
        <f t="shared" si="19"/>
        <v>202828.7352991981</v>
      </c>
      <c r="F142" s="12">
        <f t="shared" si="20"/>
        <v>89502.814587763278</v>
      </c>
      <c r="G142" s="12">
        <f t="shared" si="20"/>
        <v>11062.145623206707</v>
      </c>
      <c r="H142" s="9"/>
      <c r="I142" s="12">
        <f t="shared" si="21"/>
        <v>14693.929046484436</v>
      </c>
      <c r="J142" s="12">
        <f t="shared" si="22"/>
        <v>5773.7923298246596</v>
      </c>
      <c r="K142" s="12">
        <f t="shared" si="23"/>
        <v>713.61478233788</v>
      </c>
    </row>
    <row r="143" spans="2:11" x14ac:dyDescent="0.25">
      <c r="B143" s="10">
        <v>139</v>
      </c>
      <c r="C143" s="11">
        <v>44030</v>
      </c>
      <c r="D143" s="12">
        <f t="shared" si="18"/>
        <v>342534.5839694913</v>
      </c>
      <c r="E143" s="12">
        <f t="shared" si="19"/>
        <v>210792.49797623247</v>
      </c>
      <c r="F143" s="12">
        <f t="shared" si="20"/>
        <v>95520.067068306147</v>
      </c>
      <c r="G143" s="12">
        <f t="shared" si="20"/>
        <v>11805.850985970434</v>
      </c>
      <c r="H143" s="9"/>
      <c r="I143" s="12">
        <f t="shared" si="21"/>
        <v>14724.720520340952</v>
      </c>
      <c r="J143" s="12">
        <f t="shared" si="22"/>
        <v>6017.2524805428757</v>
      </c>
      <c r="K143" s="12">
        <f t="shared" si="23"/>
        <v>743.70536276372707</v>
      </c>
    </row>
    <row r="144" spans="2:11" x14ac:dyDescent="0.25">
      <c r="B144" s="10">
        <v>140</v>
      </c>
      <c r="C144" s="11">
        <v>44031</v>
      </c>
      <c r="D144" s="12">
        <f t="shared" si="18"/>
        <v>327845.6219644298</v>
      </c>
      <c r="E144" s="12">
        <f t="shared" si="19"/>
        <v>218455.04338208624</v>
      </c>
      <c r="F144" s="12">
        <f t="shared" si="20"/>
        <v>101773.57784160104</v>
      </c>
      <c r="G144" s="12">
        <f t="shared" si="20"/>
        <v>12578.756811883286</v>
      </c>
      <c r="H144" s="9"/>
      <c r="I144" s="12">
        <f t="shared" si="21"/>
        <v>14688.962005061525</v>
      </c>
      <c r="J144" s="12">
        <f t="shared" si="22"/>
        <v>6253.5107732948954</v>
      </c>
      <c r="K144" s="12">
        <f t="shared" si="23"/>
        <v>772.90582591285306</v>
      </c>
    </row>
    <row r="145" spans="2:11" x14ac:dyDescent="0.25">
      <c r="B145" s="10">
        <v>141</v>
      </c>
      <c r="C145" s="11">
        <v>44032</v>
      </c>
      <c r="D145" s="12">
        <f t="shared" si="18"/>
        <v>313258.12986385851</v>
      </c>
      <c r="E145" s="12">
        <f t="shared" si="19"/>
        <v>225760.7007032547</v>
      </c>
      <c r="F145" s="12">
        <f t="shared" si="20"/>
        <v>108254.41079526961</v>
      </c>
      <c r="G145" s="12">
        <f t="shared" si="20"/>
        <v>13379.758637617602</v>
      </c>
      <c r="H145" s="9"/>
      <c r="I145" s="12">
        <f t="shared" si="21"/>
        <v>14587.492100571306</v>
      </c>
      <c r="J145" s="12">
        <f t="shared" si="22"/>
        <v>6480.8329536685578</v>
      </c>
      <c r="K145" s="12">
        <f t="shared" si="23"/>
        <v>801.00182573431687</v>
      </c>
    </row>
    <row r="146" spans="2:11" x14ac:dyDescent="0.25">
      <c r="B146" s="10">
        <v>142</v>
      </c>
      <c r="C146" s="11">
        <v>44033</v>
      </c>
      <c r="D146" s="12">
        <f t="shared" si="18"/>
        <v>298835.74857241724</v>
      </c>
      <c r="E146" s="12">
        <f t="shared" si="19"/>
        <v>232657.72530458748</v>
      </c>
      <c r="F146" s="12">
        <f t="shared" si="20"/>
        <v>114951.97824946616</v>
      </c>
      <c r="G146" s="12">
        <f t="shared" si="20"/>
        <v>14207.547873529536</v>
      </c>
      <c r="H146" s="9"/>
      <c r="I146" s="12">
        <f t="shared" si="21"/>
        <v>14422.381291441257</v>
      </c>
      <c r="J146" s="12">
        <f t="shared" si="22"/>
        <v>6697.5674541965554</v>
      </c>
      <c r="K146" s="12">
        <f t="shared" si="23"/>
        <v>827.78923591193461</v>
      </c>
    </row>
    <row r="147" spans="2:11" x14ac:dyDescent="0.25">
      <c r="B147" s="10">
        <v>143</v>
      </c>
      <c r="C147" s="11">
        <v>44034</v>
      </c>
      <c r="D147" s="12">
        <f t="shared" si="18"/>
        <v>284638.8959591802</v>
      </c>
      <c r="E147" s="12">
        <f t="shared" si="19"/>
        <v>239099.32040767162</v>
      </c>
      <c r="F147" s="12">
        <f t="shared" si="20"/>
        <v>121854.15743350226</v>
      </c>
      <c r="G147" s="12">
        <f t="shared" si="20"/>
        <v>15060.626199646358</v>
      </c>
      <c r="H147" s="9"/>
      <c r="I147" s="12">
        <f t="shared" si="21"/>
        <v>14196.852613237048</v>
      </c>
      <c r="J147" s="12">
        <f t="shared" si="22"/>
        <v>6902.1791840360947</v>
      </c>
      <c r="K147" s="12">
        <f t="shared" si="23"/>
        <v>853.07832611682159</v>
      </c>
    </row>
    <row r="148" spans="2:11" x14ac:dyDescent="0.25">
      <c r="B148" s="10">
        <v>144</v>
      </c>
      <c r="C148" s="11">
        <v>44035</v>
      </c>
      <c r="D148" s="12">
        <f t="shared" si="18"/>
        <v>270723.73841728695</v>
      </c>
      <c r="E148" s="12">
        <f t="shared" si="19"/>
        <v>245044.50060264245</v>
      </c>
      <c r="F148" s="12">
        <f t="shared" si="20"/>
        <v>128947.43727226318</v>
      </c>
      <c r="G148" s="12">
        <f t="shared" si="20"/>
        <v>15937.323707807822</v>
      </c>
      <c r="H148" s="9"/>
      <c r="I148" s="12">
        <f t="shared" si="21"/>
        <v>13915.157541893232</v>
      </c>
      <c r="J148" s="12">
        <f t="shared" si="22"/>
        <v>7093.2798387609237</v>
      </c>
      <c r="K148" s="12">
        <f t="shared" si="23"/>
        <v>876.69750816146336</v>
      </c>
    </row>
    <row r="149" spans="2:11" x14ac:dyDescent="0.25">
      <c r="B149" s="10">
        <v>145</v>
      </c>
      <c r="C149" s="11">
        <v>44036</v>
      </c>
      <c r="D149" s="12">
        <f t="shared" si="18"/>
        <v>257141.32329198511</v>
      </c>
      <c r="E149" s="12">
        <f t="shared" si="19"/>
        <v>250458.76570785622</v>
      </c>
      <c r="F149" s="12">
        <f t="shared" si="20"/>
        <v>136217.09079014158</v>
      </c>
      <c r="G149" s="12">
        <f t="shared" si="20"/>
        <v>16835.820210017511</v>
      </c>
      <c r="H149" s="9"/>
      <c r="I149" s="12">
        <f t="shared" si="21"/>
        <v>13582.415125301826</v>
      </c>
      <c r="J149" s="12">
        <f t="shared" si="22"/>
        <v>7269.6535178783924</v>
      </c>
      <c r="K149" s="12">
        <f t="shared" si="23"/>
        <v>898.49650220968977</v>
      </c>
    </row>
    <row r="150" spans="2:11" x14ac:dyDescent="0.25">
      <c r="B150" s="10">
        <v>146</v>
      </c>
      <c r="C150" s="11">
        <v>44037</v>
      </c>
      <c r="D150" s="12">
        <f t="shared" si="18"/>
        <v>243936.89871076014</v>
      </c>
      <c r="E150" s="12">
        <f t="shared" si="19"/>
        <v>255314.56476548599</v>
      </c>
      <c r="F150" s="12">
        <f t="shared" ref="F150:G165" si="24">F149+J150</f>
        <v>143647.36750614131</v>
      </c>
      <c r="G150" s="12">
        <f t="shared" si="24"/>
        <v>17754.169017612985</v>
      </c>
      <c r="H150" s="9"/>
      <c r="I150" s="12">
        <f t="shared" si="21"/>
        <v>13204.424581224983</v>
      </c>
      <c r="J150" s="12">
        <f t="shared" si="22"/>
        <v>7430.2767159997338</v>
      </c>
      <c r="K150" s="12">
        <f t="shared" si="23"/>
        <v>918.34880759547366</v>
      </c>
    </row>
    <row r="151" spans="2:11" x14ac:dyDescent="0.25">
      <c r="B151" s="10">
        <v>147</v>
      </c>
      <c r="C151" s="11">
        <v>44038</v>
      </c>
      <c r="D151" s="12">
        <f t="shared" si="18"/>
        <v>231149.43589972603</v>
      </c>
      <c r="E151" s="12">
        <f t="shared" si="19"/>
        <v>259591.54208433724</v>
      </c>
      <c r="F151" s="12">
        <f t="shared" si="24"/>
        <v>151221.69959418406</v>
      </c>
      <c r="G151" s="12">
        <f t="shared" si="24"/>
        <v>18690.322421753102</v>
      </c>
      <c r="H151" s="9"/>
      <c r="I151" s="12">
        <f t="shared" si="21"/>
        <v>12787.462811034109</v>
      </c>
      <c r="J151" s="12">
        <f t="shared" si="22"/>
        <v>7574.33208804275</v>
      </c>
      <c r="K151" s="12">
        <f t="shared" si="23"/>
        <v>936.15340414011609</v>
      </c>
    </row>
    <row r="152" spans="2:11" x14ac:dyDescent="0.25">
      <c r="B152" s="10">
        <v>148</v>
      </c>
      <c r="C152" s="11">
        <v>44039</v>
      </c>
      <c r="D152" s="12">
        <f t="shared" si="18"/>
        <v>218811.35743986676</v>
      </c>
      <c r="E152" s="12">
        <f t="shared" si="19"/>
        <v>263276.56914138526</v>
      </c>
      <c r="F152" s="12">
        <f t="shared" si="24"/>
        <v>158922.91534268606</v>
      </c>
      <c r="G152" s="12">
        <f t="shared" si="24"/>
        <v>19642.15807606234</v>
      </c>
      <c r="H152" s="9"/>
      <c r="I152" s="12">
        <f t="shared" si="21"/>
        <v>12338.078459859278</v>
      </c>
      <c r="J152" s="12">
        <f t="shared" si="22"/>
        <v>7701.2157485020034</v>
      </c>
      <c r="K152" s="12">
        <f t="shared" si="23"/>
        <v>951.83565430923738</v>
      </c>
    </row>
    <row r="153" spans="2:11" x14ac:dyDescent="0.25">
      <c r="B153" s="10">
        <v>149</v>
      </c>
      <c r="C153" s="11">
        <v>44040</v>
      </c>
      <c r="D153" s="12">
        <f t="shared" si="18"/>
        <v>206948.46408224385</v>
      </c>
      <c r="E153" s="12">
        <f t="shared" si="19"/>
        <v>266363.57686096197</v>
      </c>
      <c r="F153" s="12">
        <f t="shared" si="24"/>
        <v>166733.45356054715</v>
      </c>
      <c r="G153" s="12">
        <f t="shared" si="24"/>
        <v>20607.505496247421</v>
      </c>
      <c r="H153" s="9"/>
      <c r="I153" s="12">
        <f t="shared" si="21"/>
        <v>11862.893357622892</v>
      </c>
      <c r="J153" s="12">
        <f t="shared" si="22"/>
        <v>7810.5382178610953</v>
      </c>
      <c r="K153" s="12">
        <f t="shared" si="23"/>
        <v>965.34742018508018</v>
      </c>
    </row>
    <row r="154" spans="2:11" x14ac:dyDescent="0.25">
      <c r="B154" s="10">
        <v>150</v>
      </c>
      <c r="C154" s="11">
        <v>44041</v>
      </c>
      <c r="D154" s="12">
        <f t="shared" si="18"/>
        <v>195580.04350250532</v>
      </c>
      <c r="E154" s="12">
        <f t="shared" si="19"/>
        <v>268853.21154533519</v>
      </c>
      <c r="F154" s="12">
        <f t="shared" si="24"/>
        <v>174635.57300742235</v>
      </c>
      <c r="G154" s="12">
        <f t="shared" si="24"/>
        <v>21584.171944737616</v>
      </c>
      <c r="H154" s="9"/>
      <c r="I154" s="12">
        <f t="shared" si="21"/>
        <v>11368.420579738546</v>
      </c>
      <c r="J154" s="12">
        <f t="shared" si="22"/>
        <v>7902.1194468752046</v>
      </c>
      <c r="K154" s="12">
        <f t="shared" si="23"/>
        <v>976.66644849019474</v>
      </c>
    </row>
    <row r="155" spans="2:11" x14ac:dyDescent="0.25">
      <c r="B155" s="10">
        <v>151</v>
      </c>
      <c r="C155" s="11">
        <v>44042</v>
      </c>
      <c r="D155" s="12">
        <f t="shared" si="18"/>
        <v>184719.1372805284</v>
      </c>
      <c r="E155" s="12">
        <f t="shared" si="19"/>
        <v>270752.34404913423</v>
      </c>
      <c r="F155" s="12">
        <f t="shared" si="24"/>
        <v>182611.55161660063</v>
      </c>
      <c r="G155" s="12">
        <f t="shared" si="24"/>
        <v>22569.967053737179</v>
      </c>
      <c r="H155" s="9"/>
      <c r="I155" s="12">
        <f t="shared" si="21"/>
        <v>10860.906221976898</v>
      </c>
      <c r="J155" s="12">
        <f t="shared" si="22"/>
        <v>7975.9786091782762</v>
      </c>
      <c r="K155" s="12">
        <f t="shared" si="23"/>
        <v>985.79510899956324</v>
      </c>
    </row>
    <row r="156" spans="2:11" x14ac:dyDescent="0.25">
      <c r="B156" s="10">
        <v>152</v>
      </c>
      <c r="C156" s="13">
        <v>44043</v>
      </c>
      <c r="D156" s="12">
        <f t="shared" si="18"/>
        <v>174372.93770903526</v>
      </c>
      <c r="E156" s="12">
        <f t="shared" si="19"/>
        <v>272073.46548565623</v>
      </c>
      <c r="F156" s="12">
        <f t="shared" si="24"/>
        <v>190643.87115672496</v>
      </c>
      <c r="G156" s="12">
        <f t="shared" si="24"/>
        <v>23562.725648584004</v>
      </c>
      <c r="H156" s="9"/>
      <c r="I156" s="12">
        <f t="shared" si="21"/>
        <v>10346.199571493134</v>
      </c>
      <c r="J156" s="12">
        <f t="shared" si="22"/>
        <v>8032.3195401243147</v>
      </c>
      <c r="K156" s="12">
        <f t="shared" si="23"/>
        <v>992.75859484682633</v>
      </c>
    </row>
    <row r="157" spans="2:11" x14ac:dyDescent="0.25">
      <c r="B157" s="10">
        <v>153</v>
      </c>
      <c r="C157" s="21">
        <v>44044</v>
      </c>
      <c r="D157" s="12">
        <f t="shared" si="18"/>
        <v>164543.28376604</v>
      </c>
      <c r="E157" s="12">
        <f t="shared" si="19"/>
        <v>272834.00391246303</v>
      </c>
      <c r="F157" s="12">
        <f t="shared" si="24"/>
        <v>198715.38396613277</v>
      </c>
      <c r="G157" s="12">
        <f t="shared" si="24"/>
        <v>24560.328355364745</v>
      </c>
      <c r="H157" s="9"/>
      <c r="I157" s="12">
        <f t="shared" si="21"/>
        <v>9829.6539429952772</v>
      </c>
      <c r="J157" s="12">
        <f t="shared" si="22"/>
        <v>8071.5128094078</v>
      </c>
      <c r="K157" s="12">
        <f t="shared" si="23"/>
        <v>997.60270678074039</v>
      </c>
    </row>
    <row r="158" spans="2:11" x14ac:dyDescent="0.25">
      <c r="B158" s="10">
        <v>154</v>
      </c>
      <c r="C158" s="21">
        <v>44045</v>
      </c>
      <c r="D158" s="12">
        <f t="shared" si="18"/>
        <v>155227.22550834119</v>
      </c>
      <c r="E158" s="12">
        <f t="shared" si="19"/>
        <v>273055.59537307976</v>
      </c>
      <c r="F158" s="12">
        <f t="shared" si="24"/>
        <v>206809.45941553582</v>
      </c>
      <c r="G158" s="12">
        <f t="shared" si="24"/>
        <v>25560.719703043778</v>
      </c>
      <c r="H158" s="9"/>
      <c r="I158" s="12">
        <f t="shared" si="21"/>
        <v>9316.0582576988199</v>
      </c>
      <c r="J158" s="12">
        <f t="shared" si="22"/>
        <v>8094.0754494030689</v>
      </c>
      <c r="K158" s="12">
        <f t="shared" si="23"/>
        <v>1000.3913476790319</v>
      </c>
    </row>
    <row r="159" spans="2:11" x14ac:dyDescent="0.25">
      <c r="B159" s="10">
        <v>155</v>
      </c>
      <c r="C159" s="21">
        <v>44046</v>
      </c>
      <c r="D159" s="12">
        <f t="shared" si="18"/>
        <v>146417.62787844968</v>
      </c>
      <c r="E159" s="12">
        <f t="shared" si="19"/>
        <v>272763.33982386865</v>
      </c>
      <c r="F159" s="12">
        <f t="shared" si="24"/>
        <v>214910.1087449372</v>
      </c>
      <c r="G159" s="12">
        <f t="shared" si="24"/>
        <v>26561.923552745073</v>
      </c>
      <c r="H159" s="9"/>
      <c r="I159" s="12">
        <f t="shared" si="21"/>
        <v>8809.5976298915139</v>
      </c>
      <c r="J159" s="12">
        <f t="shared" si="22"/>
        <v>8100.6493294013653</v>
      </c>
      <c r="K159" s="12">
        <f t="shared" si="23"/>
        <v>1001.2038497012933</v>
      </c>
    </row>
    <row r="160" spans="2:11" x14ac:dyDescent="0.25">
      <c r="B160" s="10">
        <v>156</v>
      </c>
      <c r="C160" s="21">
        <v>44047</v>
      </c>
      <c r="D160" s="12">
        <f t="shared" si="18"/>
        <v>138103.78800151395</v>
      </c>
      <c r="E160" s="12">
        <f t="shared" si="19"/>
        <v>271985.0683733421</v>
      </c>
      <c r="F160" s="12">
        <f t="shared" si="24"/>
        <v>223002.08782637864</v>
      </c>
      <c r="G160" s="12">
        <f t="shared" si="24"/>
        <v>27562.055798765927</v>
      </c>
      <c r="H160" s="9"/>
      <c r="I160" s="12">
        <f t="shared" si="21"/>
        <v>8313.8398769357209</v>
      </c>
      <c r="J160" s="12">
        <f t="shared" si="22"/>
        <v>8091.9790814414355</v>
      </c>
      <c r="K160" s="12">
        <f t="shared" si="23"/>
        <v>1000.1322460208526</v>
      </c>
    </row>
    <row r="161" spans="2:11" x14ac:dyDescent="0.25">
      <c r="B161" s="10">
        <v>157</v>
      </c>
      <c r="C161" s="21">
        <v>44048</v>
      </c>
      <c r="D161" s="12">
        <f t="shared" si="18"/>
        <v>130272.04399894043</v>
      </c>
      <c r="E161" s="12">
        <f t="shared" si="19"/>
        <v>270750.6434301376</v>
      </c>
      <c r="F161" s="12">
        <f t="shared" si="24"/>
        <v>231070.97818812114</v>
      </c>
      <c r="G161" s="12">
        <f t="shared" si="24"/>
        <v>28559.334382801517</v>
      </c>
      <c r="H161" s="9"/>
      <c r="I161" s="12">
        <f t="shared" si="21"/>
        <v>7831.7440025735241</v>
      </c>
      <c r="J161" s="12">
        <f t="shared" si="22"/>
        <v>8068.8903617424812</v>
      </c>
      <c r="K161" s="12">
        <f t="shared" si="23"/>
        <v>997.27858403558855</v>
      </c>
    </row>
    <row r="162" spans="2:11" x14ac:dyDescent="0.25">
      <c r="B162" s="10">
        <v>158</v>
      </c>
      <c r="C162" s="21">
        <v>44049</v>
      </c>
      <c r="D162" s="12">
        <f t="shared" si="18"/>
        <v>122906.35771208505</v>
      </c>
      <c r="E162" s="12">
        <f t="shared" si="19"/>
        <v>269091.30826932169</v>
      </c>
      <c r="F162" s="12">
        <f t="shared" si="24"/>
        <v>239103.24727654856</v>
      </c>
      <c r="G162" s="12">
        <f t="shared" si="24"/>
        <v>29552.086742045354</v>
      </c>
      <c r="H162" s="9"/>
      <c r="I162" s="12">
        <f t="shared" si="21"/>
        <v>7365.6862868553681</v>
      </c>
      <c r="J162" s="12">
        <f t="shared" si="22"/>
        <v>8032.2690884274152</v>
      </c>
      <c r="K162" s="12">
        <f t="shared" si="23"/>
        <v>992.75235924383878</v>
      </c>
    </row>
    <row r="163" spans="2:11" x14ac:dyDescent="0.25">
      <c r="B163" s="10">
        <v>159</v>
      </c>
      <c r="C163" s="21">
        <v>44050</v>
      </c>
      <c r="D163" s="12">
        <f t="shared" si="18"/>
        <v>115988.85813262334</v>
      </c>
      <c r="E163" s="12">
        <f t="shared" si="19"/>
        <v>267039.09757313936</v>
      </c>
      <c r="F163" s="12">
        <f t="shared" si="24"/>
        <v>247086.28942187177</v>
      </c>
      <c r="G163" s="12">
        <f t="shared" si="24"/>
        <v>30538.7548723662</v>
      </c>
      <c r="H163" s="9"/>
      <c r="I163" s="12">
        <f t="shared" si="21"/>
        <v>6917.4995794617162</v>
      </c>
      <c r="J163" s="12">
        <f t="shared" si="22"/>
        <v>7983.0421453232093</v>
      </c>
      <c r="K163" s="12">
        <f t="shared" si="23"/>
        <v>986.66813032084713</v>
      </c>
    </row>
    <row r="164" spans="2:11" x14ac:dyDescent="0.25">
      <c r="B164" s="10">
        <v>160</v>
      </c>
      <c r="C164" s="21">
        <v>44051</v>
      </c>
      <c r="D164" s="12">
        <f t="shared" si="18"/>
        <v>109500.33648408309</v>
      </c>
      <c r="E164" s="12">
        <f t="shared" si="19"/>
        <v>264626.31596924161</v>
      </c>
      <c r="F164" s="12">
        <f t="shared" si="24"/>
        <v>255008.44931654158</v>
      </c>
      <c r="G164" s="12">
        <f t="shared" si="24"/>
        <v>31517.898230134379</v>
      </c>
      <c r="H164" s="9"/>
      <c r="I164" s="12">
        <f t="shared" si="21"/>
        <v>6488.5216485402434</v>
      </c>
      <c r="J164" s="12">
        <f t="shared" si="22"/>
        <v>7922.1598946698005</v>
      </c>
      <c r="K164" s="12">
        <f t="shared" si="23"/>
        <v>979.14335776817848</v>
      </c>
    </row>
    <row r="165" spans="2:11" x14ac:dyDescent="0.25">
      <c r="B165" s="10">
        <v>161</v>
      </c>
      <c r="C165" s="21">
        <v>44052</v>
      </c>
      <c r="D165" s="12">
        <f t="shared" si="18"/>
        <v>103420.68759169898</v>
      </c>
      <c r="E165" s="12">
        <f t="shared" si="19"/>
        <v>261885.08766265106</v>
      </c>
      <c r="F165" s="12">
        <f t="shared" si="24"/>
        <v>262859.03002362908</v>
      </c>
      <c r="G165" s="12">
        <f t="shared" si="24"/>
        <v>32488.194722021599</v>
      </c>
      <c r="H165" s="9"/>
      <c r="I165" s="12">
        <f t="shared" si="21"/>
        <v>6079.6488923841107</v>
      </c>
      <c r="J165" s="12">
        <f t="shared" si="22"/>
        <v>7850.5807070874998</v>
      </c>
      <c r="K165" s="12">
        <f t="shared" si="23"/>
        <v>970.2964918872201</v>
      </c>
    </row>
    <row r="166" spans="2:11" x14ac:dyDescent="0.25">
      <c r="B166" s="10">
        <v>162</v>
      </c>
      <c r="C166" s="21">
        <v>44053</v>
      </c>
      <c r="D166" s="12">
        <f t="shared" si="18"/>
        <v>97729.295300497688</v>
      </c>
      <c r="E166" s="12">
        <f t="shared" si="19"/>
        <v>258846.97703176399</v>
      </c>
      <c r="F166" s="12">
        <f t="shared" ref="F166:G181" si="25">F165+J166</f>
        <v>270628.28762428771</v>
      </c>
      <c r="G166" s="12">
        <f t="shared" si="25"/>
        <v>33448.440043451323</v>
      </c>
      <c r="H166" s="9"/>
      <c r="I166" s="12">
        <f t="shared" si="21"/>
        <v>5691.3922912012949</v>
      </c>
      <c r="J166" s="12">
        <f t="shared" si="22"/>
        <v>7769.2576006586469</v>
      </c>
      <c r="K166" s="12">
        <f t="shared" si="23"/>
        <v>960.24532142972146</v>
      </c>
    </row>
    <row r="167" spans="2:11" x14ac:dyDescent="0.25">
      <c r="B167" s="10">
        <v>163</v>
      </c>
      <c r="C167" s="21">
        <v>44054</v>
      </c>
      <c r="D167" s="12">
        <f t="shared" si="18"/>
        <v>92405.36221107551</v>
      </c>
      <c r="E167" s="12">
        <f t="shared" si="19"/>
        <v>255542.67755346073</v>
      </c>
      <c r="F167" s="12">
        <f t="shared" si="25"/>
        <v>278307.41460956336</v>
      </c>
      <c r="G167" s="12">
        <f t="shared" si="25"/>
        <v>34397.545625901126</v>
      </c>
      <c r="H167" s="9"/>
      <c r="I167" s="12">
        <f t="shared" si="21"/>
        <v>5323.9330894221775</v>
      </c>
      <c r="J167" s="12">
        <f t="shared" si="22"/>
        <v>7679.1269852756641</v>
      </c>
      <c r="K167" s="12">
        <f t="shared" si="23"/>
        <v>949.10558244980211</v>
      </c>
    </row>
    <row r="168" spans="2:11" x14ac:dyDescent="0.25">
      <c r="B168" s="10">
        <v>164</v>
      </c>
      <c r="C168" s="21">
        <v>44055</v>
      </c>
      <c r="D168" s="12">
        <f t="shared" si="18"/>
        <v>87428.185910331464</v>
      </c>
      <c r="E168" s="12">
        <f t="shared" si="19"/>
        <v>252001.76460242274</v>
      </c>
      <c r="F168" s="12">
        <f t="shared" si="25"/>
        <v>285888.51404364937</v>
      </c>
      <c r="G168" s="12">
        <f t="shared" si="25"/>
        <v>35334.535443597153</v>
      </c>
      <c r="H168" s="9"/>
      <c r="I168" s="12">
        <f t="shared" si="21"/>
        <v>4977.1763007440431</v>
      </c>
      <c r="J168" s="12">
        <f t="shared" si="22"/>
        <v>7581.0994340860007</v>
      </c>
      <c r="K168" s="12">
        <f t="shared" si="23"/>
        <v>936.98981769602347</v>
      </c>
    </row>
    <row r="169" spans="2:11" x14ac:dyDescent="0.25">
      <c r="B169" s="10">
        <v>165</v>
      </c>
      <c r="C169" s="21">
        <v>44056</v>
      </c>
      <c r="D169" s="12">
        <f t="shared" si="18"/>
        <v>82777.385229729698</v>
      </c>
      <c r="E169" s="12">
        <f t="shared" si="19"/>
        <v>248252.50646294377</v>
      </c>
      <c r="F169" s="12">
        <f t="shared" si="25"/>
        <v>293364.56639352127</v>
      </c>
      <c r="G169" s="12">
        <f t="shared" si="25"/>
        <v>36258.541913806039</v>
      </c>
      <c r="H169" s="9"/>
      <c r="I169" s="12">
        <f t="shared" si="21"/>
        <v>4650.800680601762</v>
      </c>
      <c r="J169" s="12">
        <f t="shared" si="22"/>
        <v>7476.052349871874</v>
      </c>
      <c r="K169" s="12">
        <f t="shared" si="23"/>
        <v>924.00647020888414</v>
      </c>
    </row>
    <row r="170" spans="2:11" x14ac:dyDescent="0.25">
      <c r="B170" s="10">
        <v>166</v>
      </c>
      <c r="C170" s="21">
        <v>44057</v>
      </c>
      <c r="D170" s="12">
        <f t="shared" si="18"/>
        <v>78433.080938396961</v>
      </c>
      <c r="E170" s="12">
        <f t="shared" si="19"/>
        <v>244321.72720551174</v>
      </c>
      <c r="F170" s="12">
        <f t="shared" si="25"/>
        <v>300729.39075192192</v>
      </c>
      <c r="G170" s="12">
        <f t="shared" si="25"/>
        <v>37168.801104170168</v>
      </c>
      <c r="H170" s="9"/>
      <c r="I170" s="12">
        <f t="shared" si="21"/>
        <v>4344.304291332739</v>
      </c>
      <c r="J170" s="12">
        <f t="shared" si="22"/>
        <v>7364.824358400665</v>
      </c>
      <c r="K170" s="12">
        <f t="shared" si="23"/>
        <v>910.2591903641279</v>
      </c>
    </row>
    <row r="171" spans="2:11" x14ac:dyDescent="0.25">
      <c r="B171" s="10">
        <v>167</v>
      </c>
      <c r="C171" s="21">
        <v>44058</v>
      </c>
      <c r="D171" s="12">
        <f t="shared" si="18"/>
        <v>74376.035754687487</v>
      </c>
      <c r="E171" s="12">
        <f t="shared" si="19"/>
        <v>240234.71481570415</v>
      </c>
      <c r="F171" s="12">
        <f t="shared" si="25"/>
        <v>307977.60199235211</v>
      </c>
      <c r="G171" s="12">
        <f t="shared" si="25"/>
        <v>38064.647437257045</v>
      </c>
      <c r="H171" s="9"/>
      <c r="I171" s="12">
        <f t="shared" si="21"/>
        <v>4057.0451837094715</v>
      </c>
      <c r="J171" s="12">
        <f t="shared" si="22"/>
        <v>7248.2112404301815</v>
      </c>
      <c r="K171" s="12">
        <f t="shared" si="23"/>
        <v>895.84633308687705</v>
      </c>
    </row>
    <row r="172" spans="2:11" x14ac:dyDescent="0.25">
      <c r="B172" s="10">
        <v>168</v>
      </c>
      <c r="C172" s="21">
        <v>44059</v>
      </c>
      <c r="D172" s="12">
        <f t="shared" si="18"/>
        <v>70587.758720924467</v>
      </c>
      <c r="E172" s="12">
        <f t="shared" si="19"/>
        <v>236015.16802227701</v>
      </c>
      <c r="F172" s="12">
        <f t="shared" si="25"/>
        <v>315104.56519855134</v>
      </c>
      <c r="G172" s="12">
        <f t="shared" si="25"/>
        <v>38945.508058247964</v>
      </c>
      <c r="H172" s="9"/>
      <c r="I172" s="12">
        <f t="shared" si="21"/>
        <v>3788.2770337630191</v>
      </c>
      <c r="J172" s="12">
        <f t="shared" si="22"/>
        <v>7126.9632061992224</v>
      </c>
      <c r="K172" s="12">
        <f t="shared" si="23"/>
        <v>880.860620990916</v>
      </c>
    </row>
    <row r="173" spans="2:11" x14ac:dyDescent="0.25">
      <c r="B173" s="10">
        <v>169</v>
      </c>
      <c r="C173" s="21">
        <v>44060</v>
      </c>
      <c r="D173" s="12">
        <f t="shared" si="18"/>
        <v>67050.578909676115</v>
      </c>
      <c r="E173" s="12">
        <f t="shared" si="19"/>
        <v>231685.17556611614</v>
      </c>
      <c r="F173" s="12">
        <f t="shared" si="25"/>
        <v>322106.34851654555</v>
      </c>
      <c r="G173" s="12">
        <f t="shared" si="25"/>
        <v>39810.897007662978</v>
      </c>
      <c r="H173" s="9"/>
      <c r="I173" s="12">
        <f t="shared" si="21"/>
        <v>3537.1798112483461</v>
      </c>
      <c r="J173" s="12">
        <f t="shared" si="22"/>
        <v>7001.7833179942163</v>
      </c>
      <c r="K173" s="12">
        <f t="shared" si="23"/>
        <v>865.38894941501655</v>
      </c>
    </row>
    <row r="174" spans="2:11" x14ac:dyDescent="0.25">
      <c r="B174" s="10">
        <v>170</v>
      </c>
      <c r="C174" s="21">
        <v>44061</v>
      </c>
      <c r="D174" s="12">
        <f t="shared" si="18"/>
        <v>63747.693184860756</v>
      </c>
      <c r="E174" s="12">
        <f t="shared" si="19"/>
        <v>227265.22210539429</v>
      </c>
      <c r="F174" s="12">
        <f t="shared" si="25"/>
        <v>328979.67539167363</v>
      </c>
      <c r="G174" s="12">
        <f t="shared" si="25"/>
        <v>40660.409318072074</v>
      </c>
      <c r="H174" s="9"/>
      <c r="I174" s="12">
        <f t="shared" si="21"/>
        <v>3302.8857248153604</v>
      </c>
      <c r="J174" s="12">
        <f t="shared" si="22"/>
        <v>6873.3268751281121</v>
      </c>
      <c r="K174" s="12">
        <f t="shared" si="23"/>
        <v>849.51231040909329</v>
      </c>
    </row>
    <row r="175" spans="2:11" x14ac:dyDescent="0.25">
      <c r="B175" s="10">
        <v>171</v>
      </c>
      <c r="C175" s="21">
        <v>44062</v>
      </c>
      <c r="D175" s="12">
        <f t="shared" si="18"/>
        <v>60663.192385029222</v>
      </c>
      <c r="E175" s="12">
        <f t="shared" si="19"/>
        <v>222774.21550171269</v>
      </c>
      <c r="F175" s="12">
        <f t="shared" si="25"/>
        <v>335721.87698080036</v>
      </c>
      <c r="G175" s="12">
        <f t="shared" si="25"/>
        <v>41493.715132458521</v>
      </c>
      <c r="H175" s="9"/>
      <c r="I175" s="12">
        <f t="shared" si="21"/>
        <v>3084.5007998315377</v>
      </c>
      <c r="J175" s="12">
        <f t="shared" si="22"/>
        <v>6742.2015891266965</v>
      </c>
      <c r="K175" s="12">
        <f t="shared" si="23"/>
        <v>833.30581438644651</v>
      </c>
    </row>
    <row r="176" spans="2:11" x14ac:dyDescent="0.25">
      <c r="B176" s="10">
        <v>172</v>
      </c>
      <c r="C176" s="21">
        <v>44063</v>
      </c>
      <c r="D176" s="12">
        <f t="shared" si="18"/>
        <v>57782.069875962756</v>
      </c>
      <c r="E176" s="12">
        <f t="shared" si="19"/>
        <v>218229.53082738875</v>
      </c>
      <c r="F176" s="12">
        <f t="shared" si="25"/>
        <v>342330.84537401784</v>
      </c>
      <c r="G176" s="12">
        <f t="shared" si="25"/>
        <v>42310.553922631465</v>
      </c>
      <c r="H176" s="9"/>
      <c r="I176" s="12">
        <f t="shared" si="21"/>
        <v>2881.1225090664702</v>
      </c>
      <c r="J176" s="12">
        <f t="shared" si="22"/>
        <v>6608.9683932174758</v>
      </c>
      <c r="K176" s="12">
        <f t="shared" si="23"/>
        <v>816.83879017294726</v>
      </c>
    </row>
    <row r="177" spans="2:11" x14ac:dyDescent="0.25">
      <c r="B177" s="10">
        <v>173</v>
      </c>
      <c r="C177" s="21">
        <v>44064</v>
      </c>
      <c r="D177" s="12">
        <f t="shared" si="18"/>
        <v>55090.215971282007</v>
      </c>
      <c r="E177" s="12">
        <f t="shared" si="19"/>
        <v>213647.0670378232</v>
      </c>
      <c r="F177" s="12">
        <f t="shared" si="25"/>
        <v>348804.98812189704</v>
      </c>
      <c r="G177" s="12">
        <f t="shared" si="25"/>
        <v>43110.728868998558</v>
      </c>
      <c r="H177" s="9"/>
      <c r="I177" s="12">
        <f t="shared" si="21"/>
        <v>2691.8539046807459</v>
      </c>
      <c r="J177" s="12">
        <f t="shared" si="22"/>
        <v>6474.1427478791993</v>
      </c>
      <c r="K177" s="12">
        <f t="shared" si="23"/>
        <v>800.17494636709284</v>
      </c>
    </row>
    <row r="178" spans="2:11" x14ac:dyDescent="0.25">
      <c r="B178" s="10">
        <v>174</v>
      </c>
      <c r="C178" s="21">
        <v>44065</v>
      </c>
      <c r="D178" s="12">
        <f t="shared" si="18"/>
        <v>52574.40126972174</v>
      </c>
      <c r="E178" s="12">
        <f t="shared" si="19"/>
        <v>209041.31283812269</v>
      </c>
      <c r="F178" s="12">
        <f t="shared" si="25"/>
        <v>355143.18444401911</v>
      </c>
      <c r="G178" s="12">
        <f t="shared" si="25"/>
        <v>43894.10144813724</v>
      </c>
      <c r="H178" s="9"/>
      <c r="I178" s="12">
        <f t="shared" si="21"/>
        <v>2515.814701560269</v>
      </c>
      <c r="J178" s="12">
        <f t="shared" si="22"/>
        <v>6338.1963221220876</v>
      </c>
      <c r="K178" s="12">
        <f t="shared" si="23"/>
        <v>783.37257913868575</v>
      </c>
    </row>
    <row r="179" spans="2:11" x14ac:dyDescent="0.25">
      <c r="B179" s="10">
        <v>175</v>
      </c>
      <c r="C179" s="21">
        <v>44066</v>
      </c>
      <c r="D179" s="12">
        <f t="shared" si="18"/>
        <v>50222.251524763778</v>
      </c>
      <c r="E179" s="12">
        <f t="shared" si="19"/>
        <v>204425.41882180987</v>
      </c>
      <c r="F179" s="12">
        <f t="shared" si="25"/>
        <v>361344.74339155009</v>
      </c>
      <c r="G179" s="12">
        <f t="shared" si="25"/>
        <v>44660.586261877026</v>
      </c>
      <c r="H179" s="9"/>
      <c r="I179" s="12">
        <f t="shared" si="21"/>
        <v>2352.1497449579606</v>
      </c>
      <c r="J179" s="12">
        <f t="shared" si="22"/>
        <v>6201.5589475309716</v>
      </c>
      <c r="K179" s="12">
        <f t="shared" si="23"/>
        <v>766.48481373978382</v>
      </c>
    </row>
    <row r="180" spans="2:11" x14ac:dyDescent="0.25">
      <c r="B180" s="10">
        <v>176</v>
      </c>
      <c r="C180" s="21">
        <v>44067</v>
      </c>
      <c r="D180" s="12">
        <f t="shared" si="18"/>
        <v>48022.216258653309</v>
      </c>
      <c r="E180" s="12">
        <f t="shared" si="19"/>
        <v>199811.27346052669</v>
      </c>
      <c r="F180" s="12">
        <f t="shared" si="25"/>
        <v>367409.36414993042</v>
      </c>
      <c r="G180" s="12">
        <f t="shared" si="25"/>
        <v>45410.146130890331</v>
      </c>
      <c r="H180" s="9"/>
      <c r="I180" s="12">
        <f t="shared" si="21"/>
        <v>2200.0352661104694</v>
      </c>
      <c r="J180" s="12">
        <f t="shared" si="22"/>
        <v>6064.6207583803589</v>
      </c>
      <c r="K180" s="12">
        <f t="shared" si="23"/>
        <v>749.55986901330346</v>
      </c>
    </row>
    <row r="181" spans="2:11" x14ac:dyDescent="0.25">
      <c r="B181" s="10">
        <v>177</v>
      </c>
      <c r="C181" s="21">
        <v>44068</v>
      </c>
      <c r="D181" s="12">
        <f t="shared" si="18"/>
        <v>45963.532965609294</v>
      </c>
      <c r="E181" s="12">
        <f t="shared" si="19"/>
        <v>195209.58097155314</v>
      </c>
      <c r="F181" s="12">
        <f t="shared" si="25"/>
        <v>373337.09859592607</v>
      </c>
      <c r="G181" s="12">
        <f t="shared" si="25"/>
        <v>46142.787466912261</v>
      </c>
      <c r="H181" s="9"/>
      <c r="I181" s="12">
        <f t="shared" si="21"/>
        <v>2058.6832930440173</v>
      </c>
      <c r="J181" s="12">
        <f t="shared" si="22"/>
        <v>5927.7344459956239</v>
      </c>
      <c r="K181" s="12">
        <f t="shared" si="23"/>
        <v>732.64133602193181</v>
      </c>
    </row>
    <row r="182" spans="2:11" x14ac:dyDescent="0.25">
      <c r="B182" s="10">
        <v>178</v>
      </c>
      <c r="C182" s="21">
        <v>44069</v>
      </c>
      <c r="D182" s="12">
        <f t="shared" si="18"/>
        <v>44036.188421630468</v>
      </c>
      <c r="E182" s="12">
        <f t="shared" si="19"/>
        <v>190629.93948314688</v>
      </c>
      <c r="F182" s="12">
        <f t="shared" ref="F182:G197" si="26">F181+J182</f>
        <v>379128.3161647488</v>
      </c>
      <c r="G182" s="12">
        <f t="shared" si="26"/>
        <v>46858.55593047462</v>
      </c>
      <c r="H182" s="9"/>
      <c r="I182" s="12">
        <f t="shared" si="21"/>
        <v>1927.3445439788247</v>
      </c>
      <c r="J182" s="12">
        <f t="shared" si="22"/>
        <v>5791.2175688227426</v>
      </c>
      <c r="K182" s="12">
        <f t="shared" si="23"/>
        <v>715.76846356236217</v>
      </c>
    </row>
    <row r="183" spans="2:11" x14ac:dyDescent="0.25">
      <c r="B183" s="10">
        <v>179</v>
      </c>
      <c r="C183" s="21">
        <v>44070</v>
      </c>
      <c r="D183" s="12">
        <f t="shared" si="18"/>
        <v>42230.878331291569</v>
      </c>
      <c r="E183" s="12">
        <f t="shared" si="19"/>
        <v>186080.91825738089</v>
      </c>
      <c r="F183" s="12">
        <f t="shared" si="26"/>
        <v>384783.67103608215</v>
      </c>
      <c r="G183" s="12">
        <f t="shared" si="26"/>
        <v>47557.532375246163</v>
      </c>
      <c r="H183" s="9"/>
      <c r="I183" s="12">
        <f t="shared" si="21"/>
        <v>1805.3100903388993</v>
      </c>
      <c r="J183" s="12">
        <f t="shared" si="22"/>
        <v>5655.3548713333566</v>
      </c>
      <c r="K183" s="12">
        <f t="shared" si="23"/>
        <v>698.97644477153915</v>
      </c>
    </row>
    <row r="184" spans="2:11" x14ac:dyDescent="0.25">
      <c r="B184" s="10">
        <v>180</v>
      </c>
      <c r="C184" s="21">
        <v>44071</v>
      </c>
      <c r="D184" s="12">
        <f t="shared" si="18"/>
        <v>40538.966294023652</v>
      </c>
      <c r="E184" s="12">
        <f t="shared" si="19"/>
        <v>181570.1330194028</v>
      </c>
      <c r="F184" s="12">
        <f t="shared" si="26"/>
        <v>390304.0716110511</v>
      </c>
      <c r="G184" s="12">
        <f t="shared" si="26"/>
        <v>48239.82907552323</v>
      </c>
      <c r="H184" s="9"/>
      <c r="I184" s="12">
        <f t="shared" si="21"/>
        <v>1691.9120372679176</v>
      </c>
      <c r="J184" s="12">
        <f t="shared" si="22"/>
        <v>5520.4005749689659</v>
      </c>
      <c r="K184" s="12">
        <f t="shared" si="23"/>
        <v>682.29670027706391</v>
      </c>
    </row>
    <row r="185" spans="2:11" x14ac:dyDescent="0.25">
      <c r="B185" s="10">
        <v>181</v>
      </c>
      <c r="C185" s="21">
        <v>44072</v>
      </c>
      <c r="D185" s="12">
        <f t="shared" si="18"/>
        <v>38952.442861060917</v>
      </c>
      <c r="E185" s="12">
        <f t="shared" si="19"/>
        <v>177104.3186850521</v>
      </c>
      <c r="F185" s="12">
        <f t="shared" si="26"/>
        <v>395690.65222396003</v>
      </c>
      <c r="G185" s="12">
        <f t="shared" si="26"/>
        <v>48905.586229927707</v>
      </c>
      <c r="H185" s="9"/>
      <c r="I185" s="12">
        <f t="shared" si="21"/>
        <v>1586.5234329627328</v>
      </c>
      <c r="J185" s="12">
        <f t="shared" si="22"/>
        <v>5386.5806129089488</v>
      </c>
      <c r="K185" s="12">
        <f t="shared" si="23"/>
        <v>665.75715440447743</v>
      </c>
    </row>
    <row r="186" spans="2:11" x14ac:dyDescent="0.25">
      <c r="B186" s="10">
        <v>182</v>
      </c>
      <c r="C186" s="21">
        <v>44073</v>
      </c>
      <c r="D186" s="12">
        <f t="shared" si="18"/>
        <v>37463.885276289875</v>
      </c>
      <c r="E186" s="12">
        <f t="shared" si="19"/>
        <v>172689.39898032142</v>
      </c>
      <c r="F186" s="12">
        <f t="shared" si="26"/>
        <v>400944.74701161659</v>
      </c>
      <c r="G186" s="12">
        <f t="shared" si="26"/>
        <v>49554.968731772897</v>
      </c>
      <c r="H186" s="9"/>
      <c r="I186" s="12">
        <f t="shared" si="21"/>
        <v>1488.5575847710452</v>
      </c>
      <c r="J186" s="12">
        <f t="shared" si="22"/>
        <v>5254.0947876565451</v>
      </c>
      <c r="K186" s="12">
        <f t="shared" si="23"/>
        <v>649.38250184519165</v>
      </c>
    </row>
    <row r="187" spans="2:11" x14ac:dyDescent="0.25">
      <c r="B187" s="10">
        <v>183</v>
      </c>
      <c r="C187" s="13">
        <v>44074</v>
      </c>
      <c r="D187" s="12">
        <f t="shared" si="18"/>
        <v>36066.418346099832</v>
      </c>
      <c r="E187" s="12">
        <f t="shared" si="19"/>
        <v>168330.55261116743</v>
      </c>
      <c r="F187" s="12">
        <f t="shared" si="26"/>
        <v>406067.86584803282</v>
      </c>
      <c r="G187" s="12">
        <f t="shared" si="26"/>
        <v>50188.163194700741</v>
      </c>
      <c r="H187" s="9"/>
      <c r="I187" s="12">
        <f t="shared" si="21"/>
        <v>1397.4669301900408</v>
      </c>
      <c r="J187" s="12">
        <f t="shared" si="22"/>
        <v>5123.1188364162017</v>
      </c>
      <c r="K187" s="12">
        <f t="shared" si="23"/>
        <v>633.19446292784573</v>
      </c>
    </row>
    <row r="188" spans="2:11" x14ac:dyDescent="0.25">
      <c r="B188" s="10">
        <v>184</v>
      </c>
      <c r="C188" s="21">
        <v>44075</v>
      </c>
      <c r="D188" s="12">
        <f t="shared" si="18"/>
        <v>34753.676761386756</v>
      </c>
      <c r="E188" s="12">
        <f t="shared" si="19"/>
        <v>164032.27577550826</v>
      </c>
      <c r="F188" s="12">
        <f t="shared" si="26"/>
        <v>411061.67224216409</v>
      </c>
      <c r="G188" s="12">
        <f t="shared" si="26"/>
        <v>50805.375220941685</v>
      </c>
      <c r="H188" s="9"/>
      <c r="I188" s="12">
        <f t="shared" si="21"/>
        <v>1312.7415847130746</v>
      </c>
      <c r="J188" s="12">
        <f t="shared" si="22"/>
        <v>4993.8063941313003</v>
      </c>
      <c r="K188" s="12">
        <f t="shared" si="23"/>
        <v>617.21202624094781</v>
      </c>
    </row>
    <row r="189" spans="2:11" x14ac:dyDescent="0.25">
      <c r="B189" s="10">
        <v>185</v>
      </c>
      <c r="C189" s="21">
        <v>44076</v>
      </c>
      <c r="D189" s="12">
        <f t="shared" si="18"/>
        <v>33519.769095599157</v>
      </c>
      <c r="E189" s="12">
        <f t="shared" si="19"/>
        <v>159798.44091544556</v>
      </c>
      <c r="F189" s="12">
        <f t="shared" si="26"/>
        <v>415927.96309017082</v>
      </c>
      <c r="G189" s="12">
        <f t="shared" si="26"/>
        <v>51406.826898785213</v>
      </c>
      <c r="H189" s="9"/>
      <c r="I189" s="12">
        <f t="shared" si="21"/>
        <v>1233.907665787598</v>
      </c>
      <c r="J189" s="12">
        <f t="shared" si="22"/>
        <v>4866.2908480067445</v>
      </c>
      <c r="K189" s="12">
        <f t="shared" si="23"/>
        <v>601.45167784353077</v>
      </c>
    </row>
    <row r="190" spans="2:11" x14ac:dyDescent="0.25">
      <c r="B190" s="10">
        <v>186</v>
      </c>
      <c r="C190" s="21">
        <v>44077</v>
      </c>
      <c r="D190" s="12">
        <f t="shared" si="18"/>
        <v>32359.243622857117</v>
      </c>
      <c r="E190" s="12">
        <f t="shared" si="19"/>
        <v>155632.3516910061</v>
      </c>
      <c r="F190" s="12">
        <f t="shared" si="26"/>
        <v>420668.65017066238</v>
      </c>
      <c r="G190" s="12">
        <f t="shared" si="26"/>
        <v>51992.754515475179</v>
      </c>
      <c r="H190" s="9"/>
      <c r="I190" s="12">
        <f t="shared" si="21"/>
        <v>1160.5254727420408</v>
      </c>
      <c r="J190" s="12">
        <f t="shared" si="22"/>
        <v>4740.6870804915516</v>
      </c>
      <c r="K190" s="12">
        <f t="shared" si="23"/>
        <v>585.92761668996752</v>
      </c>
    </row>
    <row r="191" spans="2:11" x14ac:dyDescent="0.25">
      <c r="B191" s="10">
        <v>187</v>
      </c>
      <c r="C191" s="21">
        <v>44078</v>
      </c>
      <c r="D191" s="12">
        <f t="shared" si="18"/>
        <v>31267.056036735881</v>
      </c>
      <c r="E191" s="12">
        <f t="shared" si="19"/>
        <v>151536.79422076046</v>
      </c>
      <c r="F191" s="12">
        <f t="shared" si="26"/>
        <v>425285.74327082891</v>
      </c>
      <c r="G191" s="12">
        <f t="shared" si="26"/>
        <v>52563.406471675538</v>
      </c>
      <c r="H191" s="9"/>
      <c r="I191" s="12">
        <f t="shared" si="21"/>
        <v>1092.1875861212359</v>
      </c>
      <c r="J191" s="12">
        <f t="shared" si="22"/>
        <v>4617.093100166514</v>
      </c>
      <c r="K191" s="12">
        <f t="shared" si="23"/>
        <v>570.65195620035615</v>
      </c>
    </row>
    <row r="192" spans="2:11" x14ac:dyDescent="0.25">
      <c r="B192" s="10">
        <v>188</v>
      </c>
      <c r="C192" s="21">
        <v>44079</v>
      </c>
      <c r="D192" s="12">
        <f t="shared" si="18"/>
        <v>30238.539100616763</v>
      </c>
      <c r="E192" s="12">
        <f t="shared" si="19"/>
        <v>147514.08468285424</v>
      </c>
      <c r="F192" s="12">
        <f t="shared" si="26"/>
        <v>429781.33483271149</v>
      </c>
      <c r="G192" s="12">
        <f t="shared" si="26"/>
        <v>53119.04138381833</v>
      </c>
      <c r="H192" s="9"/>
      <c r="I192" s="12">
        <f t="shared" si="21"/>
        <v>1028.5169361191195</v>
      </c>
      <c r="J192" s="12">
        <f t="shared" si="22"/>
        <v>4495.5915618825593</v>
      </c>
      <c r="K192" s="12">
        <f t="shared" si="23"/>
        <v>555.63491214278883</v>
      </c>
    </row>
    <row r="193" spans="2:11" x14ac:dyDescent="0.25">
      <c r="B193" s="10">
        <v>189</v>
      </c>
      <c r="C193" s="21">
        <v>44080</v>
      </c>
      <c r="D193" s="12">
        <f t="shared" si="18"/>
        <v>29269.374222227183</v>
      </c>
      <c r="E193" s="12">
        <f t="shared" si="19"/>
        <v>143566.11340514867</v>
      </c>
      <c r="F193" s="12">
        <f t="shared" si="26"/>
        <v>434157.58601163619</v>
      </c>
      <c r="G193" s="12">
        <f t="shared" si="26"/>
        <v>53659.926360988793</v>
      </c>
      <c r="H193" s="9"/>
      <c r="I193" s="12">
        <f t="shared" si="21"/>
        <v>969.1648783895788</v>
      </c>
      <c r="J193" s="12">
        <f t="shared" si="22"/>
        <v>4376.2511789246755</v>
      </c>
      <c r="K193" s="12">
        <f t="shared" si="23"/>
        <v>540.88497717046607</v>
      </c>
    </row>
    <row r="194" spans="2:11" x14ac:dyDescent="0.25">
      <c r="B194" s="10">
        <v>190</v>
      </c>
      <c r="C194" s="21">
        <v>44081</v>
      </c>
      <c r="D194" s="12">
        <f t="shared" si="18"/>
        <v>28355.564916088664</v>
      </c>
      <c r="E194" s="12">
        <f t="shared" si="19"/>
        <v>139694.38559778224</v>
      </c>
      <c r="F194" s="12">
        <f t="shared" si="26"/>
        <v>438416.7140426556</v>
      </c>
      <c r="G194" s="12">
        <f t="shared" si="26"/>
        <v>54186.335443474338</v>
      </c>
      <c r="H194" s="9"/>
      <c r="I194" s="12">
        <f t="shared" si="21"/>
        <v>913.80930613851876</v>
      </c>
      <c r="J194" s="12">
        <f t="shared" si="22"/>
        <v>4259.1280310194097</v>
      </c>
      <c r="K194" s="12">
        <f t="shared" si="23"/>
        <v>526.40908248554558</v>
      </c>
    </row>
    <row r="195" spans="2:11" x14ac:dyDescent="0.25">
      <c r="B195" s="10">
        <v>191</v>
      </c>
      <c r="C195" s="21">
        <v>44082</v>
      </c>
      <c r="D195" s="12">
        <f t="shared" si="18"/>
        <v>27493.4120963276</v>
      </c>
      <c r="E195" s="12">
        <f t="shared" si="19"/>
        <v>135900.05889761724</v>
      </c>
      <c r="F195" s="12">
        <f t="shared" si="26"/>
        <v>442560.98081538983</v>
      </c>
      <c r="G195" s="12">
        <f t="shared" si="26"/>
        <v>54698.54819066621</v>
      </c>
      <c r="H195" s="9"/>
      <c r="I195" s="12">
        <f t="shared" si="21"/>
        <v>862.15281976106417</v>
      </c>
      <c r="J195" s="12">
        <f t="shared" si="22"/>
        <v>4144.2667727342059</v>
      </c>
      <c r="K195" s="12">
        <f t="shared" si="23"/>
        <v>512.21274719186863</v>
      </c>
    </row>
    <row r="196" spans="2:11" x14ac:dyDescent="0.25">
      <c r="B196" s="10">
        <v>192</v>
      </c>
      <c r="C196" s="21">
        <v>44083</v>
      </c>
      <c r="D196" s="12">
        <f t="shared" si="18"/>
        <v>26679.491127205121</v>
      </c>
      <c r="E196" s="12">
        <f t="shared" si="19"/>
        <v>132183.97790348582</v>
      </c>
      <c r="F196" s="12">
        <f t="shared" si="26"/>
        <v>446592.6825626858</v>
      </c>
      <c r="G196" s="12">
        <f t="shared" si="26"/>
        <v>55196.848406624144</v>
      </c>
      <c r="H196" s="9"/>
      <c r="I196" s="12">
        <f t="shared" si="21"/>
        <v>813.92096912247973</v>
      </c>
      <c r="J196" s="12">
        <f t="shared" si="22"/>
        <v>4031.7017472959778</v>
      </c>
      <c r="K196" s="12">
        <f t="shared" si="23"/>
        <v>498.30021595793033</v>
      </c>
    </row>
    <row r="197" spans="2:11" x14ac:dyDescent="0.25">
      <c r="B197" s="10">
        <v>193</v>
      </c>
      <c r="C197" s="21">
        <v>44084</v>
      </c>
      <c r="D197" s="12">
        <f t="shared" si="18"/>
        <v>25910.630548550995</v>
      </c>
      <c r="E197" s="12">
        <f t="shared" si="19"/>
        <v>128546.70588535709</v>
      </c>
      <c r="F197" s="12">
        <f t="shared" si="26"/>
        <v>450514.14057382254</v>
      </c>
      <c r="G197" s="12">
        <f t="shared" si="26"/>
        <v>55681.522992270257</v>
      </c>
      <c r="H197" s="9"/>
      <c r="I197" s="12">
        <f t="shared" si="21"/>
        <v>768.86057865412636</v>
      </c>
      <c r="J197" s="12">
        <f t="shared" si="22"/>
        <v>3921.4580111367459</v>
      </c>
      <c r="K197" s="12">
        <f t="shared" si="23"/>
        <v>484.67458564611508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25183.892387011234</v>
      </c>
      <c r="E198" s="12">
        <f t="shared" ref="E198:E204" si="28">E197+I198-J198-K198</f>
        <v>124988.55385071828</v>
      </c>
      <c r="F198" s="12">
        <f t="shared" ref="F198:G204" si="29">F197+J198</f>
        <v>454327.69284842146</v>
      </c>
      <c r="G198" s="12">
        <f t="shared" si="29"/>
        <v>56152.860913849901</v>
      </c>
      <c r="H198" s="9"/>
      <c r="I198" s="12">
        <f t="shared" ref="I198:I204" si="30">E197*N$6*D197/SUM(D197:F197)*N$7</f>
        <v>726.73816153976247</v>
      </c>
      <c r="J198" s="12">
        <f t="shared" ref="J198:J204" si="31">E197*N$8/N$5</f>
        <v>3813.5522745989269</v>
      </c>
      <c r="K198" s="12">
        <f t="shared" ref="K198:K204" si="32">E197*N$9/N$5</f>
        <v>471.33792157964308</v>
      </c>
    </row>
    <row r="199" spans="2:11" x14ac:dyDescent="0.25">
      <c r="B199" s="10">
        <v>195</v>
      </c>
      <c r="C199" s="21">
        <v>44086</v>
      </c>
      <c r="D199" s="12">
        <f t="shared" si="27"/>
        <v>24496.553960787383</v>
      </c>
      <c r="E199" s="12">
        <f t="shared" si="28"/>
        <v>121509.60714858485</v>
      </c>
      <c r="F199" s="12">
        <f t="shared" si="29"/>
        <v>458035.68661265943</v>
      </c>
      <c r="G199" s="12">
        <f t="shared" si="29"/>
        <v>56611.152277969202</v>
      </c>
      <c r="H199" s="9"/>
      <c r="I199" s="12">
        <f t="shared" si="30"/>
        <v>687.33842622385009</v>
      </c>
      <c r="J199" s="12">
        <f t="shared" si="31"/>
        <v>3707.993764237975</v>
      </c>
      <c r="K199" s="12">
        <f t="shared" si="32"/>
        <v>458.29136411930079</v>
      </c>
    </row>
    <row r="200" spans="2:11" x14ac:dyDescent="0.25">
      <c r="B200" s="10">
        <v>196</v>
      </c>
      <c r="C200" s="21">
        <v>44087</v>
      </c>
      <c r="D200" s="12">
        <f t="shared" si="27"/>
        <v>23846.091084658365</v>
      </c>
      <c r="E200" s="12">
        <f t="shared" si="28"/>
        <v>118109.74978642771</v>
      </c>
      <c r="F200" s="12">
        <f t="shared" si="29"/>
        <v>461640.47162473411</v>
      </c>
      <c r="G200" s="12">
        <f t="shared" si="29"/>
        <v>57056.687504180678</v>
      </c>
      <c r="H200" s="9"/>
      <c r="I200" s="12">
        <f t="shared" si="30"/>
        <v>650.46287612901779</v>
      </c>
      <c r="J200" s="12">
        <f t="shared" si="31"/>
        <v>3604.7850120746834</v>
      </c>
      <c r="K200" s="12">
        <f t="shared" si="32"/>
        <v>445.53522621147818</v>
      </c>
    </row>
    <row r="201" spans="2:11" x14ac:dyDescent="0.25">
      <c r="B201" s="10">
        <v>197</v>
      </c>
      <c r="C201" s="21">
        <v>44088</v>
      </c>
      <c r="D201" s="12">
        <f t="shared" si="27"/>
        <v>23230.162582963785</v>
      </c>
      <c r="E201" s="12">
        <f t="shared" si="28"/>
        <v>114788.68662857469</v>
      </c>
      <c r="F201" s="12">
        <f t="shared" si="29"/>
        <v>465144.39420173148</v>
      </c>
      <c r="G201" s="12">
        <f t="shared" si="29"/>
        <v>57489.756586730917</v>
      </c>
      <c r="H201" s="9"/>
      <c r="I201" s="12">
        <f t="shared" si="30"/>
        <v>615.92850169457995</v>
      </c>
      <c r="J201" s="12">
        <f t="shared" si="31"/>
        <v>3503.922576997355</v>
      </c>
      <c r="K201" s="12">
        <f t="shared" si="32"/>
        <v>433.06908255023529</v>
      </c>
    </row>
    <row r="202" spans="2:11" x14ac:dyDescent="0.25">
      <c r="B202" s="10">
        <v>198</v>
      </c>
      <c r="C202" s="21">
        <v>44089</v>
      </c>
      <c r="D202" s="12">
        <f t="shared" si="27"/>
        <v>22646.59602043101</v>
      </c>
      <c r="E202" s="12">
        <f t="shared" si="28"/>
        <v>111545.96363682163</v>
      </c>
      <c r="F202" s="12">
        <f t="shared" si="29"/>
        <v>468549.79190504586</v>
      </c>
      <c r="G202" s="12">
        <f t="shared" si="29"/>
        <v>57910.648437702359</v>
      </c>
      <c r="H202" s="9"/>
      <c r="I202" s="12">
        <f t="shared" si="30"/>
        <v>583.56656253277379</v>
      </c>
      <c r="J202" s="12">
        <f t="shared" si="31"/>
        <v>3405.3977033143824</v>
      </c>
      <c r="K202" s="12">
        <f t="shared" si="32"/>
        <v>420.89185097144093</v>
      </c>
    </row>
    <row r="203" spans="2:11" x14ac:dyDescent="0.25">
      <c r="B203" s="10">
        <v>199</v>
      </c>
      <c r="C203" s="21">
        <v>44090</v>
      </c>
      <c r="D203" s="12">
        <f t="shared" si="27"/>
        <v>22093.374563878057</v>
      </c>
      <c r="E203" s="12">
        <f t="shared" si="28"/>
        <v>108380.98630548053</v>
      </c>
      <c r="F203" s="12">
        <f t="shared" si="29"/>
        <v>471858.98882627155</v>
      </c>
      <c r="G203" s="12">
        <f t="shared" si="29"/>
        <v>58319.650304370705</v>
      </c>
      <c r="H203" s="9"/>
      <c r="I203" s="12">
        <f t="shared" si="30"/>
        <v>553.22145655295481</v>
      </c>
      <c r="J203" s="12">
        <f t="shared" si="31"/>
        <v>3309.1969212257081</v>
      </c>
      <c r="K203" s="12">
        <f t="shared" si="32"/>
        <v>409.00186666834634</v>
      </c>
    </row>
    <row r="204" spans="2:11" x14ac:dyDescent="0.25">
      <c r="B204" s="20">
        <v>200</v>
      </c>
      <c r="C204" s="21">
        <v>44091</v>
      </c>
      <c r="D204" s="12">
        <f t="shared" si="27"/>
        <v>21568.624891627209</v>
      </c>
      <c r="E204" s="12">
        <f t="shared" si="28"/>
        <v>105293.03643421536</v>
      </c>
      <c r="F204" s="12">
        <f t="shared" si="29"/>
        <v>475074.29142000084</v>
      </c>
      <c r="G204" s="12">
        <f t="shared" si="29"/>
        <v>58717.047254157471</v>
      </c>
      <c r="H204" s="9"/>
      <c r="I204" s="12">
        <f t="shared" si="30"/>
        <v>524.74967225084674</v>
      </c>
      <c r="J204" s="12">
        <f t="shared" si="31"/>
        <v>3215.3025937292555</v>
      </c>
      <c r="K204" s="12">
        <f t="shared" si="32"/>
        <v>397.39694978676226</v>
      </c>
    </row>
    <row r="205" spans="2:11" x14ac:dyDescent="0.25">
      <c r="B205" s="19"/>
      <c r="C205" s="1"/>
      <c r="E205" s="12">
        <f>MAX(E4:E204)</f>
        <v>273055.59537307976</v>
      </c>
      <c r="I205" s="12">
        <f>MAX(I4:I204)</f>
        <v>14724.720520340952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0EEB1-9B7C-4347-9ABC-182674CDF6EF}">
  <sheetPr codeName="Hoja6"/>
  <dimension ref="B2:N762"/>
  <sheetViews>
    <sheetView showGridLines="0" topLeftCell="B194" workbookViewId="0">
      <selection activeCell="I205" sqref="I205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4" t="s">
        <v>26</v>
      </c>
      <c r="E2" s="35"/>
      <c r="F2" s="35"/>
      <c r="G2" s="36"/>
      <c r="I2" s="34" t="s">
        <v>27</v>
      </c>
      <c r="J2" s="35"/>
      <c r="K2" s="36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192788</v>
      </c>
    </row>
    <row r="4" spans="2:14" x14ac:dyDescent="0.25">
      <c r="B4" s="10">
        <v>0</v>
      </c>
      <c r="C4" s="11">
        <v>43891</v>
      </c>
      <c r="D4" s="12">
        <f>N3</f>
        <v>192788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192787.86800068468</v>
      </c>
      <c r="E5" s="12">
        <f>E4+I5-J5-K5</f>
        <v>1.0986659819802995</v>
      </c>
      <c r="F5" s="12">
        <f>F4+J5</f>
        <v>2.9666666666666664E-2</v>
      </c>
      <c r="G5" s="12">
        <f>G4+K5</f>
        <v>3.6666666666666701E-3</v>
      </c>
      <c r="H5" s="9"/>
      <c r="I5" s="12">
        <f>E4*N$6*D4/SUM(D4:F4)*N$7</f>
        <v>0.13199931531363304</v>
      </c>
      <c r="J5" s="12">
        <f>E4*N$8/N$5</f>
        <v>2.9666666666666664E-2</v>
      </c>
      <c r="K5" s="12">
        <f>E4*N$9/N$5</f>
        <v>3.6666666666666701E-3</v>
      </c>
      <c r="M5" s="2" t="s">
        <v>7</v>
      </c>
      <c r="N5" s="18">
        <f>Datos!G3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192787.72297762384</v>
      </c>
      <c r="E6" s="12">
        <f t="shared" ref="E6:E69" si="1">E5+I6-J6-K6</f>
        <v>1.2070668434235603</v>
      </c>
      <c r="F6" s="12">
        <f t="shared" ref="F6:G21" si="2">F5+J6</f>
        <v>6.2260424132082215E-2</v>
      </c>
      <c r="G6" s="12">
        <f t="shared" si="2"/>
        <v>7.6951086005944379E-3</v>
      </c>
      <c r="H6" s="9"/>
      <c r="I6" s="12">
        <f t="shared" ref="I6:I69" si="3">E5*N$6*D5/SUM(D5:F5)*N$7</f>
        <v>0.14502306084260422</v>
      </c>
      <c r="J6" s="12">
        <f t="shared" ref="J6:J69" si="4">E5*N$8/N$5</f>
        <v>3.2593757465415547E-2</v>
      </c>
      <c r="K6" s="12">
        <f t="shared" ref="K6:K69" si="5">E5*N$9/N$5</f>
        <v>4.0284419339277682E-3</v>
      </c>
      <c r="M6" s="2" t="s">
        <v>8</v>
      </c>
      <c r="N6" s="3">
        <f>Datos!G4</f>
        <v>2</v>
      </c>
    </row>
    <row r="7" spans="2:14" x14ac:dyDescent="0.25">
      <c r="B7" s="10">
        <v>3</v>
      </c>
      <c r="C7" s="11">
        <v>43894</v>
      </c>
      <c r="D7" s="12">
        <f t="shared" si="0"/>
        <v>192787.56364584956</v>
      </c>
      <c r="E7" s="12">
        <f t="shared" si="1"/>
        <v>1.3261630562569553</v>
      </c>
      <c r="F7" s="12">
        <f t="shared" si="2"/>
        <v>9.8070073820314491E-2</v>
      </c>
      <c r="G7" s="12">
        <f t="shared" si="2"/>
        <v>1.2121020359814163E-2</v>
      </c>
      <c r="H7" s="9"/>
      <c r="I7" s="12">
        <f t="shared" si="3"/>
        <v>0.15933177428084716</v>
      </c>
      <c r="J7" s="12">
        <f t="shared" si="4"/>
        <v>3.5809649688232283E-2</v>
      </c>
      <c r="K7" s="12">
        <f t="shared" si="5"/>
        <v>4.4259117592197247E-3</v>
      </c>
      <c r="M7" s="2" t="s">
        <v>9</v>
      </c>
      <c r="N7" s="4">
        <f>Datos!G5</f>
        <v>6.6000000000000003E-2</v>
      </c>
    </row>
    <row r="8" spans="2:14" x14ac:dyDescent="0.25">
      <c r="B8" s="10">
        <v>4</v>
      </c>
      <c r="C8" s="11">
        <v>43895</v>
      </c>
      <c r="D8" s="12">
        <f t="shared" si="0"/>
        <v>192787.38859361934</v>
      </c>
      <c r="E8" s="12">
        <f t="shared" si="1"/>
        <v>1.457009851262334</v>
      </c>
      <c r="F8" s="12">
        <f t="shared" si="2"/>
        <v>0.13741291115593751</v>
      </c>
      <c r="G8" s="12">
        <f t="shared" si="2"/>
        <v>1.6983618232756337E-2</v>
      </c>
      <c r="H8" s="9"/>
      <c r="I8" s="12">
        <f t="shared" si="3"/>
        <v>0.175052230213944</v>
      </c>
      <c r="J8" s="12">
        <f t="shared" si="4"/>
        <v>3.9342837335623007E-2</v>
      </c>
      <c r="K8" s="12">
        <f t="shared" si="5"/>
        <v>4.862597872942174E-3</v>
      </c>
      <c r="M8" s="2" t="s">
        <v>10</v>
      </c>
      <c r="N8" s="5">
        <f>Datos!G6</f>
        <v>0.8899999999999999</v>
      </c>
    </row>
    <row r="9" spans="2:14" x14ac:dyDescent="0.25">
      <c r="B9" s="10">
        <v>5</v>
      </c>
      <c r="C9" s="11">
        <v>43896</v>
      </c>
      <c r="D9" s="12">
        <f t="shared" si="0"/>
        <v>192787.19626990956</v>
      </c>
      <c r="E9" s="12">
        <f t="shared" si="1"/>
        <v>1.6007665659989163</v>
      </c>
      <c r="F9" s="12">
        <f t="shared" si="2"/>
        <v>0.18063753674338676</v>
      </c>
      <c r="G9" s="12">
        <f t="shared" si="2"/>
        <v>2.2325987687384898E-2</v>
      </c>
      <c r="H9" s="9"/>
      <c r="I9" s="12">
        <f t="shared" si="3"/>
        <v>0.19232370977866034</v>
      </c>
      <c r="J9" s="12">
        <f t="shared" si="4"/>
        <v>4.3224625587449238E-2</v>
      </c>
      <c r="K9" s="12">
        <f t="shared" si="5"/>
        <v>5.3423694546285618E-3</v>
      </c>
      <c r="M9" s="2" t="s">
        <v>11</v>
      </c>
      <c r="N9" s="5">
        <f>Datos!G7</f>
        <v>0.1100000000000001</v>
      </c>
    </row>
    <row r="10" spans="2:14" x14ac:dyDescent="0.25">
      <c r="B10" s="10">
        <v>6</v>
      </c>
      <c r="C10" s="11">
        <v>43897</v>
      </c>
      <c r="D10" s="12">
        <f t="shared" si="0"/>
        <v>192786.98497067532</v>
      </c>
      <c r="E10" s="12">
        <f t="shared" si="1"/>
        <v>1.758706914717302</v>
      </c>
      <c r="F10" s="12">
        <f t="shared" si="2"/>
        <v>0.22812694486802126</v>
      </c>
      <c r="G10" s="12">
        <f t="shared" si="2"/>
        <v>2.8195465096047596E-2</v>
      </c>
      <c r="H10" s="9"/>
      <c r="I10" s="12">
        <f t="shared" si="3"/>
        <v>0.21129923425168284</v>
      </c>
      <c r="J10" s="12">
        <f t="shared" si="4"/>
        <v>4.7489408124634515E-2</v>
      </c>
      <c r="K10" s="12">
        <f t="shared" si="5"/>
        <v>5.869477408662698E-3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192786.75282375506</v>
      </c>
      <c r="E11" s="12">
        <f t="shared" si="1"/>
        <v>1.9322302711646044</v>
      </c>
      <c r="F11" s="12">
        <f t="shared" si="2"/>
        <v>0.28030191667130122</v>
      </c>
      <c r="G11" s="12">
        <f t="shared" si="2"/>
        <v>3.4644057116677708E-2</v>
      </c>
      <c r="H11" s="9"/>
      <c r="I11" s="12">
        <f t="shared" si="3"/>
        <v>0.2321469202712125</v>
      </c>
      <c r="J11" s="12">
        <f t="shared" si="4"/>
        <v>5.217497180327995E-2</v>
      </c>
      <c r="K11" s="12">
        <f t="shared" si="5"/>
        <v>6.4485920206301126E-3</v>
      </c>
      <c r="M11" s="2" t="s">
        <v>12</v>
      </c>
      <c r="N11" s="7">
        <f>SUM(I5:I204)+E4</f>
        <v>187926.3197614018</v>
      </c>
    </row>
    <row r="12" spans="2:14" x14ac:dyDescent="0.25">
      <c r="B12" s="10">
        <v>8</v>
      </c>
      <c r="C12" s="11">
        <v>43899</v>
      </c>
      <c r="D12" s="12">
        <f t="shared" si="0"/>
        <v>192786.49777228638</v>
      </c>
      <c r="E12" s="12">
        <f t="shared" si="1"/>
        <v>2.1228740641347952</v>
      </c>
      <c r="F12" s="12">
        <f t="shared" si="2"/>
        <v>0.33762474804918446</v>
      </c>
      <c r="G12" s="12">
        <f t="shared" si="2"/>
        <v>4.1728901444281263E-2</v>
      </c>
      <c r="H12" s="9"/>
      <c r="I12" s="12">
        <f t="shared" si="3"/>
        <v>0.25505146867567774</v>
      </c>
      <c r="J12" s="12">
        <f t="shared" si="4"/>
        <v>5.7322831377883264E-2</v>
      </c>
      <c r="K12" s="12">
        <f t="shared" si="5"/>
        <v>7.0848443276035561E-3</v>
      </c>
      <c r="M12" s="2" t="s">
        <v>13</v>
      </c>
      <c r="N12" s="7">
        <f>SUM(J5:J204)</f>
        <v>148686.15096252502</v>
      </c>
    </row>
    <row r="13" spans="2:14" x14ac:dyDescent="0.25">
      <c r="B13" s="10">
        <v>9</v>
      </c>
      <c r="C13" s="11">
        <v>43900</v>
      </c>
      <c r="D13" s="12">
        <f t="shared" si="0"/>
        <v>192786.21755648626</v>
      </c>
      <c r="E13" s="12">
        <f t="shared" si="1"/>
        <v>2.332327395453087</v>
      </c>
      <c r="F13" s="12">
        <f t="shared" si="2"/>
        <v>0.40060334528518338</v>
      </c>
      <c r="G13" s="12">
        <f t="shared" si="2"/>
        <v>4.951277301277552E-2</v>
      </c>
      <c r="H13" s="9"/>
      <c r="I13" s="12">
        <f t="shared" si="3"/>
        <v>0.28021580012278491</v>
      </c>
      <c r="J13" s="12">
        <f t="shared" si="4"/>
        <v>6.2978597235998912E-2</v>
      </c>
      <c r="K13" s="12">
        <f t="shared" si="5"/>
        <v>7.7838715684942555E-3</v>
      </c>
      <c r="M13" s="2" t="s">
        <v>14</v>
      </c>
      <c r="N13" s="7">
        <f>SUM(K5:K204)</f>
        <v>18376.940006604236</v>
      </c>
    </row>
    <row r="14" spans="2:14" x14ac:dyDescent="0.25">
      <c r="B14" s="10">
        <v>10</v>
      </c>
      <c r="C14" s="11">
        <v>43901</v>
      </c>
      <c r="D14" s="12">
        <f t="shared" si="0"/>
        <v>192785.90969363431</v>
      </c>
      <c r="E14" s="12">
        <f t="shared" si="1"/>
        <v>2.5624460008846688</v>
      </c>
      <c r="F14" s="12">
        <f t="shared" si="2"/>
        <v>0.46979572468362496</v>
      </c>
      <c r="G14" s="12">
        <f t="shared" si="2"/>
        <v>5.8064640129436851E-2</v>
      </c>
      <c r="H14" s="9"/>
      <c r="I14" s="12">
        <f t="shared" si="3"/>
        <v>0.30786285194668467</v>
      </c>
      <c r="J14" s="12">
        <f t="shared" si="4"/>
        <v>6.919237939844157E-2</v>
      </c>
      <c r="K14" s="12">
        <f t="shared" si="5"/>
        <v>8.5518671166613276E-3</v>
      </c>
      <c r="M14" s="2" t="s">
        <v>15</v>
      </c>
      <c r="N14" s="7">
        <f>SUM(D4:G4)-N11</f>
        <v>4862.680238598201</v>
      </c>
    </row>
    <row r="15" spans="2:14" x14ac:dyDescent="0.25">
      <c r="B15" s="10">
        <v>11</v>
      </c>
      <c r="C15" s="11">
        <v>43902</v>
      </c>
      <c r="D15" s="12">
        <f t="shared" si="0"/>
        <v>192785.57145608217</v>
      </c>
      <c r="E15" s="12">
        <f t="shared" si="1"/>
        <v>2.8152686863209584</v>
      </c>
      <c r="F15" s="12">
        <f t="shared" si="2"/>
        <v>0.54581495604320351</v>
      </c>
      <c r="G15" s="12">
        <f t="shared" si="2"/>
        <v>6.7460275466013978E-2</v>
      </c>
      <c r="H15" s="9"/>
      <c r="I15" s="12">
        <f t="shared" si="3"/>
        <v>0.33823755213244561</v>
      </c>
      <c r="J15" s="12">
        <f t="shared" si="4"/>
        <v>7.6019231359578499E-2</v>
      </c>
      <c r="K15" s="12">
        <f t="shared" si="5"/>
        <v>9.3956353365771284E-3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192785.19984709431</v>
      </c>
      <c r="E16" s="12">
        <f t="shared" si="1"/>
        <v>3.0930353846245646</v>
      </c>
      <c r="F16" s="12">
        <f t="shared" si="2"/>
        <v>0.62933459373739198</v>
      </c>
      <c r="G16" s="12">
        <f t="shared" si="2"/>
        <v>7.7782927315857495E-2</v>
      </c>
      <c r="H16" s="9"/>
      <c r="I16" s="12">
        <f t="shared" si="3"/>
        <v>0.37160898784763785</v>
      </c>
      <c r="J16" s="12">
        <f t="shared" si="4"/>
        <v>8.3519637694188423E-2</v>
      </c>
      <c r="K16" s="12">
        <f t="shared" si="5"/>
        <v>1.0322651849843522E-2</v>
      </c>
      <c r="M16" s="2" t="s">
        <v>16</v>
      </c>
      <c r="N16" s="7">
        <f>MAX(E4:E204)</f>
        <v>79680.489909244818</v>
      </c>
    </row>
    <row r="17" spans="2:14" x14ac:dyDescent="0.25">
      <c r="B17" s="10">
        <v>13</v>
      </c>
      <c r="C17" s="11">
        <v>43904</v>
      </c>
      <c r="D17" s="12">
        <f t="shared" si="0"/>
        <v>192784.79157430661</v>
      </c>
      <c r="E17" s="12">
        <f t="shared" si="1"/>
        <v>3.3982069928212213</v>
      </c>
      <c r="F17" s="12">
        <f t="shared" si="2"/>
        <v>0.72109464348125407</v>
      </c>
      <c r="G17" s="12">
        <f t="shared" si="2"/>
        <v>8.9124057059480913E-2</v>
      </c>
      <c r="H17" s="9"/>
      <c r="I17" s="12">
        <f t="shared" si="3"/>
        <v>0.40827278768414199</v>
      </c>
      <c r="J17" s="12">
        <f t="shared" si="4"/>
        <v>9.1760049743862065E-2</v>
      </c>
      <c r="K17" s="12">
        <f t="shared" si="5"/>
        <v>1.1341129743623415E-2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192784.34302056796</v>
      </c>
      <c r="E18" s="12">
        <f t="shared" si="1"/>
        <v>3.7334871650379839</v>
      </c>
      <c r="F18" s="12">
        <f t="shared" si="2"/>
        <v>0.82190811760161697</v>
      </c>
      <c r="G18" s="12">
        <f t="shared" si="2"/>
        <v>0.10158414936649207</v>
      </c>
      <c r="H18" s="9"/>
      <c r="I18" s="12">
        <f t="shared" si="3"/>
        <v>0.448553738644137</v>
      </c>
      <c r="J18" s="12">
        <f t="shared" si="4"/>
        <v>0.10081347412036289</v>
      </c>
      <c r="K18" s="12">
        <f t="shared" si="5"/>
        <v>1.2460092307011155E-2</v>
      </c>
      <c r="M18" s="2" t="s">
        <v>17</v>
      </c>
      <c r="N18" s="7">
        <f>MAX(I5:I204)</f>
        <v>4296.7761631053118</v>
      </c>
    </row>
    <row r="19" spans="2:14" x14ac:dyDescent="0.25">
      <c r="B19" s="10">
        <v>15</v>
      </c>
      <c r="C19" s="11">
        <v>43906</v>
      </c>
      <c r="D19" s="12">
        <f t="shared" si="0"/>
        <v>192783.850211907</v>
      </c>
      <c r="E19" s="12">
        <f t="shared" si="1"/>
        <v>4.1018462538388203</v>
      </c>
      <c r="F19" s="12">
        <f t="shared" si="2"/>
        <v>0.93266823683107714</v>
      </c>
      <c r="G19" s="12">
        <f t="shared" si="2"/>
        <v>0.1152736023049647</v>
      </c>
      <c r="H19" s="9"/>
      <c r="I19" s="12">
        <f t="shared" si="3"/>
        <v>0.4928086609687688</v>
      </c>
      <c r="J19" s="12">
        <f t="shared" si="4"/>
        <v>0.11076011922946019</v>
      </c>
      <c r="K19" s="12">
        <f t="shared" si="5"/>
        <v>1.368945293847262E-2</v>
      </c>
      <c r="M19" s="2" t="s">
        <v>18</v>
      </c>
      <c r="N19" s="7">
        <f>MAX(J5:J204)</f>
        <v>2363.8545339742627</v>
      </c>
    </row>
    <row r="20" spans="2:14" x14ac:dyDescent="0.25">
      <c r="B20" s="10">
        <v>16</v>
      </c>
      <c r="C20" s="11">
        <v>43907</v>
      </c>
      <c r="D20" s="12">
        <f t="shared" si="0"/>
        <v>192783.30878234084</v>
      </c>
      <c r="E20" s="12">
        <f t="shared" si="1"/>
        <v>4.5065476115515555</v>
      </c>
      <c r="F20" s="12">
        <f t="shared" si="2"/>
        <v>1.0543563423616287</v>
      </c>
      <c r="G20" s="12">
        <f t="shared" si="2"/>
        <v>0.13031370523570704</v>
      </c>
      <c r="H20" s="9"/>
      <c r="I20" s="12">
        <f t="shared" si="3"/>
        <v>0.54142956617402815</v>
      </c>
      <c r="J20" s="12">
        <f t="shared" si="4"/>
        <v>0.12168810553055165</v>
      </c>
      <c r="K20" s="12">
        <f t="shared" si="5"/>
        <v>1.5040102930742354E-2</v>
      </c>
      <c r="M20" s="2" t="s">
        <v>19</v>
      </c>
      <c r="N20" s="7">
        <f>MAX(K5:K204)</f>
        <v>292.16179633389788</v>
      </c>
    </row>
    <row r="21" spans="2:14" x14ac:dyDescent="0.25">
      <c r="B21" s="10">
        <v>17</v>
      </c>
      <c r="C21" s="11">
        <v>43908</v>
      </c>
      <c r="D21" s="12">
        <f t="shared" si="0"/>
        <v>192782.71393521471</v>
      </c>
      <c r="E21" s="12">
        <f t="shared" si="1"/>
        <v>4.951176483978446</v>
      </c>
      <c r="F21" s="12">
        <f t="shared" si="2"/>
        <v>1.1880505881709915</v>
      </c>
      <c r="G21" s="12">
        <f t="shared" si="2"/>
        <v>0.14683771314472943</v>
      </c>
      <c r="H21" s="9"/>
      <c r="I21" s="12">
        <f t="shared" si="3"/>
        <v>0.59484712614527557</v>
      </c>
      <c r="J21" s="12">
        <f t="shared" si="4"/>
        <v>0.13369424580936279</v>
      </c>
      <c r="K21" s="12">
        <f t="shared" si="5"/>
        <v>1.6524007909022385E-2</v>
      </c>
    </row>
    <row r="22" spans="2:14" x14ac:dyDescent="0.25">
      <c r="B22" s="10">
        <v>18</v>
      </c>
      <c r="C22" s="11">
        <v>43909</v>
      </c>
      <c r="D22" s="12">
        <f t="shared" si="0"/>
        <v>192782.06040073084</v>
      </c>
      <c r="E22" s="12">
        <f t="shared" si="1"/>
        <v>5.4396717517167028</v>
      </c>
      <c r="F22" s="12">
        <f t="shared" ref="F22:G37" si="6">F21+J22</f>
        <v>1.3349354905290187</v>
      </c>
      <c r="G22" s="12">
        <f t="shared" si="6"/>
        <v>0.16499202691931708</v>
      </c>
      <c r="H22" s="9"/>
      <c r="I22" s="12">
        <f t="shared" si="3"/>
        <v>0.65353448387087176</v>
      </c>
      <c r="J22" s="12">
        <f t="shared" si="4"/>
        <v>0.14688490235802723</v>
      </c>
      <c r="K22" s="12">
        <f t="shared" si="5"/>
        <v>1.8154313774587653E-2</v>
      </c>
    </row>
    <row r="23" spans="2:14" x14ac:dyDescent="0.25">
      <c r="B23" s="10">
        <v>19</v>
      </c>
      <c r="C23" s="11">
        <v>43910</v>
      </c>
      <c r="D23" s="12">
        <f t="shared" si="0"/>
        <v>192781.34238929144</v>
      </c>
      <c r="E23" s="12">
        <f t="shared" si="1"/>
        <v>5.976360799382558</v>
      </c>
      <c r="F23" s="12">
        <f t="shared" si="6"/>
        <v>1.4963124191632808</v>
      </c>
      <c r="G23" s="12">
        <f t="shared" si="6"/>
        <v>0.18493749000894499</v>
      </c>
      <c r="H23" s="9"/>
      <c r="I23" s="12">
        <f t="shared" si="3"/>
        <v>0.7180114393897461</v>
      </c>
      <c r="J23" s="12">
        <f t="shared" si="4"/>
        <v>0.16137692863426217</v>
      </c>
      <c r="K23" s="12">
        <f t="shared" si="5"/>
        <v>1.9945463089627927E-2</v>
      </c>
    </row>
    <row r="24" spans="2:14" x14ac:dyDescent="0.25">
      <c r="B24" s="10">
        <v>20</v>
      </c>
      <c r="C24" s="11">
        <v>43911</v>
      </c>
      <c r="D24" s="12">
        <f t="shared" si="0"/>
        <v>192780.55354024362</v>
      </c>
      <c r="E24" s="12">
        <f t="shared" si="1"/>
        <v>6.5659978205492662</v>
      </c>
      <c r="F24" s="12">
        <f t="shared" si="6"/>
        <v>1.6736111228782966</v>
      </c>
      <c r="G24" s="12">
        <f t="shared" si="6"/>
        <v>0.20685081294001439</v>
      </c>
      <c r="H24" s="9"/>
      <c r="I24" s="12">
        <f t="shared" si="3"/>
        <v>0.7888490478127923</v>
      </c>
      <c r="J24" s="12">
        <f t="shared" si="4"/>
        <v>0.17729870371501588</v>
      </c>
      <c r="K24" s="12">
        <f t="shared" si="5"/>
        <v>2.1913322931069398E-2</v>
      </c>
    </row>
    <row r="25" spans="2:14" x14ac:dyDescent="0.25">
      <c r="B25" s="10">
        <v>21</v>
      </c>
      <c r="C25" s="11">
        <v>43912</v>
      </c>
      <c r="D25" s="12">
        <f t="shared" si="0"/>
        <v>192779.68686557375</v>
      </c>
      <c r="E25" s="12">
        <f t="shared" si="1"/>
        <v>7.213805896412417</v>
      </c>
      <c r="F25" s="12">
        <f t="shared" si="6"/>
        <v>1.8684023915545915</v>
      </c>
      <c r="G25" s="12">
        <f t="shared" si="6"/>
        <v>0.2309261382820284</v>
      </c>
      <c r="H25" s="9"/>
      <c r="I25" s="12">
        <f t="shared" si="3"/>
        <v>0.8666746698814598</v>
      </c>
      <c r="J25" s="12">
        <f t="shared" si="4"/>
        <v>0.19479126867629487</v>
      </c>
      <c r="K25" s="12">
        <f t="shared" si="5"/>
        <v>2.4075325342013999E-2</v>
      </c>
    </row>
    <row r="26" spans="2:14" x14ac:dyDescent="0.25">
      <c r="B26" s="10">
        <v>22</v>
      </c>
      <c r="C26" s="11">
        <v>43913</v>
      </c>
      <c r="D26" s="12">
        <f t="shared" si="0"/>
        <v>192778.73468805428</v>
      </c>
      <c r="E26" s="12">
        <f t="shared" si="1"/>
        <v>7.9255232193443534</v>
      </c>
      <c r="F26" s="12">
        <f t="shared" si="6"/>
        <v>2.0824119664814931</v>
      </c>
      <c r="G26" s="12">
        <f t="shared" si="6"/>
        <v>0.25737675990220726</v>
      </c>
      <c r="H26" s="9"/>
      <c r="I26" s="12">
        <f t="shared" si="3"/>
        <v>0.95217751947901774</v>
      </c>
      <c r="J26" s="12">
        <f t="shared" si="4"/>
        <v>0.21400957492690167</v>
      </c>
      <c r="K26" s="12">
        <f t="shared" si="5"/>
        <v>2.6450621620178884E-2</v>
      </c>
    </row>
    <row r="27" spans="2:14" x14ac:dyDescent="0.25">
      <c r="B27" s="10">
        <v>23</v>
      </c>
      <c r="C27" s="11">
        <v>43914</v>
      </c>
      <c r="D27" s="12">
        <f t="shared" si="0"/>
        <v>192777.68857329743</v>
      </c>
      <c r="E27" s="12">
        <f t="shared" si="1"/>
        <v>8.7074538688765681</v>
      </c>
      <c r="F27" s="12">
        <f t="shared" si="6"/>
        <v>2.317535821988709</v>
      </c>
      <c r="G27" s="12">
        <f t="shared" si="6"/>
        <v>0.2864370117064699</v>
      </c>
      <c r="H27" s="9"/>
      <c r="I27" s="12">
        <f t="shared" si="3"/>
        <v>1.0461147568436915</v>
      </c>
      <c r="J27" s="12">
        <f t="shared" si="4"/>
        <v>0.23512385550721579</v>
      </c>
      <c r="K27" s="12">
        <f t="shared" si="5"/>
        <v>2.9060251804262655E-2</v>
      </c>
    </row>
    <row r="28" spans="2:14" x14ac:dyDescent="0.25">
      <c r="B28" s="10">
        <v>24</v>
      </c>
      <c r="C28" s="11">
        <v>43915</v>
      </c>
      <c r="D28" s="12">
        <f t="shared" si="0"/>
        <v>192776.53925511646</v>
      </c>
      <c r="E28" s="12">
        <f t="shared" si="1"/>
        <v>9.5665235875648147</v>
      </c>
      <c r="F28" s="12">
        <f t="shared" si="6"/>
        <v>2.575856953432047</v>
      </c>
      <c r="G28" s="12">
        <f t="shared" si="6"/>
        <v>0.31836434255901735</v>
      </c>
      <c r="H28" s="9"/>
      <c r="I28" s="12">
        <f t="shared" si="3"/>
        <v>1.1493181809841322</v>
      </c>
      <c r="J28" s="12">
        <f t="shared" si="4"/>
        <v>0.25832113144333818</v>
      </c>
      <c r="K28" s="12">
        <f t="shared" si="5"/>
        <v>3.1927330852547446E-2</v>
      </c>
    </row>
    <row r="29" spans="2:14" x14ac:dyDescent="0.25">
      <c r="B29" s="10">
        <v>25</v>
      </c>
      <c r="C29" s="11">
        <v>43916</v>
      </c>
      <c r="D29" s="12">
        <f t="shared" si="0"/>
        <v>192775.27655353645</v>
      </c>
      <c r="E29" s="12">
        <f t="shared" si="1"/>
        <v>10.510341047984916</v>
      </c>
      <c r="F29" s="12">
        <f t="shared" si="6"/>
        <v>2.8596638198631363</v>
      </c>
      <c r="G29" s="12">
        <f t="shared" si="6"/>
        <v>0.35344159571342171</v>
      </c>
      <c r="H29" s="9"/>
      <c r="I29" s="12">
        <f t="shared" si="3"/>
        <v>1.2627015800055963</v>
      </c>
      <c r="J29" s="12">
        <f t="shared" si="4"/>
        <v>0.28380686643108949</v>
      </c>
      <c r="K29" s="12">
        <f t="shared" si="5"/>
        <v>3.5077253154404353E-2</v>
      </c>
    </row>
    <row r="30" spans="2:14" x14ac:dyDescent="0.25">
      <c r="B30" s="10">
        <v>26</v>
      </c>
      <c r="C30" s="11">
        <v>43917</v>
      </c>
      <c r="D30" s="12">
        <f t="shared" si="0"/>
        <v>192773.88928473269</v>
      </c>
      <c r="E30" s="12">
        <f t="shared" si="1"/>
        <v>11.547265150147773</v>
      </c>
      <c r="F30" s="12">
        <f t="shared" si="6"/>
        <v>3.1714706042866889</v>
      </c>
      <c r="G30" s="12">
        <f t="shared" si="6"/>
        <v>0.39197951288936644</v>
      </c>
      <c r="H30" s="9"/>
      <c r="I30" s="12">
        <f t="shared" si="3"/>
        <v>1.3872688037623537</v>
      </c>
      <c r="J30" s="12">
        <f t="shared" si="4"/>
        <v>0.31180678442355247</v>
      </c>
      <c r="K30" s="12">
        <f t="shared" si="5"/>
        <v>3.8537917175944722E-2</v>
      </c>
    </row>
    <row r="31" spans="2:14" x14ac:dyDescent="0.25">
      <c r="B31" s="10">
        <v>27</v>
      </c>
      <c r="C31" s="11">
        <v>43918</v>
      </c>
      <c r="D31" s="12">
        <f t="shared" si="0"/>
        <v>192772.36516210317</v>
      </c>
      <c r="E31" s="12">
        <f t="shared" si="1"/>
        <v>12.686478941313911</v>
      </c>
      <c r="F31" s="12">
        <f t="shared" si="6"/>
        <v>3.5140394704077393</v>
      </c>
      <c r="G31" s="12">
        <f t="shared" si="6"/>
        <v>0.43431948510657498</v>
      </c>
      <c r="H31" s="9"/>
      <c r="I31" s="12">
        <f t="shared" si="3"/>
        <v>1.5241226295043964</v>
      </c>
      <c r="J31" s="12">
        <f t="shared" si="4"/>
        <v>0.34256886612105053</v>
      </c>
      <c r="K31" s="12">
        <f t="shared" si="5"/>
        <v>4.2339972217208539E-2</v>
      </c>
    </row>
    <row r="32" spans="2:14" x14ac:dyDescent="0.25">
      <c r="B32" s="10">
        <v>28</v>
      </c>
      <c r="C32" s="11">
        <v>43919</v>
      </c>
      <c r="D32" s="12">
        <f t="shared" si="0"/>
        <v>192770.69068760515</v>
      </c>
      <c r="E32" s="12">
        <f t="shared" si="1"/>
        <v>13.938070807971489</v>
      </c>
      <c r="F32" s="12">
        <f t="shared" si="6"/>
        <v>3.8904050123333853</v>
      </c>
      <c r="G32" s="12">
        <f t="shared" si="6"/>
        <v>0.48083657455805934</v>
      </c>
      <c r="H32" s="9"/>
      <c r="I32" s="12">
        <f t="shared" si="3"/>
        <v>1.6744744980347066</v>
      </c>
      <c r="J32" s="12">
        <f t="shared" si="4"/>
        <v>0.37636554192564603</v>
      </c>
      <c r="K32" s="12">
        <f t="shared" si="5"/>
        <v>4.6517089451484382E-2</v>
      </c>
    </row>
    <row r="33" spans="2:11" x14ac:dyDescent="0.25">
      <c r="B33" s="10">
        <v>29</v>
      </c>
      <c r="C33" s="11">
        <v>43920</v>
      </c>
      <c r="D33" s="12">
        <f t="shared" si="0"/>
        <v>192768.85103239975</v>
      </c>
      <c r="E33" s="12">
        <f t="shared" si="1"/>
        <v>15.31312365309727</v>
      </c>
      <c r="F33" s="12">
        <f t="shared" si="6"/>
        <v>4.3039011129698723</v>
      </c>
      <c r="G33" s="12">
        <f t="shared" si="6"/>
        <v>0.53194283418728816</v>
      </c>
      <c r="H33" s="9"/>
      <c r="I33" s="12">
        <f t="shared" si="3"/>
        <v>1.8396552053914981</v>
      </c>
      <c r="J33" s="12">
        <f t="shared" si="4"/>
        <v>0.4134961006364874</v>
      </c>
      <c r="K33" s="12">
        <f t="shared" si="5"/>
        <v>5.1106259629228837E-2</v>
      </c>
    </row>
    <row r="34" spans="2:11" x14ac:dyDescent="0.25">
      <c r="B34" s="10">
        <v>30</v>
      </c>
      <c r="C34" s="13">
        <v>43921</v>
      </c>
      <c r="D34" s="12">
        <f t="shared" si="0"/>
        <v>192766.82990575646</v>
      </c>
      <c r="E34" s="12">
        <f t="shared" si="1"/>
        <v>16.823812841270801</v>
      </c>
      <c r="F34" s="12">
        <f t="shared" si="6"/>
        <v>4.7581904480117583</v>
      </c>
      <c r="G34" s="12">
        <f t="shared" si="6"/>
        <v>0.58809095424864488</v>
      </c>
      <c r="H34" s="9"/>
      <c r="I34" s="12">
        <f t="shared" si="3"/>
        <v>2.0211266432767707</v>
      </c>
      <c r="J34" s="12">
        <f t="shared" si="4"/>
        <v>0.45428933504188562</v>
      </c>
      <c r="K34" s="12">
        <f t="shared" si="5"/>
        <v>5.6148120061356707E-2</v>
      </c>
    </row>
    <row r="35" spans="2:11" x14ac:dyDescent="0.25">
      <c r="B35" s="10">
        <v>31</v>
      </c>
      <c r="C35" s="11">
        <v>43922</v>
      </c>
      <c r="D35" s="12">
        <f t="shared" si="0"/>
        <v>192764.60941106602</v>
      </c>
      <c r="E35" s="12">
        <f t="shared" si="1"/>
        <v>18.483513770326923</v>
      </c>
      <c r="F35" s="12">
        <f t="shared" si="6"/>
        <v>5.2572968956361255</v>
      </c>
      <c r="G35" s="12">
        <f t="shared" si="6"/>
        <v>0.64977826799997118</v>
      </c>
      <c r="H35" s="9"/>
      <c r="I35" s="12">
        <f t="shared" si="3"/>
        <v>2.2204946904318161</v>
      </c>
      <c r="J35" s="12">
        <f t="shared" si="4"/>
        <v>0.49910644762436707</v>
      </c>
      <c r="K35" s="12">
        <f t="shared" si="5"/>
        <v>6.1687313751326321E-2</v>
      </c>
    </row>
    <row r="36" spans="2:11" x14ac:dyDescent="0.25">
      <c r="B36" s="10">
        <v>32</v>
      </c>
      <c r="C36" s="11">
        <v>43923</v>
      </c>
      <c r="D36" s="12">
        <f t="shared" si="0"/>
        <v>192762.16988769904</v>
      </c>
      <c r="E36" s="12">
        <f t="shared" si="1"/>
        <v>20.306920011629721</v>
      </c>
      <c r="F36" s="12">
        <f t="shared" si="6"/>
        <v>5.8056411374891574</v>
      </c>
      <c r="G36" s="12">
        <f t="shared" si="6"/>
        <v>0.71755115182450324</v>
      </c>
      <c r="H36" s="9"/>
      <c r="I36" s="12">
        <f t="shared" si="3"/>
        <v>2.4395233669803638</v>
      </c>
      <c r="J36" s="12">
        <f t="shared" si="4"/>
        <v>0.54834424185303199</v>
      </c>
      <c r="K36" s="12">
        <f t="shared" si="5"/>
        <v>6.7772883824532115E-2</v>
      </c>
    </row>
    <row r="37" spans="2:11" x14ac:dyDescent="0.25">
      <c r="B37" s="10">
        <v>33</v>
      </c>
      <c r="C37" s="11">
        <v>43924</v>
      </c>
      <c r="D37" s="12">
        <f t="shared" si="0"/>
        <v>192759.48973732453</v>
      </c>
      <c r="E37" s="12">
        <f t="shared" si="1"/>
        <v>22.310173052403346</v>
      </c>
      <c r="F37" s="12">
        <f t="shared" si="6"/>
        <v>6.4080797645008394</v>
      </c>
      <c r="G37" s="12">
        <f t="shared" si="6"/>
        <v>0.79200985853381223</v>
      </c>
      <c r="H37" s="9"/>
      <c r="I37" s="12">
        <f t="shared" si="3"/>
        <v>2.680150374494616</v>
      </c>
      <c r="J37" s="12">
        <f t="shared" si="4"/>
        <v>0.6024386270116816</v>
      </c>
      <c r="K37" s="12">
        <f t="shared" si="5"/>
        <v>7.4458706709309042E-2</v>
      </c>
    </row>
    <row r="38" spans="2:11" x14ac:dyDescent="0.25">
      <c r="B38" s="10">
        <v>34</v>
      </c>
      <c r="C38" s="11">
        <v>43925</v>
      </c>
      <c r="D38" s="12">
        <f t="shared" si="0"/>
        <v>192756.54523316826</v>
      </c>
      <c r="E38" s="12">
        <f t="shared" si="1"/>
        <v>24.511004773590624</v>
      </c>
      <c r="F38" s="12">
        <f t="shared" ref="F38:G53" si="7">F37+J38</f>
        <v>7.0699482317221385</v>
      </c>
      <c r="G38" s="12">
        <f t="shared" si="7"/>
        <v>0.8738138263926245</v>
      </c>
      <c r="H38" s="9"/>
      <c r="I38" s="12">
        <f t="shared" si="3"/>
        <v>2.9445041562673895</v>
      </c>
      <c r="J38" s="12">
        <f t="shared" si="4"/>
        <v>0.66186846722129922</v>
      </c>
      <c r="K38" s="12">
        <f t="shared" si="5"/>
        <v>8.1803967858812332E-2</v>
      </c>
    </row>
    <row r="39" spans="2:11" x14ac:dyDescent="0.25">
      <c r="B39" s="10">
        <v>35</v>
      </c>
      <c r="C39" s="11">
        <v>43926</v>
      </c>
      <c r="D39" s="12">
        <f t="shared" si="0"/>
        <v>192753.31031054319</v>
      </c>
      <c r="E39" s="12">
        <f t="shared" si="1"/>
        <v>26.928893906217105</v>
      </c>
      <c r="F39" s="12">
        <f t="shared" si="7"/>
        <v>7.7971080400053268</v>
      </c>
      <c r="G39" s="12">
        <f t="shared" si="7"/>
        <v>0.96368751056245694</v>
      </c>
      <c r="H39" s="9"/>
      <c r="I39" s="12">
        <f t="shared" si="3"/>
        <v>3.2349226250795038</v>
      </c>
      <c r="J39" s="12">
        <f t="shared" si="4"/>
        <v>0.72715980828318838</v>
      </c>
      <c r="K39" s="12">
        <f t="shared" si="5"/>
        <v>8.987368416983238E-2</v>
      </c>
    </row>
    <row r="40" spans="2:11" x14ac:dyDescent="0.25">
      <c r="B40" s="10">
        <v>36</v>
      </c>
      <c r="C40" s="11">
        <v>43927</v>
      </c>
      <c r="D40" s="12">
        <f t="shared" si="0"/>
        <v>192749.75633682346</v>
      </c>
      <c r="E40" s="12">
        <f t="shared" si="1"/>
        <v>29.585237829068678</v>
      </c>
      <c r="F40" s="12">
        <f t="shared" si="7"/>
        <v>8.5959985592231014</v>
      </c>
      <c r="G40" s="12">
        <f t="shared" si="7"/>
        <v>1.0624267882185865</v>
      </c>
      <c r="H40" s="9"/>
      <c r="I40" s="12">
        <f t="shared" si="3"/>
        <v>3.5539737197254775</v>
      </c>
      <c r="J40" s="12">
        <f t="shared" si="4"/>
        <v>0.7988905192177741</v>
      </c>
      <c r="K40" s="12">
        <f t="shared" si="5"/>
        <v>9.8739277656129484E-2</v>
      </c>
    </row>
    <row r="41" spans="2:11" x14ac:dyDescent="0.25">
      <c r="B41" s="10">
        <v>37</v>
      </c>
      <c r="C41" s="11">
        <v>43928</v>
      </c>
      <c r="D41" s="12">
        <f t="shared" si="0"/>
        <v>192745.85185885665</v>
      </c>
      <c r="E41" s="12">
        <f t="shared" si="1"/>
        <v>32.503541201564403</v>
      </c>
      <c r="F41" s="12">
        <f t="shared" si="7"/>
        <v>9.4736939481521389</v>
      </c>
      <c r="G41" s="12">
        <f t="shared" si="7"/>
        <v>1.1709059935918384</v>
      </c>
      <c r="H41" s="9"/>
      <c r="I41" s="12">
        <f t="shared" si="3"/>
        <v>3.9044779667980056</v>
      </c>
      <c r="J41" s="12">
        <f t="shared" si="4"/>
        <v>0.87769538892903731</v>
      </c>
      <c r="K41" s="12">
        <f t="shared" si="5"/>
        <v>0.10847920537325192</v>
      </c>
    </row>
    <row r="42" spans="2:11" x14ac:dyDescent="0.25">
      <c r="B42" s="10">
        <v>38</v>
      </c>
      <c r="C42" s="11">
        <v>43929</v>
      </c>
      <c r="D42" s="12">
        <f t="shared" si="0"/>
        <v>192741.56232561581</v>
      </c>
      <c r="E42" s="12">
        <f t="shared" si="1"/>
        <v>35.709623069012572</v>
      </c>
      <c r="F42" s="12">
        <f t="shared" si="7"/>
        <v>10.437965670465216</v>
      </c>
      <c r="G42" s="12">
        <f t="shared" si="7"/>
        <v>1.2900856446642415</v>
      </c>
      <c r="H42" s="9"/>
      <c r="I42" s="12">
        <f t="shared" si="3"/>
        <v>4.2895332408336495</v>
      </c>
      <c r="J42" s="12">
        <f t="shared" si="4"/>
        <v>0.96427172231307712</v>
      </c>
      <c r="K42" s="12">
        <f t="shared" si="5"/>
        <v>0.11917965107240293</v>
      </c>
    </row>
    <row r="43" spans="2:11" x14ac:dyDescent="0.25">
      <c r="B43" s="10">
        <v>39</v>
      </c>
      <c r="C43" s="11">
        <v>43930</v>
      </c>
      <c r="D43" s="12">
        <f t="shared" si="0"/>
        <v>192736.84978368183</v>
      </c>
      <c r="E43" s="12">
        <f t="shared" si="1"/>
        <v>39.231844234040182</v>
      </c>
      <c r="F43" s="12">
        <f t="shared" si="7"/>
        <v>11.497351154845923</v>
      </c>
      <c r="G43" s="12">
        <f t="shared" si="7"/>
        <v>1.4210209292506211</v>
      </c>
      <c r="H43" s="9"/>
      <c r="I43" s="12">
        <f t="shared" si="3"/>
        <v>4.7125419339946966</v>
      </c>
      <c r="J43" s="12">
        <f t="shared" si="4"/>
        <v>1.0593854843807062</v>
      </c>
      <c r="K43" s="12">
        <f t="shared" si="5"/>
        <v>0.13093528458637954</v>
      </c>
    </row>
    <row r="44" spans="2:11" x14ac:dyDescent="0.25">
      <c r="B44" s="10">
        <v>40</v>
      </c>
      <c r="C44" s="11">
        <v>43931</v>
      </c>
      <c r="D44" s="12">
        <f t="shared" si="0"/>
        <v>192731.67254291571</v>
      </c>
      <c r="E44" s="12">
        <f t="shared" si="1"/>
        <v>43.101356859021429</v>
      </c>
      <c r="F44" s="12">
        <f t="shared" si="7"/>
        <v>12.661229200455782</v>
      </c>
      <c r="G44" s="12">
        <f t="shared" si="7"/>
        <v>1.5648710247754352</v>
      </c>
      <c r="H44" s="9"/>
      <c r="I44" s="12">
        <f t="shared" si="3"/>
        <v>5.1772407661159168</v>
      </c>
      <c r="J44" s="12">
        <f t="shared" si="4"/>
        <v>1.1638780456098587</v>
      </c>
      <c r="K44" s="12">
        <f t="shared" si="5"/>
        <v>0.14385009552481415</v>
      </c>
    </row>
    <row r="45" spans="2:11" x14ac:dyDescent="0.25">
      <c r="B45" s="10">
        <v>41</v>
      </c>
      <c r="C45" s="11">
        <v>43932</v>
      </c>
      <c r="D45" s="12">
        <f t="shared" si="0"/>
        <v>192725.98480942842</v>
      </c>
      <c r="E45" s="12">
        <f t="shared" si="1"/>
        <v>47.352378451015234</v>
      </c>
      <c r="F45" s="12">
        <f t="shared" si="7"/>
        <v>13.939902787273418</v>
      </c>
      <c r="G45" s="12">
        <f t="shared" si="7"/>
        <v>1.7229093332585139</v>
      </c>
      <c r="H45" s="9"/>
      <c r="I45" s="12">
        <f t="shared" si="3"/>
        <v>5.6877334872945191</v>
      </c>
      <c r="J45" s="12">
        <f t="shared" si="4"/>
        <v>1.2786735868176355</v>
      </c>
      <c r="K45" s="12">
        <f t="shared" si="5"/>
        <v>0.1580383084830787</v>
      </c>
    </row>
    <row r="46" spans="2:11" x14ac:dyDescent="0.25">
      <c r="B46" s="10">
        <v>42</v>
      </c>
      <c r="C46" s="11">
        <v>43933</v>
      </c>
      <c r="D46" s="12">
        <f t="shared" si="0"/>
        <v>192719.73628268007</v>
      </c>
      <c r="E46" s="12">
        <f t="shared" si="1"/>
        <v>52.022492584345784</v>
      </c>
      <c r="F46" s="12">
        <f t="shared" si="7"/>
        <v>15.344690014653537</v>
      </c>
      <c r="G46" s="12">
        <f t="shared" si="7"/>
        <v>1.8965347209122365</v>
      </c>
      <c r="H46" s="9"/>
      <c r="I46" s="12">
        <f t="shared" si="3"/>
        <v>6.24852674836439</v>
      </c>
      <c r="J46" s="12">
        <f t="shared" si="4"/>
        <v>1.4047872273801185</v>
      </c>
      <c r="K46" s="12">
        <f t="shared" si="5"/>
        <v>0.17362538765372268</v>
      </c>
    </row>
    <row r="47" spans="2:11" x14ac:dyDescent="0.25">
      <c r="B47" s="10">
        <v>43</v>
      </c>
      <c r="C47" s="11">
        <v>43934</v>
      </c>
      <c r="D47" s="12">
        <f t="shared" si="0"/>
        <v>192712.87171324037</v>
      </c>
      <c r="E47" s="12">
        <f t="shared" si="1"/>
        <v>57.152978937891447</v>
      </c>
      <c r="F47" s="12">
        <f t="shared" si="7"/>
        <v>16.88802396132246</v>
      </c>
      <c r="G47" s="12">
        <f t="shared" si="7"/>
        <v>2.0872838603881712</v>
      </c>
      <c r="H47" s="9"/>
      <c r="I47" s="12">
        <f t="shared" si="3"/>
        <v>6.8645694396905226</v>
      </c>
      <c r="J47" s="12">
        <f t="shared" si="4"/>
        <v>1.5433339466689246</v>
      </c>
      <c r="K47" s="12">
        <f t="shared" si="5"/>
        <v>0.19074913947593469</v>
      </c>
    </row>
    <row r="48" spans="2:11" x14ac:dyDescent="0.25">
      <c r="B48" s="10">
        <v>44</v>
      </c>
      <c r="C48" s="11">
        <v>43935</v>
      </c>
      <c r="D48" s="12">
        <f t="shared" si="0"/>
        <v>192705.33041741452</v>
      </c>
      <c r="E48" s="12">
        <f t="shared" si="1"/>
        <v>62.789175465826283</v>
      </c>
      <c r="F48" s="12">
        <f t="shared" si="7"/>
        <v>18.583562336479908</v>
      </c>
      <c r="G48" s="12">
        <f t="shared" si="7"/>
        <v>2.2968447831604402</v>
      </c>
      <c r="H48" s="9"/>
      <c r="I48" s="12">
        <f t="shared" si="3"/>
        <v>7.5412958258645517</v>
      </c>
      <c r="J48" s="12">
        <f t="shared" si="4"/>
        <v>1.6955383751574462</v>
      </c>
      <c r="K48" s="12">
        <f t="shared" si="5"/>
        <v>0.20956092277226884</v>
      </c>
    </row>
    <row r="49" spans="2:11" x14ac:dyDescent="0.25">
      <c r="B49" s="10">
        <v>45</v>
      </c>
      <c r="C49" s="11">
        <v>43936</v>
      </c>
      <c r="D49" s="12">
        <f t="shared" si="0"/>
        <v>192697.04574458132</v>
      </c>
      <c r="E49" s="12">
        <f t="shared" si="1"/>
        <v>68.980875783491584</v>
      </c>
      <c r="F49" s="12">
        <f t="shared" si="7"/>
        <v>20.446307875299421</v>
      </c>
      <c r="G49" s="12">
        <f t="shared" si="7"/>
        <v>2.5270717598684702</v>
      </c>
      <c r="H49" s="9"/>
      <c r="I49" s="12">
        <f t="shared" si="3"/>
        <v>8.2846728331928414</v>
      </c>
      <c r="J49" s="12">
        <f t="shared" si="4"/>
        <v>1.8627455388195129</v>
      </c>
      <c r="K49" s="12">
        <f t="shared" si="5"/>
        <v>0.23022697670802991</v>
      </c>
    </row>
    <row r="50" spans="2:11" x14ac:dyDescent="0.25">
      <c r="B50" s="10">
        <v>46</v>
      </c>
      <c r="C50" s="11">
        <v>43937</v>
      </c>
      <c r="D50" s="12">
        <f t="shared" si="0"/>
        <v>192687.94449270287</v>
      </c>
      <c r="E50" s="12">
        <f t="shared" si="1"/>
        <v>75.782765135828669</v>
      </c>
      <c r="F50" s="12">
        <f t="shared" si="7"/>
        <v>22.492740523543006</v>
      </c>
      <c r="G50" s="12">
        <f t="shared" si="7"/>
        <v>2.7800016377412731</v>
      </c>
      <c r="H50" s="9"/>
      <c r="I50" s="12">
        <f t="shared" si="3"/>
        <v>9.1012518784534713</v>
      </c>
      <c r="J50" s="12">
        <f t="shared" si="4"/>
        <v>2.0464326482435835</v>
      </c>
      <c r="K50" s="12">
        <f t="shared" si="5"/>
        <v>0.25292987787280269</v>
      </c>
    </row>
    <row r="51" spans="2:11" x14ac:dyDescent="0.25">
      <c r="B51" s="10">
        <v>47</v>
      </c>
      <c r="C51" s="11">
        <v>43938</v>
      </c>
      <c r="D51" s="12">
        <f t="shared" si="0"/>
        <v>192677.94626704152</v>
      </c>
      <c r="E51" s="12">
        <f t="shared" si="1"/>
        <v>83.254898625990563</v>
      </c>
      <c r="F51" s="12">
        <f t="shared" si="7"/>
        <v>24.740962555905924</v>
      </c>
      <c r="G51" s="12">
        <f t="shared" si="7"/>
        <v>3.0578717765726453</v>
      </c>
      <c r="H51" s="9"/>
      <c r="I51" s="12">
        <f t="shared" si="3"/>
        <v>9.9982256613561855</v>
      </c>
      <c r="J51" s="12">
        <f t="shared" si="4"/>
        <v>2.248222032362917</v>
      </c>
      <c r="K51" s="12">
        <f t="shared" si="5"/>
        <v>0.27787013883137207</v>
      </c>
    </row>
    <row r="52" spans="2:11" x14ac:dyDescent="0.25">
      <c r="B52" s="10">
        <v>48</v>
      </c>
      <c r="C52" s="11">
        <v>43939</v>
      </c>
      <c r="D52" s="12">
        <f t="shared" si="0"/>
        <v>192666.96277666197</v>
      </c>
      <c r="E52" s="12">
        <f t="shared" si="1"/>
        <v>91.463225718010065</v>
      </c>
      <c r="F52" s="12">
        <f t="shared" si="7"/>
        <v>27.210857881810309</v>
      </c>
      <c r="G52" s="12">
        <f t="shared" si="7"/>
        <v>3.3631397382012778</v>
      </c>
      <c r="H52" s="9"/>
      <c r="I52" s="12">
        <f t="shared" si="3"/>
        <v>10.983490379552522</v>
      </c>
      <c r="J52" s="12">
        <f t="shared" si="4"/>
        <v>2.4698953259043868</v>
      </c>
      <c r="K52" s="12">
        <f t="shared" si="5"/>
        <v>0.30526796162863234</v>
      </c>
    </row>
    <row r="53" spans="2:11" x14ac:dyDescent="0.25">
      <c r="B53" s="10">
        <v>49</v>
      </c>
      <c r="C53" s="11">
        <v>43940</v>
      </c>
      <c r="D53" s="12">
        <f t="shared" si="0"/>
        <v>192654.897062798</v>
      </c>
      <c r="E53" s="12">
        <f t="shared" si="1"/>
        <v>100.48016539138197</v>
      </c>
      <c r="F53" s="12">
        <f t="shared" si="7"/>
        <v>29.924266911444608</v>
      </c>
      <c r="G53" s="12">
        <f t="shared" si="7"/>
        <v>3.6985048991673151</v>
      </c>
      <c r="H53" s="9"/>
      <c r="I53" s="12">
        <f t="shared" si="3"/>
        <v>12.065713863972229</v>
      </c>
      <c r="J53" s="12">
        <f t="shared" si="4"/>
        <v>2.7134090296342985</v>
      </c>
      <c r="K53" s="12">
        <f t="shared" si="5"/>
        <v>0.33536516096603719</v>
      </c>
    </row>
    <row r="54" spans="2:11" x14ac:dyDescent="0.25">
      <c r="B54" s="10">
        <v>50</v>
      </c>
      <c r="C54" s="11">
        <v>43941</v>
      </c>
      <c r="D54" s="12">
        <f t="shared" si="0"/>
        <v>192641.64265262426</v>
      </c>
      <c r="E54" s="12">
        <f t="shared" si="1"/>
        <v>110.38523671873901</v>
      </c>
      <c r="F54" s="12">
        <f t="shared" ref="F54:G69" si="8">F53+J54</f>
        <v>32.905178484722271</v>
      </c>
      <c r="G54" s="12">
        <f t="shared" si="8"/>
        <v>4.0669321722690492</v>
      </c>
      <c r="H54" s="9"/>
      <c r="I54" s="12">
        <f t="shared" si="3"/>
        <v>13.254410173736428</v>
      </c>
      <c r="J54" s="12">
        <f t="shared" si="4"/>
        <v>2.9809115732776648</v>
      </c>
      <c r="K54" s="12">
        <f t="shared" si="5"/>
        <v>0.36842727310173423</v>
      </c>
    </row>
    <row r="55" spans="2:11" x14ac:dyDescent="0.25">
      <c r="B55" s="10">
        <v>51</v>
      </c>
      <c r="C55" s="11">
        <v>43942</v>
      </c>
      <c r="D55" s="12">
        <f t="shared" si="0"/>
        <v>192627.08263139034</v>
      </c>
      <c r="E55" s="12">
        <f t="shared" si="1"/>
        <v>121.26575006202059</v>
      </c>
      <c r="F55" s="12">
        <f t="shared" si="8"/>
        <v>36.179940507378191</v>
      </c>
      <c r="G55" s="12">
        <f t="shared" si="8"/>
        <v>4.4716780402377596</v>
      </c>
      <c r="H55" s="9"/>
      <c r="I55" s="12">
        <f t="shared" si="3"/>
        <v>14.560021233906209</v>
      </c>
      <c r="J55" s="12">
        <f t="shared" si="4"/>
        <v>3.2747620226559233</v>
      </c>
      <c r="K55" s="12">
        <f t="shared" si="5"/>
        <v>0.40474586796871009</v>
      </c>
    </row>
    <row r="56" spans="2:11" x14ac:dyDescent="0.25">
      <c r="B56" s="10">
        <v>52</v>
      </c>
      <c r="C56" s="11">
        <v>43943</v>
      </c>
      <c r="D56" s="12">
        <f t="shared" si="0"/>
        <v>192611.08862524453</v>
      </c>
      <c r="E56" s="12">
        <f t="shared" si="1"/>
        <v>133.21756453908966</v>
      </c>
      <c r="F56" s="12">
        <f t="shared" si="8"/>
        <v>39.777491092551472</v>
      </c>
      <c r="G56" s="12">
        <f t="shared" si="8"/>
        <v>4.9163191237985018</v>
      </c>
      <c r="H56" s="9"/>
      <c r="I56" s="12">
        <f t="shared" si="3"/>
        <v>15.994006145803105</v>
      </c>
      <c r="J56" s="12">
        <f t="shared" si="4"/>
        <v>3.5975505851732774</v>
      </c>
      <c r="K56" s="12">
        <f t="shared" si="5"/>
        <v>0.4446410835607425</v>
      </c>
    </row>
    <row r="57" spans="2:11" x14ac:dyDescent="0.25">
      <c r="B57" s="10">
        <v>53</v>
      </c>
      <c r="C57" s="11">
        <v>43944</v>
      </c>
      <c r="D57" s="12">
        <f t="shared" si="0"/>
        <v>192593.51968639609</v>
      </c>
      <c r="E57" s="12">
        <f t="shared" si="1"/>
        <v>146.34591790290381</v>
      </c>
      <c r="F57" s="12">
        <f t="shared" si="8"/>
        <v>43.729612173877797</v>
      </c>
      <c r="G57" s="12">
        <f t="shared" si="8"/>
        <v>5.4047835271084974</v>
      </c>
      <c r="H57" s="9"/>
      <c r="I57" s="12">
        <f t="shared" si="3"/>
        <v>17.568938848450482</v>
      </c>
      <c r="J57" s="12">
        <f t="shared" si="4"/>
        <v>3.9521210813263261</v>
      </c>
      <c r="K57" s="12">
        <f t="shared" si="5"/>
        <v>0.48846440330999585</v>
      </c>
    </row>
    <row r="58" spans="2:11" x14ac:dyDescent="0.25">
      <c r="B58" s="10">
        <v>54</v>
      </c>
      <c r="C58" s="11">
        <v>43945</v>
      </c>
      <c r="D58" s="12">
        <f t="shared" si="0"/>
        <v>192574.22107153549</v>
      </c>
      <c r="E58" s="12">
        <f t="shared" si="1"/>
        <v>160.76633550008486</v>
      </c>
      <c r="F58" s="12">
        <f t="shared" si="8"/>
        <v>48.071207738330607</v>
      </c>
      <c r="G58" s="12">
        <f t="shared" si="8"/>
        <v>5.9413852260858118</v>
      </c>
      <c r="H58" s="9"/>
      <c r="I58" s="12">
        <f t="shared" si="3"/>
        <v>19.298614860611174</v>
      </c>
      <c r="J58" s="12">
        <f t="shared" si="4"/>
        <v>4.3415955644528124</v>
      </c>
      <c r="K58" s="12">
        <f t="shared" si="5"/>
        <v>0.53660169897731447</v>
      </c>
    </row>
    <row r="59" spans="2:11" x14ac:dyDescent="0.25">
      <c r="B59" s="10">
        <v>55</v>
      </c>
      <c r="C59" s="11">
        <v>43946</v>
      </c>
      <c r="D59" s="12">
        <f t="shared" si="0"/>
        <v>192553.02290364989</v>
      </c>
      <c r="E59" s="12">
        <f t="shared" si="1"/>
        <v>176.60562553568454</v>
      </c>
      <c r="F59" s="12">
        <f t="shared" si="8"/>
        <v>52.840609024833121</v>
      </c>
      <c r="G59" s="12">
        <f t="shared" si="8"/>
        <v>6.5308617895861234</v>
      </c>
      <c r="H59" s="9"/>
      <c r="I59" s="12">
        <f t="shared" si="3"/>
        <v>21.198167885602508</v>
      </c>
      <c r="J59" s="12">
        <f t="shared" si="4"/>
        <v>4.769401286502517</v>
      </c>
      <c r="K59" s="12">
        <f t="shared" si="5"/>
        <v>0.58947656350031175</v>
      </c>
    </row>
    <row r="60" spans="2:11" x14ac:dyDescent="0.25">
      <c r="B60" s="10">
        <v>56</v>
      </c>
      <c r="C60" s="11">
        <v>43947</v>
      </c>
      <c r="D60" s="12">
        <f t="shared" si="0"/>
        <v>192529.73870653482</v>
      </c>
      <c r="E60" s="12">
        <f t="shared" si="1"/>
        <v>194.00296846624508</v>
      </c>
      <c r="F60" s="12">
        <f t="shared" si="8"/>
        <v>58.079909249058431</v>
      </c>
      <c r="G60" s="12">
        <f t="shared" si="8"/>
        <v>7.1784157498836336</v>
      </c>
      <c r="H60" s="9"/>
      <c r="I60" s="12">
        <f t="shared" si="3"/>
        <v>23.284197115083348</v>
      </c>
      <c r="J60" s="12">
        <f t="shared" si="4"/>
        <v>5.2393002242253068</v>
      </c>
      <c r="K60" s="12">
        <f t="shared" si="5"/>
        <v>0.64755396029751056</v>
      </c>
    </row>
    <row r="61" spans="2:11" x14ac:dyDescent="0.25">
      <c r="B61" s="10">
        <v>57</v>
      </c>
      <c r="C61" s="11">
        <v>43948</v>
      </c>
      <c r="D61" s="12">
        <f t="shared" si="0"/>
        <v>192504.16380041212</v>
      </c>
      <c r="E61" s="12">
        <f t="shared" si="1"/>
        <v>213.11110897338637</v>
      </c>
      <c r="F61" s="12">
        <f t="shared" si="8"/>
        <v>63.83533064689037</v>
      </c>
      <c r="G61" s="12">
        <f t="shared" si="8"/>
        <v>7.8897599675932</v>
      </c>
      <c r="H61" s="9"/>
      <c r="I61" s="12">
        <f t="shared" si="3"/>
        <v>25.574906122682751</v>
      </c>
      <c r="J61" s="12">
        <f t="shared" si="4"/>
        <v>5.7554213978319364</v>
      </c>
      <c r="K61" s="12">
        <f t="shared" si="5"/>
        <v>0.71134421770956591</v>
      </c>
    </row>
    <row r="62" spans="2:11" x14ac:dyDescent="0.25">
      <c r="B62" s="10">
        <v>58</v>
      </c>
      <c r="C62" s="11">
        <v>43949</v>
      </c>
      <c r="D62" s="12">
        <f t="shared" si="0"/>
        <v>192476.0735461193</v>
      </c>
      <c r="E62" s="12">
        <f t="shared" si="1"/>
        <v>234.09765963375682</v>
      </c>
      <c r="F62" s="12">
        <f t="shared" si="8"/>
        <v>70.157626879767491</v>
      </c>
      <c r="G62" s="12">
        <f t="shared" si="8"/>
        <v>8.6711673671622833</v>
      </c>
      <c r="H62" s="9"/>
      <c r="I62" s="12">
        <f t="shared" si="3"/>
        <v>28.090254292816663</v>
      </c>
      <c r="J62" s="12">
        <f t="shared" si="4"/>
        <v>6.3222962328771279</v>
      </c>
      <c r="K62" s="12">
        <f t="shared" si="5"/>
        <v>0.781407399569084</v>
      </c>
    </row>
    <row r="63" spans="2:11" x14ac:dyDescent="0.25">
      <c r="B63" s="10">
        <v>59</v>
      </c>
      <c r="C63" s="11">
        <v>43950</v>
      </c>
      <c r="D63" s="12">
        <f t="shared" si="0"/>
        <v>192445.22142433611</v>
      </c>
      <c r="E63" s="12">
        <f t="shared" si="1"/>
        <v>257.146526095826</v>
      </c>
      <c r="F63" s="12">
        <f t="shared" si="8"/>
        <v>77.10252411556894</v>
      </c>
      <c r="G63" s="12">
        <f t="shared" si="8"/>
        <v>9.5295254524860589</v>
      </c>
      <c r="H63" s="9"/>
      <c r="I63" s="12">
        <f t="shared" si="3"/>
        <v>30.852121783194463</v>
      </c>
      <c r="J63" s="12">
        <f t="shared" si="4"/>
        <v>6.9448972358014514</v>
      </c>
      <c r="K63" s="12">
        <f t="shared" si="5"/>
        <v>0.85835808532377578</v>
      </c>
    </row>
    <row r="64" spans="2:11" x14ac:dyDescent="0.25">
      <c r="B64" s="10">
        <v>60</v>
      </c>
      <c r="C64" s="13">
        <v>43951</v>
      </c>
      <c r="D64" s="12">
        <f t="shared" si="0"/>
        <v>192411.33693526621</v>
      </c>
      <c r="E64" s="12">
        <f t="shared" si="1"/>
        <v>282.45946429587241</v>
      </c>
      <c r="F64" s="12">
        <f t="shared" si="8"/>
        <v>84.731204389745116</v>
      </c>
      <c r="G64" s="12">
        <f t="shared" si="8"/>
        <v>10.472396048170754</v>
      </c>
      <c r="H64" s="9"/>
      <c r="I64" s="12">
        <f t="shared" si="3"/>
        <v>33.884489069907325</v>
      </c>
      <c r="J64" s="12">
        <f t="shared" si="4"/>
        <v>7.6286802741761708</v>
      </c>
      <c r="K64" s="12">
        <f t="shared" si="5"/>
        <v>0.94287059568469611</v>
      </c>
    </row>
    <row r="65" spans="2:11" x14ac:dyDescent="0.25">
      <c r="B65" s="10">
        <v>61</v>
      </c>
      <c r="C65" s="11">
        <v>43952</v>
      </c>
      <c r="D65" s="12">
        <f t="shared" si="0"/>
        <v>192374.12330309642</v>
      </c>
      <c r="E65" s="12">
        <f t="shared" si="1"/>
        <v>310.25778098912104</v>
      </c>
      <c r="F65" s="12">
        <f t="shared" si="8"/>
        <v>93.110835163855995</v>
      </c>
      <c r="G65" s="12">
        <f t="shared" si="8"/>
        <v>11.508080750588954</v>
      </c>
      <c r="H65" s="9"/>
      <c r="I65" s="12">
        <f t="shared" si="3"/>
        <v>37.213632169777718</v>
      </c>
      <c r="J65" s="12">
        <f t="shared" si="4"/>
        <v>8.3796307741108809</v>
      </c>
      <c r="K65" s="12">
        <f t="shared" si="5"/>
        <v>1.0356847024181997</v>
      </c>
    </row>
    <row r="66" spans="2:11" x14ac:dyDescent="0.25">
      <c r="B66" s="10">
        <v>62</v>
      </c>
      <c r="C66" s="11">
        <v>43953</v>
      </c>
      <c r="D66" s="12">
        <f t="shared" si="0"/>
        <v>192333.2549684229</v>
      </c>
      <c r="E66" s="12">
        <f t="shared" si="1"/>
        <v>340.78418962967464</v>
      </c>
      <c r="F66" s="12">
        <f t="shared" si="8"/>
        <v>102.31514933319991</v>
      </c>
      <c r="G66" s="12">
        <f t="shared" si="8"/>
        <v>12.645692614215733</v>
      </c>
      <c r="H66" s="9"/>
      <c r="I66" s="12">
        <f t="shared" si="3"/>
        <v>40.868334673524288</v>
      </c>
      <c r="J66" s="12">
        <f t="shared" si="4"/>
        <v>9.2043141693439221</v>
      </c>
      <c r="K66" s="12">
        <f t="shared" si="5"/>
        <v>1.137611863626778</v>
      </c>
    </row>
    <row r="67" spans="2:11" x14ac:dyDescent="0.25">
      <c r="B67" s="10">
        <v>63</v>
      </c>
      <c r="C67" s="11">
        <v>43954</v>
      </c>
      <c r="D67" s="12">
        <f t="shared" si="0"/>
        <v>192288.37485067052</v>
      </c>
      <c r="E67" s="12">
        <f t="shared" si="1"/>
        <v>374.30483439439467</v>
      </c>
      <c r="F67" s="12">
        <f t="shared" si="8"/>
        <v>112.42508029221359</v>
      </c>
      <c r="G67" s="12">
        <f t="shared" si="8"/>
        <v>13.895234642857874</v>
      </c>
      <c r="H67" s="9"/>
      <c r="I67" s="12">
        <f t="shared" si="3"/>
        <v>44.880117752375888</v>
      </c>
      <c r="J67" s="12">
        <f t="shared" si="4"/>
        <v>10.109930959013679</v>
      </c>
      <c r="K67" s="12">
        <f t="shared" si="5"/>
        <v>1.2495420286421415</v>
      </c>
    </row>
    <row r="68" spans="2:11" x14ac:dyDescent="0.25">
      <c r="B68" s="10">
        <v>64</v>
      </c>
      <c r="C68" s="11">
        <v>43955</v>
      </c>
      <c r="D68" s="12">
        <f t="shared" si="0"/>
        <v>192239.09136135405</v>
      </c>
      <c r="E68" s="12">
        <f t="shared" si="1"/>
        <v>411.11149589772964</v>
      </c>
      <c r="F68" s="12">
        <f t="shared" si="8"/>
        <v>123.52945704591397</v>
      </c>
      <c r="G68" s="12">
        <f t="shared" si="8"/>
        <v>15.267685702303989</v>
      </c>
      <c r="H68" s="9"/>
      <c r="I68" s="12">
        <f t="shared" si="3"/>
        <v>49.283489316481457</v>
      </c>
      <c r="J68" s="12">
        <f t="shared" si="4"/>
        <v>11.104376753700373</v>
      </c>
      <c r="K68" s="12">
        <f t="shared" si="5"/>
        <v>1.372451059446115</v>
      </c>
    </row>
    <row r="69" spans="2:11" x14ac:dyDescent="0.25">
      <c r="B69" s="10">
        <v>65</v>
      </c>
      <c r="C69" s="11">
        <v>43956</v>
      </c>
      <c r="D69" s="12">
        <f t="shared" si="0"/>
        <v>192184.97514785265</v>
      </c>
      <c r="E69" s="12">
        <f t="shared" si="1"/>
        <v>451.52399286922173</v>
      </c>
      <c r="F69" s="12">
        <f t="shared" si="8"/>
        <v>135.72576475754661</v>
      </c>
      <c r="G69" s="12">
        <f t="shared" si="8"/>
        <v>16.775094520595665</v>
      </c>
      <c r="H69" s="9"/>
      <c r="I69" s="12">
        <f t="shared" si="3"/>
        <v>54.116213501416404</v>
      </c>
      <c r="J69" s="12">
        <f t="shared" si="4"/>
        <v>12.196307711632645</v>
      </c>
      <c r="K69" s="12">
        <f t="shared" si="5"/>
        <v>1.5074088182916767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192125.55554621873</v>
      </c>
      <c r="E70" s="12">
        <f t="shared" ref="E70:E133" si="10">E69+I70-J70-K70</f>
        <v>495.8927947408261</v>
      </c>
      <c r="F70" s="12">
        <f t="shared" ref="F70:G85" si="11">F69+J70</f>
        <v>149.12097654600018</v>
      </c>
      <c r="G70" s="12">
        <f t="shared" si="11"/>
        <v>18.430682494449481</v>
      </c>
      <c r="H70" s="9"/>
      <c r="I70" s="12">
        <f t="shared" ref="I70:I133" si="12">E69*N$6*D69/SUM(D69:F69)*N$7</f>
        <v>59.419601633911796</v>
      </c>
      <c r="J70" s="12">
        <f t="shared" ref="J70:J133" si="13">E69*N$8/N$5</f>
        <v>13.395211788453576</v>
      </c>
      <c r="K70" s="12">
        <f t="shared" ref="K70:K133" si="14">E69*N$9/N$5</f>
        <v>1.6555879738538146</v>
      </c>
    </row>
    <row r="71" spans="2:11" x14ac:dyDescent="0.25">
      <c r="B71" s="10">
        <v>67</v>
      </c>
      <c r="C71" s="11">
        <v>43958</v>
      </c>
      <c r="D71" s="12">
        <f t="shared" si="9"/>
        <v>192060.31672044564</v>
      </c>
      <c r="E71" s="12">
        <f t="shared" si="10"/>
        <v>544.60186068922746</v>
      </c>
      <c r="F71" s="12">
        <f t="shared" si="11"/>
        <v>163.83246278997802</v>
      </c>
      <c r="G71" s="12">
        <f t="shared" si="11"/>
        <v>20.248956075165847</v>
      </c>
      <c r="H71" s="9"/>
      <c r="I71" s="12">
        <f t="shared" si="12"/>
        <v>65.238825773095456</v>
      </c>
      <c r="J71" s="12">
        <f t="shared" si="13"/>
        <v>14.71148624397784</v>
      </c>
      <c r="K71" s="12">
        <f t="shared" si="14"/>
        <v>1.8182735807163641</v>
      </c>
    </row>
    <row r="72" spans="2:11" x14ac:dyDescent="0.25">
      <c r="B72" s="10">
        <v>68</v>
      </c>
      <c r="C72" s="11">
        <v>43959</v>
      </c>
      <c r="D72" s="12">
        <f t="shared" si="9"/>
        <v>191988.69346461451</v>
      </c>
      <c r="E72" s="12">
        <f t="shared" si="10"/>
        <v>598.07172116405934</v>
      </c>
      <c r="F72" s="12">
        <f t="shared" si="11"/>
        <v>179.98898465709178</v>
      </c>
      <c r="G72" s="12">
        <f t="shared" si="11"/>
        <v>22.245829564359681</v>
      </c>
      <c r="H72" s="9"/>
      <c r="I72" s="12">
        <f t="shared" si="12"/>
        <v>71.623255831139389</v>
      </c>
      <c r="J72" s="12">
        <f t="shared" si="13"/>
        <v>16.156521867113746</v>
      </c>
      <c r="K72" s="12">
        <f t="shared" si="14"/>
        <v>1.9968734891938358</v>
      </c>
    </row>
    <row r="73" spans="2:11" x14ac:dyDescent="0.25">
      <c r="B73" s="10">
        <v>69</v>
      </c>
      <c r="C73" s="11">
        <v>43960</v>
      </c>
      <c r="D73" s="12">
        <f t="shared" si="9"/>
        <v>191910.06664347675</v>
      </c>
      <c r="E73" s="12">
        <f t="shared" si="10"/>
        <v>656.76281826300783</v>
      </c>
      <c r="F73" s="12">
        <f t="shared" si="11"/>
        <v>197.73177905162552</v>
      </c>
      <c r="G73" s="12">
        <f t="shared" si="11"/>
        <v>24.4387592086279</v>
      </c>
      <c r="H73" s="9"/>
      <c r="I73" s="12">
        <f t="shared" si="12"/>
        <v>78.626821137750511</v>
      </c>
      <c r="J73" s="12">
        <f t="shared" si="13"/>
        <v>17.742794394533757</v>
      </c>
      <c r="K73" s="12">
        <f t="shared" si="14"/>
        <v>2.1929296442682196</v>
      </c>
    </row>
    <row r="74" spans="2:11" x14ac:dyDescent="0.25">
      <c r="B74" s="10">
        <v>70</v>
      </c>
      <c r="C74" s="11">
        <v>43961</v>
      </c>
      <c r="D74" s="12">
        <f t="shared" si="9"/>
        <v>191823.75824636169</v>
      </c>
      <c r="E74" s="12">
        <f t="shared" si="10"/>
        <v>721.17912143596027</v>
      </c>
      <c r="F74" s="12">
        <f t="shared" si="11"/>
        <v>217.21574266009475</v>
      </c>
      <c r="G74" s="12">
        <f t="shared" si="11"/>
        <v>26.846889542258932</v>
      </c>
      <c r="H74" s="9"/>
      <c r="I74" s="12">
        <f t="shared" si="12"/>
        <v>86.308397115052671</v>
      </c>
      <c r="J74" s="12">
        <f t="shared" si="13"/>
        <v>19.483963608469232</v>
      </c>
      <c r="K74" s="12">
        <f t="shared" si="14"/>
        <v>2.4081303336310307</v>
      </c>
    </row>
    <row r="75" spans="2:11" x14ac:dyDescent="0.25">
      <c r="B75" s="10">
        <v>71</v>
      </c>
      <c r="C75" s="11">
        <v>43962</v>
      </c>
      <c r="D75" s="12">
        <f t="shared" si="9"/>
        <v>191729.02602890212</v>
      </c>
      <c r="E75" s="12">
        <f t="shared" si="10"/>
        <v>791.87203484764245</v>
      </c>
      <c r="F75" s="12">
        <f t="shared" si="11"/>
        <v>238.6107232626949</v>
      </c>
      <c r="G75" s="12">
        <f t="shared" si="11"/>
        <v>29.491212987524122</v>
      </c>
      <c r="H75" s="9"/>
      <c r="I75" s="12">
        <f t="shared" si="12"/>
        <v>94.732217459547527</v>
      </c>
      <c r="J75" s="12">
        <f t="shared" si="13"/>
        <v>21.39498060260015</v>
      </c>
      <c r="K75" s="12">
        <f t="shared" si="14"/>
        <v>2.6443234452651896</v>
      </c>
    </row>
    <row r="76" spans="2:11" x14ac:dyDescent="0.25">
      <c r="B76" s="10">
        <v>72</v>
      </c>
      <c r="C76" s="11">
        <v>43963</v>
      </c>
      <c r="D76" s="12">
        <f t="shared" si="9"/>
        <v>191625.05771703215</v>
      </c>
      <c r="E76" s="12">
        <f t="shared" si="10"/>
        <v>869.44461222270979</v>
      </c>
      <c r="F76" s="12">
        <f t="shared" si="11"/>
        <v>262.10292696317498</v>
      </c>
      <c r="G76" s="12">
        <f t="shared" si="11"/>
        <v>32.394743781965481</v>
      </c>
      <c r="H76" s="9"/>
      <c r="I76" s="12">
        <f t="shared" si="12"/>
        <v>103.96831186998882</v>
      </c>
      <c r="J76" s="12">
        <f t="shared" si="13"/>
        <v>23.492203700480058</v>
      </c>
      <c r="K76" s="12">
        <f t="shared" si="14"/>
        <v>2.9035307944413584</v>
      </c>
    </row>
    <row r="77" spans="2:11" x14ac:dyDescent="0.25">
      <c r="B77" s="10">
        <v>73</v>
      </c>
      <c r="C77" s="11">
        <v>43964</v>
      </c>
      <c r="D77" s="12">
        <f t="shared" si="9"/>
        <v>191510.96474813684</v>
      </c>
      <c r="E77" s="12">
        <f t="shared" si="10"/>
        <v>954.55609404391271</v>
      </c>
      <c r="F77" s="12">
        <f t="shared" si="11"/>
        <v>287.89645045911539</v>
      </c>
      <c r="G77" s="12">
        <f t="shared" si="11"/>
        <v>35.582707360115421</v>
      </c>
      <c r="H77" s="9"/>
      <c r="I77" s="12">
        <f t="shared" si="12"/>
        <v>114.09296889529323</v>
      </c>
      <c r="J77" s="12">
        <f t="shared" si="13"/>
        <v>25.793523495940388</v>
      </c>
      <c r="K77" s="12">
        <f t="shared" si="14"/>
        <v>3.1879635781499389</v>
      </c>
    </row>
    <row r="78" spans="2:11" x14ac:dyDescent="0.25">
      <c r="B78" s="10">
        <v>74</v>
      </c>
      <c r="C78" s="11">
        <v>43965</v>
      </c>
      <c r="D78" s="12">
        <f t="shared" si="9"/>
        <v>191385.77552525385</v>
      </c>
      <c r="E78" s="12">
        <f t="shared" si="10"/>
        <v>1047.9267804587723</v>
      </c>
      <c r="F78" s="12">
        <f t="shared" si="11"/>
        <v>316.21494791575145</v>
      </c>
      <c r="G78" s="12">
        <f t="shared" si="11"/>
        <v>39.082746371609772</v>
      </c>
      <c r="H78" s="9"/>
      <c r="I78" s="12">
        <f t="shared" si="12"/>
        <v>125.18922288299022</v>
      </c>
      <c r="J78" s="12">
        <f t="shared" si="13"/>
        <v>28.318497456636074</v>
      </c>
      <c r="K78" s="12">
        <f t="shared" si="14"/>
        <v>3.5000390114943496</v>
      </c>
    </row>
    <row r="79" spans="2:11" x14ac:dyDescent="0.25">
      <c r="B79" s="10">
        <v>75</v>
      </c>
      <c r="C79" s="11">
        <v>43966</v>
      </c>
      <c r="D79" s="12">
        <f t="shared" si="9"/>
        <v>191248.4281619933</v>
      </c>
      <c r="E79" s="12">
        <f t="shared" si="10"/>
        <v>1150.3432510373659</v>
      </c>
      <c r="F79" s="12">
        <f t="shared" si="11"/>
        <v>347.30344240269505</v>
      </c>
      <c r="G79" s="12">
        <f t="shared" si="11"/>
        <v>42.925144566625278</v>
      </c>
      <c r="H79" s="9"/>
      <c r="I79" s="12">
        <f t="shared" si="12"/>
        <v>137.3473632605527</v>
      </c>
      <c r="J79" s="12">
        <f t="shared" si="13"/>
        <v>31.088494486943578</v>
      </c>
      <c r="K79" s="12">
        <f t="shared" si="14"/>
        <v>3.8423981950155022</v>
      </c>
    </row>
    <row r="80" spans="2:11" x14ac:dyDescent="0.25">
      <c r="B80" s="10">
        <v>76</v>
      </c>
      <c r="C80" s="11">
        <v>43967</v>
      </c>
      <c r="D80" s="12">
        <f t="shared" si="9"/>
        <v>191097.76269854358</v>
      </c>
      <c r="E80" s="12">
        <f t="shared" si="10"/>
        <v>1262.6639394525171</v>
      </c>
      <c r="F80" s="12">
        <f t="shared" si="11"/>
        <v>381.43029218347021</v>
      </c>
      <c r="G80" s="12">
        <f t="shared" si="11"/>
        <v>47.143069820428956</v>
      </c>
      <c r="H80" s="9"/>
      <c r="I80" s="12">
        <f t="shared" si="12"/>
        <v>150.66546344973025</v>
      </c>
      <c r="J80" s="12">
        <f t="shared" si="13"/>
        <v>34.126849780775188</v>
      </c>
      <c r="K80" s="12">
        <f t="shared" si="14"/>
        <v>4.2179252538036787</v>
      </c>
    </row>
    <row r="81" spans="2:11" x14ac:dyDescent="0.25">
      <c r="B81" s="10">
        <v>77</v>
      </c>
      <c r="C81" s="11">
        <v>43968</v>
      </c>
      <c r="D81" s="12">
        <f t="shared" si="9"/>
        <v>190932.51277297959</v>
      </c>
      <c r="E81" s="12">
        <f t="shared" si="10"/>
        <v>1385.8250670347427</v>
      </c>
      <c r="F81" s="12">
        <f t="shared" si="11"/>
        <v>418.88932238722822</v>
      </c>
      <c r="G81" s="12">
        <f t="shared" si="11"/>
        <v>51.772837598421525</v>
      </c>
      <c r="H81" s="9"/>
      <c r="I81" s="12">
        <f t="shared" si="12"/>
        <v>165.24992556397609</v>
      </c>
      <c r="J81" s="12">
        <f t="shared" si="13"/>
        <v>37.459030203757997</v>
      </c>
      <c r="K81" s="12">
        <f t="shared" si="14"/>
        <v>4.6297677779925666</v>
      </c>
    </row>
    <row r="82" spans="2:11" x14ac:dyDescent="0.25">
      <c r="B82" s="10">
        <v>78</v>
      </c>
      <c r="C82" s="11">
        <v>43969</v>
      </c>
      <c r="D82" s="12">
        <f t="shared" si="9"/>
        <v>190751.29673734654</v>
      </c>
      <c r="E82" s="12">
        <f t="shared" si="10"/>
        <v>1520.8469337666493</v>
      </c>
      <c r="F82" s="12">
        <f t="shared" si="11"/>
        <v>460.00213270925894</v>
      </c>
      <c r="G82" s="12">
        <f t="shared" si="11"/>
        <v>56.854196177548921</v>
      </c>
      <c r="H82" s="9"/>
      <c r="I82" s="12">
        <f t="shared" si="12"/>
        <v>181.21603563306485</v>
      </c>
      <c r="J82" s="12">
        <f t="shared" si="13"/>
        <v>41.112810322030697</v>
      </c>
      <c r="K82" s="12">
        <f t="shared" si="14"/>
        <v>5.0813585791273947</v>
      </c>
    </row>
    <row r="83" spans="2:11" x14ac:dyDescent="0.25">
      <c r="B83" s="10">
        <v>79</v>
      </c>
      <c r="C83" s="11">
        <v>43970</v>
      </c>
      <c r="D83" s="12">
        <f t="shared" si="9"/>
        <v>190552.60821495214</v>
      </c>
      <c r="E83" s="12">
        <f t="shared" si="10"/>
        <v>1668.8405583688132</v>
      </c>
      <c r="F83" s="12">
        <f t="shared" si="11"/>
        <v>505.1205917443362</v>
      </c>
      <c r="G83" s="12">
        <f t="shared" si="11"/>
        <v>62.430634934693309</v>
      </c>
      <c r="H83" s="9"/>
      <c r="I83" s="12">
        <f t="shared" si="12"/>
        <v>198.68852239438556</v>
      </c>
      <c r="J83" s="12">
        <f t="shared" si="13"/>
        <v>45.118459035077258</v>
      </c>
      <c r="K83" s="12">
        <f t="shared" si="14"/>
        <v>5.5764387571443859</v>
      </c>
    </row>
    <row r="84" spans="2:11" x14ac:dyDescent="0.25">
      <c r="B84" s="10">
        <v>80</v>
      </c>
      <c r="C84" s="11">
        <v>43971</v>
      </c>
      <c r="D84" s="12">
        <f t="shared" si="9"/>
        <v>190334.80610431195</v>
      </c>
      <c r="E84" s="12">
        <f t="shared" si="10"/>
        <v>1831.0146503967073</v>
      </c>
      <c r="F84" s="12">
        <f t="shared" si="11"/>
        <v>554.6295283092777</v>
      </c>
      <c r="G84" s="12">
        <f t="shared" si="11"/>
        <v>68.549716982045624</v>
      </c>
      <c r="H84" s="9"/>
      <c r="I84" s="12">
        <f t="shared" si="12"/>
        <v>217.80211064018803</v>
      </c>
      <c r="J84" s="12">
        <f t="shared" si="13"/>
        <v>49.50893656494145</v>
      </c>
      <c r="K84" s="12">
        <f t="shared" si="14"/>
        <v>6.1190820473523209</v>
      </c>
    </row>
    <row r="85" spans="2:11" x14ac:dyDescent="0.25">
      <c r="B85" s="10">
        <v>81</v>
      </c>
      <c r="C85" s="11">
        <v>43972</v>
      </c>
      <c r="D85" s="12">
        <f t="shared" si="9"/>
        <v>190096.10404664851</v>
      </c>
      <c r="E85" s="12">
        <f t="shared" si="10"/>
        <v>2008.6828863802432</v>
      </c>
      <c r="F85" s="12">
        <f t="shared" si="11"/>
        <v>608.94962960437999</v>
      </c>
      <c r="G85" s="12">
        <f t="shared" si="11"/>
        <v>75.263437366833557</v>
      </c>
      <c r="H85" s="9"/>
      <c r="I85" s="12">
        <f t="shared" si="12"/>
        <v>238.70205766342593</v>
      </c>
      <c r="J85" s="12">
        <f t="shared" si="13"/>
        <v>54.320101295102312</v>
      </c>
      <c r="K85" s="12">
        <f t="shared" si="14"/>
        <v>6.7137203847879325</v>
      </c>
    </row>
    <row r="86" spans="2:11" x14ac:dyDescent="0.25">
      <c r="B86" s="10">
        <v>82</v>
      </c>
      <c r="C86" s="11">
        <v>43973</v>
      </c>
      <c r="D86" s="12">
        <f t="shared" si="9"/>
        <v>189834.55938820046</v>
      </c>
      <c r="E86" s="12">
        <f t="shared" si="10"/>
        <v>2203.2714486156115</v>
      </c>
      <c r="F86" s="12">
        <f t="shared" ref="F86:G101" si="15">F85+J86</f>
        <v>668.54055523366048</v>
      </c>
      <c r="G86" s="12">
        <f t="shared" si="15"/>
        <v>82.628607950227789</v>
      </c>
      <c r="H86" s="9"/>
      <c r="I86" s="12">
        <f t="shared" si="12"/>
        <v>261.54465844804315</v>
      </c>
      <c r="J86" s="12">
        <f t="shared" si="13"/>
        <v>59.590925629280541</v>
      </c>
      <c r="K86" s="12">
        <f t="shared" si="14"/>
        <v>7.3651705833942316</v>
      </c>
    </row>
    <row r="87" spans="2:11" x14ac:dyDescent="0.25">
      <c r="B87" s="10">
        <v>83</v>
      </c>
      <c r="C87" s="11">
        <v>43974</v>
      </c>
      <c r="D87" s="12">
        <f t="shared" si="9"/>
        <v>189548.06168635297</v>
      </c>
      <c r="E87" s="12">
        <f t="shared" si="10"/>
        <v>2416.3267688425863</v>
      </c>
      <c r="F87" s="12">
        <f t="shared" si="15"/>
        <v>733.90427487592365</v>
      </c>
      <c r="G87" s="12">
        <f t="shared" si="15"/>
        <v>90.707269928485033</v>
      </c>
      <c r="H87" s="9"/>
      <c r="I87" s="12">
        <f t="shared" si="12"/>
        <v>286.49770184749536</v>
      </c>
      <c r="J87" s="12">
        <f t="shared" si="13"/>
        <v>65.363719642263135</v>
      </c>
      <c r="K87" s="12">
        <f t="shared" si="14"/>
        <v>8.0786619782572497</v>
      </c>
    </row>
    <row r="88" spans="2:11" x14ac:dyDescent="0.25">
      <c r="B88" s="10">
        <v>84</v>
      </c>
      <c r="C88" s="11">
        <v>43975</v>
      </c>
      <c r="D88" s="12">
        <f t="shared" si="9"/>
        <v>189234.32083031902</v>
      </c>
      <c r="E88" s="12">
        <f t="shared" si="10"/>
        <v>2649.5233992484577</v>
      </c>
      <c r="F88" s="12">
        <f t="shared" si="15"/>
        <v>805.5886356849204</v>
      </c>
      <c r="G88" s="12">
        <f t="shared" si="15"/>
        <v>99.567134747574528</v>
      </c>
      <c r="H88" s="9"/>
      <c r="I88" s="12">
        <f t="shared" si="12"/>
        <v>313.74085603395764</v>
      </c>
      <c r="J88" s="12">
        <f t="shared" si="13"/>
        <v>71.684360808996715</v>
      </c>
      <c r="K88" s="12">
        <f t="shared" si="14"/>
        <v>8.8598648190894913</v>
      </c>
    </row>
    <row r="89" spans="2:11" x14ac:dyDescent="0.25">
      <c r="B89" s="10">
        <v>85</v>
      </c>
      <c r="C89" s="11">
        <v>43976</v>
      </c>
      <c r="D89" s="12">
        <f t="shared" si="9"/>
        <v>188890.85487338848</v>
      </c>
      <c r="E89" s="12">
        <f t="shared" si="10"/>
        <v>2904.6719095373896</v>
      </c>
      <c r="F89" s="12">
        <f t="shared" si="15"/>
        <v>884.19116319595798</v>
      </c>
      <c r="G89" s="12">
        <f t="shared" si="15"/>
        <v>109.28205387815221</v>
      </c>
      <c r="H89" s="9"/>
      <c r="I89" s="12">
        <f t="shared" si="12"/>
        <v>343.46595693054672</v>
      </c>
      <c r="J89" s="12">
        <f t="shared" si="13"/>
        <v>78.602527511037565</v>
      </c>
      <c r="K89" s="12">
        <f t="shared" si="14"/>
        <v>9.7149191305776874</v>
      </c>
    </row>
    <row r="90" spans="2:11" x14ac:dyDescent="0.25">
      <c r="B90" s="10">
        <v>86</v>
      </c>
      <c r="C90" s="11">
        <v>43977</v>
      </c>
      <c r="D90" s="12">
        <f t="shared" si="9"/>
        <v>188514.97770526854</v>
      </c>
      <c r="E90" s="12">
        <f t="shared" si="10"/>
        <v>3183.7266806727603</v>
      </c>
      <c r="F90" s="12">
        <f t="shared" si="15"/>
        <v>970.36309651223382</v>
      </c>
      <c r="G90" s="12">
        <f t="shared" si="15"/>
        <v>119.93251754645598</v>
      </c>
      <c r="H90" s="9"/>
      <c r="I90" s="12">
        <f t="shared" si="12"/>
        <v>375.87716811995034</v>
      </c>
      <c r="J90" s="12">
        <f t="shared" si="13"/>
        <v>86.171933316275883</v>
      </c>
      <c r="K90" s="12">
        <f t="shared" si="14"/>
        <v>10.65046366830377</v>
      </c>
    </row>
    <row r="91" spans="2:11" x14ac:dyDescent="0.25">
      <c r="B91" s="10">
        <v>87</v>
      </c>
      <c r="C91" s="11">
        <v>43978</v>
      </c>
      <c r="D91" s="12">
        <f t="shared" si="9"/>
        <v>188103.78673043736</v>
      </c>
      <c r="E91" s="12">
        <f t="shared" si="10"/>
        <v>3488.793432814844</v>
      </c>
      <c r="F91" s="12">
        <f t="shared" si="15"/>
        <v>1064.8136547055258</v>
      </c>
      <c r="G91" s="12">
        <f t="shared" si="15"/>
        <v>131.60618204225611</v>
      </c>
      <c r="H91" s="9"/>
      <c r="I91" s="12">
        <f t="shared" si="12"/>
        <v>411.19097483117554</v>
      </c>
      <c r="J91" s="12">
        <f t="shared" si="13"/>
        <v>94.450558193291883</v>
      </c>
      <c r="K91" s="12">
        <f t="shared" si="14"/>
        <v>11.67366449580013</v>
      </c>
    </row>
    <row r="92" spans="2:11" x14ac:dyDescent="0.25">
      <c r="B92" s="10">
        <v>88</v>
      </c>
      <c r="C92" s="11">
        <v>43979</v>
      </c>
      <c r="D92" s="12">
        <f t="shared" si="9"/>
        <v>187654.15076239465</v>
      </c>
      <c r="E92" s="12">
        <f t="shared" si="10"/>
        <v>3822.1362864303951</v>
      </c>
      <c r="F92" s="12">
        <f t="shared" si="15"/>
        <v>1168.3145265456994</v>
      </c>
      <c r="G92" s="12">
        <f t="shared" si="15"/>
        <v>144.39842462924389</v>
      </c>
      <c r="H92" s="9"/>
      <c r="I92" s="12">
        <f t="shared" si="12"/>
        <v>449.63596804271248</v>
      </c>
      <c r="J92" s="12">
        <f t="shared" si="13"/>
        <v>103.50087184017369</v>
      </c>
      <c r="K92" s="12">
        <f t="shared" si="14"/>
        <v>12.792242586987774</v>
      </c>
    </row>
    <row r="93" spans="2:11" x14ac:dyDescent="0.25">
      <c r="B93" s="10">
        <v>89</v>
      </c>
      <c r="C93" s="11">
        <v>43980</v>
      </c>
      <c r="D93" s="12">
        <f t="shared" si="9"/>
        <v>187162.69839485199</v>
      </c>
      <c r="E93" s="12">
        <f t="shared" si="10"/>
        <v>4186.1841110920304</v>
      </c>
      <c r="F93" s="12">
        <f t="shared" si="15"/>
        <v>1281.704569709801</v>
      </c>
      <c r="G93" s="12">
        <f t="shared" si="15"/>
        <v>158.41292434615536</v>
      </c>
      <c r="H93" s="9"/>
      <c r="I93" s="12">
        <f t="shared" si="12"/>
        <v>491.45236754264846</v>
      </c>
      <c r="J93" s="12">
        <f t="shared" si="13"/>
        <v>113.3900431641017</v>
      </c>
      <c r="K93" s="12">
        <f t="shared" si="14"/>
        <v>14.014499716911462</v>
      </c>
    </row>
    <row r="94" spans="2:11" x14ac:dyDescent="0.25">
      <c r="B94" s="10">
        <v>90</v>
      </c>
      <c r="C94" s="11">
        <v>43981</v>
      </c>
      <c r="D94" s="12">
        <f t="shared" si="9"/>
        <v>186625.80716980965</v>
      </c>
      <c r="E94" s="12">
        <f t="shared" si="10"/>
        <v>4583.5358657646339</v>
      </c>
      <c r="F94" s="12">
        <f t="shared" si="15"/>
        <v>1405.8946983388646</v>
      </c>
      <c r="G94" s="12">
        <f t="shared" si="15"/>
        <v>173.76226608682614</v>
      </c>
      <c r="H94" s="9"/>
      <c r="I94" s="12">
        <f t="shared" si="12"/>
        <v>536.89122504233717</v>
      </c>
      <c r="J94" s="12">
        <f t="shared" si="13"/>
        <v>124.19012862906355</v>
      </c>
      <c r="K94" s="12">
        <f t="shared" si="14"/>
        <v>15.349341740670791</v>
      </c>
    </row>
    <row r="95" spans="2:11" x14ac:dyDescent="0.25">
      <c r="B95" s="10">
        <v>91</v>
      </c>
      <c r="C95" s="13">
        <v>43982</v>
      </c>
      <c r="D95" s="12">
        <f t="shared" si="9"/>
        <v>186039.59392950268</v>
      </c>
      <c r="E95" s="12">
        <f t="shared" si="10"/>
        <v>5016.9645772127733</v>
      </c>
      <c r="F95" s="12">
        <f t="shared" si="15"/>
        <v>1541.8729290232154</v>
      </c>
      <c r="G95" s="12">
        <f t="shared" si="15"/>
        <v>190.56856426129647</v>
      </c>
      <c r="H95" s="9"/>
      <c r="I95" s="12">
        <f t="shared" si="12"/>
        <v>586.21324030696076</v>
      </c>
      <c r="J95" s="12">
        <f t="shared" si="13"/>
        <v>135.97823068435079</v>
      </c>
      <c r="K95" s="12">
        <f t="shared" si="14"/>
        <v>16.806298174470339</v>
      </c>
    </row>
    <row r="96" spans="2:11" x14ac:dyDescent="0.25">
      <c r="B96" s="10">
        <v>92</v>
      </c>
      <c r="C96" s="11">
        <v>43983</v>
      </c>
      <c r="D96" s="12">
        <f t="shared" si="9"/>
        <v>185399.90681451207</v>
      </c>
      <c r="E96" s="12">
        <f t="shared" si="10"/>
        <v>5489.4195396296218</v>
      </c>
      <c r="F96" s="12">
        <f t="shared" si="15"/>
        <v>1690.7095448138609</v>
      </c>
      <c r="G96" s="12">
        <f t="shared" si="15"/>
        <v>208.96410104441</v>
      </c>
      <c r="H96" s="9"/>
      <c r="I96" s="12">
        <f t="shared" si="12"/>
        <v>639.68711499060726</v>
      </c>
      <c r="J96" s="12">
        <f t="shared" si="13"/>
        <v>148.8366157906456</v>
      </c>
      <c r="K96" s="12">
        <f t="shared" si="14"/>
        <v>18.395536783113521</v>
      </c>
    </row>
    <row r="97" spans="2:11" x14ac:dyDescent="0.25">
      <c r="B97" s="10">
        <v>93</v>
      </c>
      <c r="C97" s="11">
        <v>43984</v>
      </c>
      <c r="D97" s="12">
        <f t="shared" si="9"/>
        <v>184702.31945370475</v>
      </c>
      <c r="E97" s="12">
        <f t="shared" si="10"/>
        <v>6004.0262491159383</v>
      </c>
      <c r="F97" s="12">
        <f t="shared" si="15"/>
        <v>1853.5623244895396</v>
      </c>
      <c r="G97" s="12">
        <f t="shared" si="15"/>
        <v>229.09197268971863</v>
      </c>
      <c r="H97" s="9"/>
      <c r="I97" s="12">
        <f t="shared" si="12"/>
        <v>697.58736080730444</v>
      </c>
      <c r="J97" s="12">
        <f t="shared" si="13"/>
        <v>162.85277967567876</v>
      </c>
      <c r="K97" s="12">
        <f t="shared" si="14"/>
        <v>20.12787164530863</v>
      </c>
    </row>
    <row r="98" spans="2:11" x14ac:dyDescent="0.25">
      <c r="B98" s="10">
        <v>94</v>
      </c>
      <c r="C98" s="11">
        <v>43985</v>
      </c>
      <c r="D98" s="12">
        <f t="shared" si="9"/>
        <v>183942.12798236677</v>
      </c>
      <c r="E98" s="12">
        <f t="shared" si="10"/>
        <v>6564.0835121500613</v>
      </c>
      <c r="F98" s="12">
        <f t="shared" si="15"/>
        <v>2031.6817698799791</v>
      </c>
      <c r="G98" s="12">
        <f t="shared" si="15"/>
        <v>251.10673560314376</v>
      </c>
      <c r="H98" s="9"/>
      <c r="I98" s="12">
        <f t="shared" si="12"/>
        <v>760.19147133798788</v>
      </c>
      <c r="J98" s="12">
        <f t="shared" si="13"/>
        <v>178.11944539043949</v>
      </c>
      <c r="K98" s="12">
        <f t="shared" si="14"/>
        <v>22.014762913425127</v>
      </c>
    </row>
    <row r="99" spans="2:11" x14ac:dyDescent="0.25">
      <c r="B99" s="10">
        <v>95</v>
      </c>
      <c r="C99" s="11">
        <v>43986</v>
      </c>
      <c r="D99" s="12">
        <f t="shared" si="9"/>
        <v>183114.35162152155</v>
      </c>
      <c r="E99" s="12">
        <f t="shared" si="10"/>
        <v>7173.0570892569485</v>
      </c>
      <c r="F99" s="12">
        <f t="shared" si="15"/>
        <v>2226.4162474070977</v>
      </c>
      <c r="G99" s="12">
        <f t="shared" si="15"/>
        <v>275.17504181436067</v>
      </c>
      <c r="H99" s="9"/>
      <c r="I99" s="12">
        <f t="shared" si="12"/>
        <v>827.77636084522226</v>
      </c>
      <c r="J99" s="12">
        <f t="shared" si="13"/>
        <v>194.73447752711846</v>
      </c>
      <c r="K99" s="12">
        <f t="shared" si="14"/>
        <v>24.068306211216914</v>
      </c>
    </row>
    <row r="100" spans="2:11" x14ac:dyDescent="0.25">
      <c r="B100" s="10">
        <v>96</v>
      </c>
      <c r="C100" s="11">
        <v>43987</v>
      </c>
      <c r="D100" s="12">
        <f t="shared" si="9"/>
        <v>182213.73765169681</v>
      </c>
      <c r="E100" s="12">
        <f t="shared" si="10"/>
        <v>7834.5691561064468</v>
      </c>
      <c r="F100" s="12">
        <f t="shared" si="15"/>
        <v>2439.2169410550537</v>
      </c>
      <c r="G100" s="12">
        <f t="shared" si="15"/>
        <v>301.47625114163617</v>
      </c>
      <c r="H100" s="9"/>
      <c r="I100" s="12">
        <f t="shared" si="12"/>
        <v>900.61396982473013</v>
      </c>
      <c r="J100" s="12">
        <f t="shared" si="13"/>
        <v>212.80069364795611</v>
      </c>
      <c r="K100" s="12">
        <f t="shared" si="14"/>
        <v>26.301209327275501</v>
      </c>
    </row>
    <row r="101" spans="2:11" x14ac:dyDescent="0.25">
      <c r="B101" s="10">
        <v>97</v>
      </c>
      <c r="C101" s="11">
        <v>43988</v>
      </c>
      <c r="D101" s="12">
        <f t="shared" si="9"/>
        <v>181234.77171491878</v>
      </c>
      <c r="E101" s="12">
        <f t="shared" si="10"/>
        <v>8552.3827876809119</v>
      </c>
      <c r="F101" s="12">
        <f t="shared" si="15"/>
        <v>2671.6424926862114</v>
      </c>
      <c r="G101" s="12">
        <f t="shared" si="15"/>
        <v>330.20300471402652</v>
      </c>
      <c r="H101" s="9"/>
      <c r="I101" s="12">
        <f t="shared" si="12"/>
        <v>978.96593677801241</v>
      </c>
      <c r="J101" s="12">
        <f t="shared" si="13"/>
        <v>232.4255516311579</v>
      </c>
      <c r="K101" s="12">
        <f t="shared" si="14"/>
        <v>28.726753572390333</v>
      </c>
    </row>
    <row r="102" spans="2:11" x14ac:dyDescent="0.25">
      <c r="B102" s="10">
        <v>98</v>
      </c>
      <c r="C102" s="11">
        <v>43989</v>
      </c>
      <c r="D102" s="12">
        <f t="shared" si="9"/>
        <v>180171.69447471338</v>
      </c>
      <c r="E102" s="12">
        <f t="shared" si="10"/>
        <v>9330.3806016302897</v>
      </c>
      <c r="F102" s="12">
        <f t="shared" ref="F102:G117" si="16">F101+J102</f>
        <v>2925.3631820540786</v>
      </c>
      <c r="G102" s="12">
        <f t="shared" si="16"/>
        <v>361.5617416021899</v>
      </c>
      <c r="H102" s="9"/>
      <c r="I102" s="12">
        <f t="shared" si="12"/>
        <v>1063.0772402054083</v>
      </c>
      <c r="J102" s="12">
        <f t="shared" si="13"/>
        <v>253.72068936786704</v>
      </c>
      <c r="K102" s="12">
        <f t="shared" si="14"/>
        <v>31.358736888163371</v>
      </c>
    </row>
    <row r="103" spans="2:11" x14ac:dyDescent="0.25">
      <c r="B103" s="10">
        <v>99</v>
      </c>
      <c r="C103" s="11">
        <v>43990</v>
      </c>
      <c r="D103" s="12">
        <f t="shared" si="9"/>
        <v>179018.52574900459</v>
      </c>
      <c r="E103" s="12">
        <f t="shared" si="10"/>
        <v>10172.536640618073</v>
      </c>
      <c r="F103" s="12">
        <f t="shared" si="16"/>
        <v>3202.1644732357772</v>
      </c>
      <c r="G103" s="12">
        <f t="shared" si="16"/>
        <v>395.77313714150097</v>
      </c>
      <c r="H103" s="9"/>
      <c r="I103" s="12">
        <f t="shared" si="12"/>
        <v>1153.1687257087917</v>
      </c>
      <c r="J103" s="12">
        <f t="shared" si="13"/>
        <v>276.80129118169856</v>
      </c>
      <c r="K103" s="12">
        <f t="shared" si="14"/>
        <v>34.211395539311091</v>
      </c>
    </row>
    <row r="104" spans="2:11" x14ac:dyDescent="0.25">
      <c r="B104" s="10">
        <v>100</v>
      </c>
      <c r="C104" s="11">
        <v>43991</v>
      </c>
      <c r="D104" s="12">
        <f t="shared" si="9"/>
        <v>177769.09729679892</v>
      </c>
      <c r="E104" s="12">
        <f t="shared" si="10"/>
        <v>11082.880538136475</v>
      </c>
      <c r="F104" s="12">
        <f t="shared" si="16"/>
        <v>3503.9497269074468</v>
      </c>
      <c r="G104" s="12">
        <f t="shared" si="16"/>
        <v>433.07243815710058</v>
      </c>
      <c r="H104" s="9"/>
      <c r="I104" s="12">
        <f t="shared" si="12"/>
        <v>1249.4284522056705</v>
      </c>
      <c r="J104" s="12">
        <f t="shared" si="13"/>
        <v>301.78525367166947</v>
      </c>
      <c r="K104" s="12">
        <f t="shared" si="14"/>
        <v>37.299301015599639</v>
      </c>
    </row>
    <row r="105" spans="2:11" x14ac:dyDescent="0.25">
      <c r="B105" s="10">
        <v>101</v>
      </c>
      <c r="C105" s="11">
        <v>43992</v>
      </c>
      <c r="D105" s="12">
        <f t="shared" si="9"/>
        <v>176417.09547618189</v>
      </c>
      <c r="E105" s="12">
        <f t="shared" si="10"/>
        <v>12065.453007482278</v>
      </c>
      <c r="F105" s="12">
        <f t="shared" si="16"/>
        <v>3832.7418495388288</v>
      </c>
      <c r="G105" s="12">
        <f t="shared" si="16"/>
        <v>473.70966679693436</v>
      </c>
      <c r="H105" s="9"/>
      <c r="I105" s="12">
        <f t="shared" si="12"/>
        <v>1352.0018206170207</v>
      </c>
      <c r="J105" s="12">
        <f t="shared" si="13"/>
        <v>328.79212263138203</v>
      </c>
      <c r="K105" s="12">
        <f t="shared" si="14"/>
        <v>40.637228639833779</v>
      </c>
    </row>
    <row r="106" spans="2:11" x14ac:dyDescent="0.25">
      <c r="B106" s="10">
        <v>102</v>
      </c>
      <c r="C106" s="11">
        <v>43993</v>
      </c>
      <c r="D106" s="12">
        <f t="shared" si="9"/>
        <v>174956.11498608391</v>
      </c>
      <c r="E106" s="12">
        <f t="shared" si="10"/>
        <v>13124.251730664188</v>
      </c>
      <c r="F106" s="12">
        <f t="shared" si="16"/>
        <v>4190.6836220941359</v>
      </c>
      <c r="G106" s="12">
        <f t="shared" si="16"/>
        <v>517.94966115770274</v>
      </c>
      <c r="H106" s="9"/>
      <c r="I106" s="12">
        <f t="shared" si="12"/>
        <v>1460.9804900979843</v>
      </c>
      <c r="J106" s="12">
        <f t="shared" si="13"/>
        <v>357.94177255530752</v>
      </c>
      <c r="K106" s="12">
        <f t="shared" si="14"/>
        <v>44.239994360768392</v>
      </c>
    </row>
    <row r="107" spans="2:11" x14ac:dyDescent="0.25">
      <c r="B107" s="10">
        <v>103</v>
      </c>
      <c r="C107" s="11">
        <v>43994</v>
      </c>
      <c r="D107" s="12">
        <f t="shared" si="9"/>
        <v>173379.72484314675</v>
      </c>
      <c r="E107" s="12">
        <f t="shared" si="10"/>
        <v>14263.166815912535</v>
      </c>
      <c r="F107" s="12">
        <f t="shared" si="16"/>
        <v>4580.0364234371737</v>
      </c>
      <c r="G107" s="12">
        <f t="shared" si="16"/>
        <v>566.07191750347147</v>
      </c>
      <c r="H107" s="9"/>
      <c r="I107" s="12">
        <f t="shared" si="12"/>
        <v>1576.3901429371529</v>
      </c>
      <c r="J107" s="12">
        <f t="shared" si="13"/>
        <v>389.35280134303753</v>
      </c>
      <c r="K107" s="12">
        <f t="shared" si="14"/>
        <v>48.122256345768733</v>
      </c>
    </row>
    <row r="108" spans="2:11" x14ac:dyDescent="0.25">
      <c r="B108" s="10">
        <v>104</v>
      </c>
      <c r="C108" s="11">
        <v>43995</v>
      </c>
      <c r="D108" s="12">
        <f t="shared" si="9"/>
        <v>171681.54761182654</v>
      </c>
      <c r="E108" s="12">
        <f t="shared" si="10"/>
        <v>15485.905153368985</v>
      </c>
      <c r="F108" s="12">
        <f t="shared" si="16"/>
        <v>5003.1770389759122</v>
      </c>
      <c r="G108" s="12">
        <f t="shared" si="16"/>
        <v>618.37019582848416</v>
      </c>
      <c r="H108" s="9"/>
      <c r="I108" s="12">
        <f t="shared" si="12"/>
        <v>1698.1772313202005</v>
      </c>
      <c r="J108" s="12">
        <f t="shared" si="13"/>
        <v>423.14061553873847</v>
      </c>
      <c r="K108" s="12">
        <f t="shared" si="14"/>
        <v>52.298278325012674</v>
      </c>
    </row>
    <row r="109" spans="2:11" x14ac:dyDescent="0.25">
      <c r="B109" s="10">
        <v>105</v>
      </c>
      <c r="C109" s="11">
        <v>43996</v>
      </c>
      <c r="D109" s="12">
        <f t="shared" si="9"/>
        <v>169855.35268359809</v>
      </c>
      <c r="E109" s="12">
        <f t="shared" si="10"/>
        <v>16795.903243151806</v>
      </c>
      <c r="F109" s="12">
        <f t="shared" si="16"/>
        <v>5462.5922251925258</v>
      </c>
      <c r="G109" s="12">
        <f t="shared" si="16"/>
        <v>675.1518480575038</v>
      </c>
      <c r="H109" s="9"/>
      <c r="I109" s="12">
        <f t="shared" si="12"/>
        <v>1826.1949282284552</v>
      </c>
      <c r="J109" s="12">
        <f t="shared" si="13"/>
        <v>459.41518621661322</v>
      </c>
      <c r="K109" s="12">
        <f t="shared" si="14"/>
        <v>56.781652229019663</v>
      </c>
    </row>
    <row r="110" spans="2:11" x14ac:dyDescent="0.25">
      <c r="B110" s="10">
        <v>106</v>
      </c>
      <c r="C110" s="11">
        <v>43997</v>
      </c>
      <c r="D110" s="12">
        <f t="shared" si="9"/>
        <v>167895.16407287991</v>
      </c>
      <c r="E110" s="12">
        <f t="shared" si="10"/>
        <v>18196.228412431585</v>
      </c>
      <c r="F110" s="12">
        <f t="shared" si="16"/>
        <v>5960.8706880726959</v>
      </c>
      <c r="G110" s="12">
        <f t="shared" si="16"/>
        <v>736.73682661572718</v>
      </c>
      <c r="H110" s="9"/>
      <c r="I110" s="12">
        <f t="shared" si="12"/>
        <v>1960.1886107181745</v>
      </c>
      <c r="J110" s="12">
        <f t="shared" si="13"/>
        <v>498.2784628801702</v>
      </c>
      <c r="K110" s="12">
        <f t="shared" si="14"/>
        <v>61.584978558223348</v>
      </c>
    </row>
    <row r="111" spans="2:11" x14ac:dyDescent="0.25">
      <c r="B111" s="10">
        <v>107</v>
      </c>
      <c r="C111" s="11">
        <v>43998</v>
      </c>
      <c r="D111" s="12">
        <f t="shared" si="9"/>
        <v>165795.38274788079</v>
      </c>
      <c r="E111" s="12">
        <f t="shared" si="10"/>
        <v>19689.46879034966</v>
      </c>
      <c r="F111" s="12">
        <f t="shared" si="16"/>
        <v>6500.6921309748332</v>
      </c>
      <c r="G111" s="12">
        <f t="shared" si="16"/>
        <v>803.45633079464301</v>
      </c>
      <c r="H111" s="9"/>
      <c r="I111" s="12">
        <f t="shared" si="12"/>
        <v>2099.7813249991268</v>
      </c>
      <c r="J111" s="12">
        <f t="shared" si="13"/>
        <v>539.82144290213694</v>
      </c>
      <c r="K111" s="12">
        <f t="shared" si="14"/>
        <v>66.719504178915869</v>
      </c>
    </row>
    <row r="112" spans="2:11" x14ac:dyDescent="0.25">
      <c r="B112" s="10">
        <v>108</v>
      </c>
      <c r="C112" s="11">
        <v>43999</v>
      </c>
      <c r="D112" s="12">
        <f t="shared" si="9"/>
        <v>163550.92293263212</v>
      </c>
      <c r="E112" s="12">
        <f t="shared" si="10"/>
        <v>21277.612979253336</v>
      </c>
      <c r="F112" s="12">
        <f t="shared" si="16"/>
        <v>7084.813038421873</v>
      </c>
      <c r="G112" s="12">
        <f t="shared" si="16"/>
        <v>875.65104969259187</v>
      </c>
      <c r="H112" s="9"/>
      <c r="I112" s="12">
        <f t="shared" si="12"/>
        <v>2244.4598152486637</v>
      </c>
      <c r="J112" s="12">
        <f t="shared" si="13"/>
        <v>584.12090744703994</v>
      </c>
      <c r="K112" s="12">
        <f t="shared" si="14"/>
        <v>72.194718897948817</v>
      </c>
    </row>
    <row r="113" spans="2:11" x14ac:dyDescent="0.25">
      <c r="B113" s="10">
        <v>109</v>
      </c>
      <c r="C113" s="11">
        <v>44000</v>
      </c>
      <c r="D113" s="12">
        <f t="shared" si="9"/>
        <v>161157.36109721809</v>
      </c>
      <c r="E113" s="12">
        <f t="shared" si="10"/>
        <v>22961.921048692257</v>
      </c>
      <c r="F113" s="12">
        <f t="shared" si="16"/>
        <v>7716.0488901397221</v>
      </c>
      <c r="G113" s="12">
        <f t="shared" si="16"/>
        <v>953.66896394985417</v>
      </c>
      <c r="H113" s="9"/>
      <c r="I113" s="12">
        <f t="shared" si="12"/>
        <v>2393.5618354140306</v>
      </c>
      <c r="J113" s="12">
        <f t="shared" si="13"/>
        <v>631.23585171784885</v>
      </c>
      <c r="K113" s="12">
        <f t="shared" si="14"/>
        <v>78.017914257262291</v>
      </c>
    </row>
    <row r="114" spans="2:11" x14ac:dyDescent="0.25">
      <c r="B114" s="10">
        <v>110</v>
      </c>
      <c r="C114" s="11">
        <v>44001</v>
      </c>
      <c r="D114" s="12">
        <f t="shared" si="9"/>
        <v>158611.09550152885</v>
      </c>
      <c r="E114" s="12">
        <f t="shared" si="10"/>
        <v>24742.789276091742</v>
      </c>
      <c r="F114" s="12">
        <f t="shared" si="16"/>
        <v>8397.2525479175929</v>
      </c>
      <c r="G114" s="12">
        <f t="shared" si="16"/>
        <v>1037.8626744617259</v>
      </c>
      <c r="H114" s="9"/>
      <c r="I114" s="12">
        <f t="shared" si="12"/>
        <v>2546.2655956892277</v>
      </c>
      <c r="J114" s="12">
        <f t="shared" si="13"/>
        <v>681.20365777787026</v>
      </c>
      <c r="K114" s="12">
        <f t="shared" si="14"/>
        <v>84.193710511871672</v>
      </c>
    </row>
    <row r="115" spans="2:11" x14ac:dyDescent="0.25">
      <c r="B115" s="10">
        <v>111</v>
      </c>
      <c r="C115" s="11">
        <v>44002</v>
      </c>
      <c r="D115" s="12">
        <f t="shared" si="9"/>
        <v>155909.51319166232</v>
      </c>
      <c r="E115" s="12">
        <f t="shared" si="10"/>
        <v>26619.611943421871</v>
      </c>
      <c r="F115" s="12">
        <f t="shared" si="16"/>
        <v>9131.288629774981</v>
      </c>
      <c r="G115" s="12">
        <f t="shared" si="16"/>
        <v>1128.5862351407291</v>
      </c>
      <c r="H115" s="9"/>
      <c r="I115" s="12">
        <f t="shared" si="12"/>
        <v>2701.5823098665201</v>
      </c>
      <c r="J115" s="12">
        <f t="shared" si="13"/>
        <v>734.03608185738824</v>
      </c>
      <c r="K115" s="12">
        <f t="shared" si="14"/>
        <v>90.723560679003143</v>
      </c>
    </row>
    <row r="116" spans="2:11" x14ac:dyDescent="0.25">
      <c r="B116" s="10">
        <v>112</v>
      </c>
      <c r="C116" s="11">
        <v>44003</v>
      </c>
      <c r="D116" s="12">
        <f t="shared" si="9"/>
        <v>153051.16030153711</v>
      </c>
      <c r="E116" s="12">
        <f t="shared" si="10"/>
        <v>28590.644435433038</v>
      </c>
      <c r="F116" s="12">
        <f t="shared" si="16"/>
        <v>9921.003784096496</v>
      </c>
      <c r="G116" s="12">
        <f t="shared" si="16"/>
        <v>1226.1914789332759</v>
      </c>
      <c r="H116" s="9"/>
      <c r="I116" s="12">
        <f t="shared" si="12"/>
        <v>2858.3528901252266</v>
      </c>
      <c r="J116" s="12">
        <f t="shared" si="13"/>
        <v>789.71515432151534</v>
      </c>
      <c r="K116" s="12">
        <f t="shared" si="14"/>
        <v>97.605243792546943</v>
      </c>
    </row>
    <row r="117" spans="2:11" x14ac:dyDescent="0.25">
      <c r="B117" s="10">
        <v>113</v>
      </c>
      <c r="C117" s="11">
        <v>44004</v>
      </c>
      <c r="D117" s="12">
        <f t="shared" si="9"/>
        <v>150035.91043822543</v>
      </c>
      <c r="E117" s="12">
        <f t="shared" si="10"/>
        <v>30652.872817563606</v>
      </c>
      <c r="F117" s="12">
        <f t="shared" si="16"/>
        <v>10769.192902347677</v>
      </c>
      <c r="G117" s="12">
        <f t="shared" si="16"/>
        <v>1331.023841863197</v>
      </c>
      <c r="H117" s="9"/>
      <c r="I117" s="12">
        <f t="shared" si="12"/>
        <v>3015.2498633116707</v>
      </c>
      <c r="J117" s="12">
        <f t="shared" si="13"/>
        <v>848.18911825118005</v>
      </c>
      <c r="K117" s="12">
        <f t="shared" si="14"/>
        <v>104.83236292992123</v>
      </c>
    </row>
    <row r="118" spans="2:11" x14ac:dyDescent="0.25">
      <c r="B118" s="10">
        <v>114</v>
      </c>
      <c r="C118" s="11">
        <v>44005</v>
      </c>
      <c r="D118" s="12">
        <f t="shared" si="9"/>
        <v>146865.12490064625</v>
      </c>
      <c r="E118" s="12">
        <f t="shared" si="10"/>
        <v>32801.895927890655</v>
      </c>
      <c r="F118" s="12">
        <f t="shared" ref="F118:G133" si="17">F117+J118</f>
        <v>11678.561462602063</v>
      </c>
      <c r="G118" s="12">
        <f t="shared" si="17"/>
        <v>1443.4177088609304</v>
      </c>
      <c r="H118" s="9"/>
      <c r="I118" s="12">
        <f t="shared" si="12"/>
        <v>3170.7855375791733</v>
      </c>
      <c r="J118" s="12">
        <f t="shared" si="13"/>
        <v>909.36856025438681</v>
      </c>
      <c r="K118" s="12">
        <f t="shared" si="14"/>
        <v>112.39386699773333</v>
      </c>
    </row>
    <row r="119" spans="2:11" x14ac:dyDescent="0.25">
      <c r="B119" s="10">
        <v>115</v>
      </c>
      <c r="C119" s="11">
        <v>44006</v>
      </c>
      <c r="D119" s="12">
        <f t="shared" si="9"/>
        <v>143541.79758895058</v>
      </c>
      <c r="E119" s="12">
        <f t="shared" si="10"/>
        <v>35031.826708656619</v>
      </c>
      <c r="F119" s="12">
        <f t="shared" si="17"/>
        <v>12651.684375129485</v>
      </c>
      <c r="G119" s="12">
        <f t="shared" si="17"/>
        <v>1563.6913272631962</v>
      </c>
      <c r="H119" s="9"/>
      <c r="I119" s="12">
        <f t="shared" si="12"/>
        <v>3323.3273116956589</v>
      </c>
      <c r="J119" s="12">
        <f t="shared" si="13"/>
        <v>973.12291252742261</v>
      </c>
      <c r="K119" s="12">
        <f t="shared" si="14"/>
        <v>120.27361840226584</v>
      </c>
    </row>
    <row r="120" spans="2:11" x14ac:dyDescent="0.25">
      <c r="B120" s="10">
        <v>116</v>
      </c>
      <c r="C120" s="11">
        <v>44007</v>
      </c>
      <c r="D120" s="12">
        <f t="shared" si="9"/>
        <v>140070.67681220645</v>
      </c>
      <c r="E120" s="12">
        <f t="shared" si="10"/>
        <v>37335.21992844552</v>
      </c>
      <c r="F120" s="12">
        <f t="shared" si="17"/>
        <v>13690.961900819631</v>
      </c>
      <c r="G120" s="12">
        <f t="shared" si="17"/>
        <v>1692.1413585282705</v>
      </c>
      <c r="H120" s="9"/>
      <c r="I120" s="12">
        <f t="shared" si="12"/>
        <v>3471.1207767441206</v>
      </c>
      <c r="J120" s="12">
        <f t="shared" si="13"/>
        <v>1039.2775256901464</v>
      </c>
      <c r="K120" s="12">
        <f t="shared" si="14"/>
        <v>128.45003126507439</v>
      </c>
    </row>
    <row r="121" spans="2:11" x14ac:dyDescent="0.25">
      <c r="B121" s="10">
        <v>117</v>
      </c>
      <c r="C121" s="11">
        <v>44008</v>
      </c>
      <c r="D121" s="12">
        <f t="shared" si="9"/>
        <v>136458.35590794694</v>
      </c>
      <c r="E121" s="12">
        <f t="shared" si="10"/>
        <v>39703.033501756843</v>
      </c>
      <c r="F121" s="12">
        <f t="shared" si="17"/>
        <v>14798.573425363515</v>
      </c>
      <c r="G121" s="12">
        <f t="shared" si="17"/>
        <v>1829.0371649325709</v>
      </c>
      <c r="H121" s="9"/>
      <c r="I121" s="12">
        <f t="shared" si="12"/>
        <v>3612.3209042595099</v>
      </c>
      <c r="J121" s="12">
        <f t="shared" si="13"/>
        <v>1107.6115245438837</v>
      </c>
      <c r="K121" s="12">
        <f t="shared" si="14"/>
        <v>136.89580640430037</v>
      </c>
    </row>
    <row r="122" spans="2:11" x14ac:dyDescent="0.25">
      <c r="B122" s="10">
        <v>118</v>
      </c>
      <c r="C122" s="11">
        <v>44009</v>
      </c>
      <c r="D122" s="12">
        <f t="shared" si="9"/>
        <v>132713.3247577413</v>
      </c>
      <c r="E122" s="12">
        <f t="shared" si="10"/>
        <v>42124.630201903936</v>
      </c>
      <c r="F122" s="12">
        <f t="shared" si="17"/>
        <v>15976.430085915634</v>
      </c>
      <c r="G122" s="12">
        <f t="shared" si="17"/>
        <v>1974.6149544390128</v>
      </c>
      <c r="H122" s="9"/>
      <c r="I122" s="12">
        <f t="shared" si="12"/>
        <v>3745.031150205647</v>
      </c>
      <c r="J122" s="12">
        <f t="shared" si="13"/>
        <v>1177.8566605521196</v>
      </c>
      <c r="K122" s="12">
        <f t="shared" si="14"/>
        <v>145.57778950644189</v>
      </c>
    </row>
    <row r="123" spans="2:11" x14ac:dyDescent="0.25">
      <c r="B123" s="10">
        <v>119</v>
      </c>
      <c r="C123" s="11">
        <v>44010</v>
      </c>
      <c r="D123" s="12">
        <f t="shared" si="9"/>
        <v>128845.97500862555</v>
      </c>
      <c r="E123" s="12">
        <f t="shared" si="10"/>
        <v>44587.825610956206</v>
      </c>
      <c r="F123" s="12">
        <f t="shared" si="17"/>
        <v>17226.127448572119</v>
      </c>
      <c r="G123" s="12">
        <f t="shared" si="17"/>
        <v>2129.0719318459942</v>
      </c>
      <c r="H123" s="9"/>
      <c r="I123" s="12">
        <f t="shared" si="12"/>
        <v>3867.3497491157432</v>
      </c>
      <c r="J123" s="12">
        <f t="shared" si="13"/>
        <v>1249.6973626564834</v>
      </c>
      <c r="K123" s="12">
        <f t="shared" si="14"/>
        <v>154.45697740698125</v>
      </c>
    </row>
    <row r="124" spans="2:11" x14ac:dyDescent="0.25">
      <c r="B124" s="10">
        <v>120</v>
      </c>
      <c r="C124" s="11">
        <v>44011</v>
      </c>
      <c r="D124" s="12">
        <f t="shared" si="9"/>
        <v>124868.55314667977</v>
      </c>
      <c r="E124" s="12">
        <f t="shared" si="10"/>
        <v>47078.986619203439</v>
      </c>
      <c r="F124" s="12">
        <f t="shared" si="17"/>
        <v>18548.899608363819</v>
      </c>
      <c r="G124" s="12">
        <f t="shared" si="17"/>
        <v>2292.5606257528339</v>
      </c>
      <c r="H124" s="9"/>
      <c r="I124" s="12">
        <f t="shared" si="12"/>
        <v>3977.4218619457779</v>
      </c>
      <c r="J124" s="12">
        <f t="shared" si="13"/>
        <v>1322.7721597917007</v>
      </c>
      <c r="K124" s="12">
        <f t="shared" si="14"/>
        <v>163.48869390683959</v>
      </c>
    </row>
    <row r="125" spans="2:11" x14ac:dyDescent="0.25">
      <c r="B125" s="10">
        <v>121</v>
      </c>
      <c r="C125" s="13">
        <v>44012</v>
      </c>
      <c r="D125" s="12">
        <f t="shared" si="9"/>
        <v>120795.05752129042</v>
      </c>
      <c r="E125" s="12">
        <f t="shared" si="10"/>
        <v>49583.182690619338</v>
      </c>
      <c r="F125" s="12">
        <f t="shared" si="17"/>
        <v>19945.576211400188</v>
      </c>
      <c r="G125" s="12">
        <f t="shared" si="17"/>
        <v>2465.1835766899135</v>
      </c>
      <c r="H125" s="9"/>
      <c r="I125" s="12">
        <f t="shared" si="12"/>
        <v>4073.4956253893433</v>
      </c>
      <c r="J125" s="12">
        <f t="shared" si="13"/>
        <v>1396.6766030363685</v>
      </c>
      <c r="K125" s="12">
        <f t="shared" si="14"/>
        <v>172.62295093707945</v>
      </c>
    </row>
    <row r="126" spans="2:11" x14ac:dyDescent="0.25">
      <c r="B126" s="10">
        <v>122</v>
      </c>
      <c r="C126" s="11">
        <v>44013</v>
      </c>
      <c r="D126" s="12">
        <f t="shared" si="9"/>
        <v>116641.07792827803</v>
      </c>
      <c r="E126" s="12">
        <f t="shared" si="10"/>
        <v>52084.389527277744</v>
      </c>
      <c r="F126" s="12">
        <f t="shared" si="17"/>
        <v>21416.543964555229</v>
      </c>
      <c r="G126" s="12">
        <f t="shared" si="17"/>
        <v>2646.9885798888513</v>
      </c>
      <c r="H126" s="9"/>
      <c r="I126" s="12">
        <f t="shared" si="12"/>
        <v>4153.979593012391</v>
      </c>
      <c r="J126" s="12">
        <f t="shared" si="13"/>
        <v>1470.9677531550403</v>
      </c>
      <c r="K126" s="12">
        <f t="shared" si="14"/>
        <v>181.80500319893773</v>
      </c>
    </row>
    <row r="127" spans="2:11" x14ac:dyDescent="0.25">
      <c r="B127" s="10">
        <v>123</v>
      </c>
      <c r="C127" s="11">
        <v>44014</v>
      </c>
      <c r="D127" s="12">
        <f t="shared" si="9"/>
        <v>112423.57929877043</v>
      </c>
      <c r="E127" s="12">
        <f t="shared" si="10"/>
        <v>54565.741839209419</v>
      </c>
      <c r="F127" s="12">
        <f t="shared" si="17"/>
        <v>22961.714187197802</v>
      </c>
      <c r="G127" s="12">
        <f t="shared" si="17"/>
        <v>2837.9646748222031</v>
      </c>
      <c r="H127" s="9"/>
      <c r="I127" s="12">
        <f t="shared" si="12"/>
        <v>4217.4986295075914</v>
      </c>
      <c r="J127" s="12">
        <f t="shared" si="13"/>
        <v>1545.170222642573</v>
      </c>
      <c r="K127" s="12">
        <f t="shared" si="14"/>
        <v>190.9760949333519</v>
      </c>
    </row>
    <row r="128" spans="2:11" x14ac:dyDescent="0.25">
      <c r="B128" s="10">
        <v>124</v>
      </c>
      <c r="C128" s="11">
        <v>44015</v>
      </c>
      <c r="D128" s="12">
        <f t="shared" si="9"/>
        <v>108160.6342127989</v>
      </c>
      <c r="E128" s="12">
        <f t="shared" si="10"/>
        <v>57009.828863873961</v>
      </c>
      <c r="F128" s="12">
        <f t="shared" si="17"/>
        <v>24580.497861761014</v>
      </c>
      <c r="G128" s="12">
        <f t="shared" si="17"/>
        <v>3038.0390615659712</v>
      </c>
      <c r="H128" s="9"/>
      <c r="I128" s="12">
        <f t="shared" si="12"/>
        <v>4262.9450859715307</v>
      </c>
      <c r="J128" s="12">
        <f t="shared" si="13"/>
        <v>1618.7836745632126</v>
      </c>
      <c r="K128" s="12">
        <f t="shared" si="14"/>
        <v>200.07438674376806</v>
      </c>
    </row>
    <row r="129" spans="2:11" x14ac:dyDescent="0.25">
      <c r="B129" s="10">
        <v>125</v>
      </c>
      <c r="C129" s="11">
        <v>44016</v>
      </c>
      <c r="D129" s="12">
        <f t="shared" si="9"/>
        <v>103871.11211244436</v>
      </c>
      <c r="E129" s="12">
        <f t="shared" si="10"/>
        <v>59399.023335432721</v>
      </c>
      <c r="F129" s="12">
        <f t="shared" si="17"/>
        <v>26271.789451389275</v>
      </c>
      <c r="G129" s="12">
        <f t="shared" si="17"/>
        <v>3247.0751007335093</v>
      </c>
      <c r="H129" s="9"/>
      <c r="I129" s="12">
        <f t="shared" si="12"/>
        <v>4289.5221003545512</v>
      </c>
      <c r="J129" s="12">
        <f t="shared" si="13"/>
        <v>1691.2915896282607</v>
      </c>
      <c r="K129" s="12">
        <f t="shared" si="14"/>
        <v>209.03603916753804</v>
      </c>
    </row>
    <row r="130" spans="2:11" x14ac:dyDescent="0.25">
      <c r="B130" s="10">
        <v>126</v>
      </c>
      <c r="C130" s="11">
        <v>44017</v>
      </c>
      <c r="D130" s="12">
        <f t="shared" si="9"/>
        <v>99574.335949339045</v>
      </c>
      <c r="E130" s="12">
        <f t="shared" si="10"/>
        <v>61715.832054023616</v>
      </c>
      <c r="F130" s="12">
        <f t="shared" si="17"/>
        <v>28033.960477007113</v>
      </c>
      <c r="G130" s="12">
        <f t="shared" si="17"/>
        <v>3464.8715196300964</v>
      </c>
      <c r="H130" s="9"/>
      <c r="I130" s="12">
        <f t="shared" si="12"/>
        <v>4296.7761631053118</v>
      </c>
      <c r="J130" s="12">
        <f t="shared" si="13"/>
        <v>1762.1710256178371</v>
      </c>
      <c r="K130" s="12">
        <f t="shared" si="14"/>
        <v>217.79641889658686</v>
      </c>
    </row>
    <row r="131" spans="2:11" x14ac:dyDescent="0.25">
      <c r="B131" s="10">
        <v>127</v>
      </c>
      <c r="C131" s="11">
        <v>44018</v>
      </c>
      <c r="D131" s="12">
        <f t="shared" si="9"/>
        <v>95289.719288145585</v>
      </c>
      <c r="E131" s="12">
        <f t="shared" si="10"/>
        <v>63943.254313416292</v>
      </c>
      <c r="F131" s="12">
        <f t="shared" si="17"/>
        <v>29864.863494609814</v>
      </c>
      <c r="G131" s="12">
        <f t="shared" si="17"/>
        <v>3691.1629038281831</v>
      </c>
      <c r="H131" s="9"/>
      <c r="I131" s="12">
        <f t="shared" si="12"/>
        <v>4284.6166611934632</v>
      </c>
      <c r="J131" s="12">
        <f t="shared" si="13"/>
        <v>1830.9030176027004</v>
      </c>
      <c r="K131" s="12">
        <f t="shared" si="14"/>
        <v>226.29138419808677</v>
      </c>
    </row>
    <row r="132" spans="2:11" x14ac:dyDescent="0.25">
      <c r="B132" s="10">
        <v>128</v>
      </c>
      <c r="C132" s="11">
        <v>44019</v>
      </c>
      <c r="D132" s="12">
        <f t="shared" si="9"/>
        <v>91036.398362506356</v>
      </c>
      <c r="E132" s="12">
        <f t="shared" si="10"/>
        <v>66065.1334286083</v>
      </c>
      <c r="F132" s="12">
        <f t="shared" si="17"/>
        <v>31761.846705907828</v>
      </c>
      <c r="G132" s="12">
        <f t="shared" si="17"/>
        <v>3925.6215029773762</v>
      </c>
      <c r="H132" s="9"/>
      <c r="I132" s="12">
        <f t="shared" si="12"/>
        <v>4253.3209256392256</v>
      </c>
      <c r="J132" s="12">
        <f t="shared" si="13"/>
        <v>1896.9832112980164</v>
      </c>
      <c r="K132" s="12">
        <f t="shared" si="14"/>
        <v>234.45859914919328</v>
      </c>
    </row>
    <row r="133" spans="2:11" x14ac:dyDescent="0.25">
      <c r="B133" s="10">
        <v>129</v>
      </c>
      <c r="C133" s="11">
        <v>44020</v>
      </c>
      <c r="D133" s="12">
        <f t="shared" si="9"/>
        <v>86832.874076668522</v>
      </c>
      <c r="E133" s="12">
        <f t="shared" si="10"/>
        <v>68066.486600159187</v>
      </c>
      <c r="F133" s="12">
        <f t="shared" si="17"/>
        <v>33721.778997623209</v>
      </c>
      <c r="G133" s="12">
        <f t="shared" si="17"/>
        <v>4167.8603255489397</v>
      </c>
      <c r="H133" s="9"/>
      <c r="I133" s="12">
        <f t="shared" si="12"/>
        <v>4203.5242858378369</v>
      </c>
      <c r="J133" s="12">
        <f t="shared" si="13"/>
        <v>1959.9322917153795</v>
      </c>
      <c r="K133" s="12">
        <f t="shared" si="14"/>
        <v>242.23882257156399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82696.678396591553</v>
      </c>
      <c r="E134" s="12">
        <f t="shared" ref="E134:E197" si="19">E133+I134-J134-K134</f>
        <v>69933.799393564186</v>
      </c>
      <c r="F134" s="12">
        <f t="shared" ref="F134:G149" si="20">F133+J134</f>
        <v>35741.084766761262</v>
      </c>
      <c r="G134" s="12">
        <f t="shared" si="20"/>
        <v>4417.4374430828566</v>
      </c>
      <c r="H134" s="9"/>
      <c r="I134" s="12">
        <f t="shared" ref="I134:I197" si="21">E133*N$6*D133/SUM(D133:F133)*N$7</f>
        <v>4136.1956800769685</v>
      </c>
      <c r="J134" s="12">
        <f t="shared" ref="J134:J197" si="22">E133*N$8/N$5</f>
        <v>2019.3057691380557</v>
      </c>
      <c r="K134" s="12">
        <f t="shared" ref="K134:K197" si="23">E133*N$9/N$5</f>
        <v>249.57711753391726</v>
      </c>
    </row>
    <row r="135" spans="2:11" x14ac:dyDescent="0.25">
      <c r="B135" s="10">
        <v>131</v>
      </c>
      <c r="C135" s="11">
        <v>44022</v>
      </c>
      <c r="D135" s="12">
        <f t="shared" si="18"/>
        <v>78644.0780213119</v>
      </c>
      <c r="E135" s="12">
        <f t="shared" si="19"/>
        <v>71655.273122391707</v>
      </c>
      <c r="F135" s="12">
        <f t="shared" si="20"/>
        <v>37815.787482103668</v>
      </c>
      <c r="G135" s="12">
        <f t="shared" si="20"/>
        <v>4673.8613741925919</v>
      </c>
      <c r="H135" s="9"/>
      <c r="I135" s="12">
        <f t="shared" si="21"/>
        <v>4052.6003752796464</v>
      </c>
      <c r="J135" s="12">
        <f t="shared" si="22"/>
        <v>2074.7027153424042</v>
      </c>
      <c r="K135" s="12">
        <f t="shared" si="23"/>
        <v>256.42393110973558</v>
      </c>
    </row>
    <row r="136" spans="2:11" x14ac:dyDescent="0.25">
      <c r="B136" s="10">
        <v>132</v>
      </c>
      <c r="C136" s="11">
        <v>44023</v>
      </c>
      <c r="D136" s="12">
        <f t="shared" si="18"/>
        <v>74689.825817454679</v>
      </c>
      <c r="E136" s="12">
        <f t="shared" si="19"/>
        <v>73221.016222169215</v>
      </c>
      <c r="F136" s="12">
        <f t="shared" si="20"/>
        <v>39941.560584734623</v>
      </c>
      <c r="G136" s="12">
        <f t="shared" si="20"/>
        <v>4936.5973756413614</v>
      </c>
      <c r="H136" s="9"/>
      <c r="I136" s="12">
        <f t="shared" si="21"/>
        <v>3954.2522038572142</v>
      </c>
      <c r="J136" s="12">
        <f t="shared" si="22"/>
        <v>2125.7731026309539</v>
      </c>
      <c r="K136" s="12">
        <f t="shared" si="23"/>
        <v>262.7360014487698</v>
      </c>
    </row>
    <row r="137" spans="2:11" x14ac:dyDescent="0.25">
      <c r="B137" s="10">
        <v>133</v>
      </c>
      <c r="C137" s="11">
        <v>44024</v>
      </c>
      <c r="D137" s="12">
        <f t="shared" si="18"/>
        <v>70846.967472147444</v>
      </c>
      <c r="E137" s="12">
        <f t="shared" si="19"/>
        <v>74623.17402673747</v>
      </c>
      <c r="F137" s="12">
        <f t="shared" si="20"/>
        <v>42113.784065992309</v>
      </c>
      <c r="G137" s="12">
        <f t="shared" si="20"/>
        <v>5205.0744351226485</v>
      </c>
      <c r="H137" s="9"/>
      <c r="I137" s="12">
        <f t="shared" si="21"/>
        <v>3842.8583453072374</v>
      </c>
      <c r="J137" s="12">
        <f t="shared" si="22"/>
        <v>2172.2234812576867</v>
      </c>
      <c r="K137" s="12">
        <f t="shared" si="23"/>
        <v>268.47705948128737</v>
      </c>
    </row>
    <row r="138" spans="2:11" x14ac:dyDescent="0.25">
      <c r="B138" s="10">
        <v>134</v>
      </c>
      <c r="C138" s="11">
        <v>44025</v>
      </c>
      <c r="D138" s="12">
        <f t="shared" si="18"/>
        <v>67126.707461345999</v>
      </c>
      <c r="E138" s="12">
        <f t="shared" si="19"/>
        <v>75855.994903314335</v>
      </c>
      <c r="F138" s="12">
        <f t="shared" si="20"/>
        <v>44327.60489545219</v>
      </c>
      <c r="G138" s="12">
        <f t="shared" si="20"/>
        <v>5478.6927398873531</v>
      </c>
      <c r="H138" s="9"/>
      <c r="I138" s="12">
        <f t="shared" si="21"/>
        <v>3720.2600108014481</v>
      </c>
      <c r="J138" s="12">
        <f t="shared" si="22"/>
        <v>2213.820829459878</v>
      </c>
      <c r="K138" s="12">
        <f t="shared" si="23"/>
        <v>273.61830476470431</v>
      </c>
    </row>
    <row r="139" spans="2:11" x14ac:dyDescent="0.25">
      <c r="B139" s="10">
        <v>135</v>
      </c>
      <c r="C139" s="11">
        <v>44026</v>
      </c>
      <c r="D139" s="12">
        <f t="shared" si="18"/>
        <v>63538.335046244007</v>
      </c>
      <c r="E139" s="12">
        <f t="shared" si="19"/>
        <v>76915.834154972501</v>
      </c>
      <c r="F139" s="12">
        <f t="shared" si="20"/>
        <v>46577.999410917182</v>
      </c>
      <c r="G139" s="12">
        <f t="shared" si="20"/>
        <v>5756.8313878661729</v>
      </c>
      <c r="H139" s="9"/>
      <c r="I139" s="12">
        <f t="shared" si="21"/>
        <v>3588.3724151019901</v>
      </c>
      <c r="J139" s="12">
        <f t="shared" si="22"/>
        <v>2250.3945154649919</v>
      </c>
      <c r="K139" s="12">
        <f t="shared" si="23"/>
        <v>278.13864797881951</v>
      </c>
    </row>
    <row r="140" spans="2:11" x14ac:dyDescent="0.25">
      <c r="B140" s="10">
        <v>136</v>
      </c>
      <c r="C140" s="11">
        <v>44027</v>
      </c>
      <c r="D140" s="12">
        <f t="shared" si="18"/>
        <v>60089.207881726135</v>
      </c>
      <c r="E140" s="12">
        <f t="shared" si="19"/>
        <v>77801.1001809913</v>
      </c>
      <c r="F140" s="12">
        <f t="shared" si="20"/>
        <v>48859.835824181369</v>
      </c>
      <c r="G140" s="12">
        <f t="shared" si="20"/>
        <v>6038.856113101072</v>
      </c>
      <c r="H140" s="9"/>
      <c r="I140" s="12">
        <f t="shared" si="21"/>
        <v>3449.1271645178736</v>
      </c>
      <c r="J140" s="12">
        <f t="shared" si="22"/>
        <v>2281.8364132641841</v>
      </c>
      <c r="K140" s="12">
        <f t="shared" si="23"/>
        <v>282.02472523489939</v>
      </c>
    </row>
    <row r="141" spans="2:11" x14ac:dyDescent="0.25">
      <c r="B141" s="10">
        <v>137</v>
      </c>
      <c r="C141" s="11">
        <v>44028</v>
      </c>
      <c r="D141" s="12">
        <f t="shared" si="18"/>
        <v>56784.78817523062</v>
      </c>
      <c r="E141" s="12">
        <f t="shared" si="19"/>
        <v>78512.149881453777</v>
      </c>
      <c r="F141" s="12">
        <f t="shared" si="20"/>
        <v>51167.93512955078</v>
      </c>
      <c r="G141" s="12">
        <f t="shared" si="20"/>
        <v>6324.1268137647066</v>
      </c>
      <c r="H141" s="9"/>
      <c r="I141" s="12">
        <f t="shared" si="21"/>
        <v>3304.4197064955156</v>
      </c>
      <c r="J141" s="12">
        <f t="shared" si="22"/>
        <v>2308.0993053694083</v>
      </c>
      <c r="K141" s="12">
        <f t="shared" si="23"/>
        <v>285.27070066363501</v>
      </c>
    </row>
    <row r="142" spans="2:11" x14ac:dyDescent="0.25">
      <c r="B142" s="10">
        <v>138</v>
      </c>
      <c r="C142" s="11">
        <v>44029</v>
      </c>
      <c r="D142" s="12">
        <f t="shared" si="18"/>
        <v>53628.724324863098</v>
      </c>
      <c r="E142" s="12">
        <f t="shared" si="19"/>
        <v>79051.142069106179</v>
      </c>
      <c r="F142" s="12">
        <f t="shared" si="20"/>
        <v>53497.128909367246</v>
      </c>
      <c r="G142" s="12">
        <f t="shared" si="20"/>
        <v>6612.0046966633709</v>
      </c>
      <c r="H142" s="9"/>
      <c r="I142" s="12">
        <f t="shared" si="21"/>
        <v>3156.0638503675218</v>
      </c>
      <c r="J142" s="12">
        <f t="shared" si="22"/>
        <v>2329.1937798164622</v>
      </c>
      <c r="K142" s="12">
        <f t="shared" si="23"/>
        <v>287.8778828986641</v>
      </c>
    </row>
    <row r="143" spans="2:11" x14ac:dyDescent="0.25">
      <c r="B143" s="10">
        <v>139</v>
      </c>
      <c r="C143" s="11">
        <v>44030</v>
      </c>
      <c r="D143" s="12">
        <f t="shared" si="18"/>
        <v>50622.969663144111</v>
      </c>
      <c r="E143" s="12">
        <f t="shared" si="19"/>
        <v>79421.858661854974</v>
      </c>
      <c r="F143" s="12">
        <f t="shared" si="20"/>
        <v>55842.31279075073</v>
      </c>
      <c r="G143" s="12">
        <f t="shared" si="20"/>
        <v>6901.858884250094</v>
      </c>
      <c r="H143" s="9"/>
      <c r="I143" s="12">
        <f t="shared" si="21"/>
        <v>3005.7546617189896</v>
      </c>
      <c r="J143" s="12">
        <f t="shared" si="22"/>
        <v>2345.1838813834829</v>
      </c>
      <c r="K143" s="12">
        <f t="shared" si="23"/>
        <v>289.8541875867229</v>
      </c>
    </row>
    <row r="144" spans="2:11" x14ac:dyDescent="0.25">
      <c r="B144" s="10">
        <v>140</v>
      </c>
      <c r="C144" s="11">
        <v>44031</v>
      </c>
      <c r="D144" s="12">
        <f t="shared" si="18"/>
        <v>47767.929331093183</v>
      </c>
      <c r="E144" s="12">
        <f t="shared" si="19"/>
        <v>79629.503705177398</v>
      </c>
      <c r="F144" s="12">
        <f t="shared" si="20"/>
        <v>58198.494597719095</v>
      </c>
      <c r="G144" s="12">
        <f t="shared" si="20"/>
        <v>7193.0723660102294</v>
      </c>
      <c r="H144" s="9"/>
      <c r="I144" s="12">
        <f t="shared" si="21"/>
        <v>2855.0403320509267</v>
      </c>
      <c r="J144" s="12">
        <f t="shared" si="22"/>
        <v>2356.1818069683641</v>
      </c>
      <c r="K144" s="12">
        <f t="shared" si="23"/>
        <v>291.21348176013521</v>
      </c>
    </row>
    <row r="145" spans="2:11" x14ac:dyDescent="0.25">
      <c r="B145" s="10">
        <v>141</v>
      </c>
      <c r="C145" s="11">
        <v>44032</v>
      </c>
      <c r="D145" s="12">
        <f t="shared" si="18"/>
        <v>45062.626336853195</v>
      </c>
      <c r="E145" s="12">
        <f t="shared" si="19"/>
        <v>79680.489909244818</v>
      </c>
      <c r="F145" s="12">
        <f t="shared" si="20"/>
        <v>60560.83654097269</v>
      </c>
      <c r="G145" s="12">
        <f t="shared" si="20"/>
        <v>7485.0472129292139</v>
      </c>
      <c r="H145" s="9"/>
      <c r="I145" s="12">
        <f t="shared" si="21"/>
        <v>2705.3029942399844</v>
      </c>
      <c r="J145" s="12">
        <f t="shared" si="22"/>
        <v>2362.3419432535957</v>
      </c>
      <c r="K145" s="12">
        <f t="shared" si="23"/>
        <v>291.9748469189841</v>
      </c>
    </row>
    <row r="146" spans="2:11" x14ac:dyDescent="0.25">
      <c r="B146" s="10">
        <v>142</v>
      </c>
      <c r="C146" s="11">
        <v>44033</v>
      </c>
      <c r="D146" s="12">
        <f t="shared" si="18"/>
        <v>42504.878400217669</v>
      </c>
      <c r="E146" s="12">
        <f t="shared" si="19"/>
        <v>79582.221515572193</v>
      </c>
      <c r="F146" s="12">
        <f t="shared" si="20"/>
        <v>62924.691074946953</v>
      </c>
      <c r="G146" s="12">
        <f t="shared" si="20"/>
        <v>7777.2090092631115</v>
      </c>
      <c r="H146" s="9"/>
      <c r="I146" s="12">
        <f t="shared" si="21"/>
        <v>2557.7479366355233</v>
      </c>
      <c r="J146" s="12">
        <f t="shared" si="22"/>
        <v>2363.8545339742627</v>
      </c>
      <c r="K146" s="12">
        <f t="shared" si="23"/>
        <v>292.16179633389788</v>
      </c>
    </row>
    <row r="147" spans="2:11" x14ac:dyDescent="0.25">
      <c r="B147" s="10">
        <v>143</v>
      </c>
      <c r="C147" s="11">
        <v>44034</v>
      </c>
      <c r="D147" s="12">
        <f t="shared" si="18"/>
        <v>40091.478112648707</v>
      </c>
      <c r="E147" s="12">
        <f t="shared" si="19"/>
        <v>79342.881085955421</v>
      </c>
      <c r="F147" s="12">
        <f t="shared" si="20"/>
        <v>65285.630313242262</v>
      </c>
      <c r="G147" s="12">
        <f t="shared" si="20"/>
        <v>8069.0104881535435</v>
      </c>
      <c r="H147" s="9"/>
      <c r="I147" s="12">
        <f t="shared" si="21"/>
        <v>2413.4002875689621</v>
      </c>
      <c r="J147" s="12">
        <f t="shared" si="22"/>
        <v>2360.9392382953083</v>
      </c>
      <c r="K147" s="12">
        <f t="shared" si="23"/>
        <v>291.80147889043167</v>
      </c>
    </row>
    <row r="148" spans="2:11" x14ac:dyDescent="0.25">
      <c r="B148" s="10">
        <v>144</v>
      </c>
      <c r="C148" s="11">
        <v>44035</v>
      </c>
      <c r="D148" s="12">
        <f t="shared" si="18"/>
        <v>37818.370111022574</v>
      </c>
      <c r="E148" s="12">
        <f t="shared" si="19"/>
        <v>78971.22638471637</v>
      </c>
      <c r="F148" s="12">
        <f t="shared" si="20"/>
        <v>67639.469118792273</v>
      </c>
      <c r="G148" s="12">
        <f t="shared" si="20"/>
        <v>8359.934385468714</v>
      </c>
      <c r="H148" s="9"/>
      <c r="I148" s="12">
        <f t="shared" si="21"/>
        <v>2273.1080016261326</v>
      </c>
      <c r="J148" s="12">
        <f t="shared" si="22"/>
        <v>2353.8388055500104</v>
      </c>
      <c r="K148" s="12">
        <f t="shared" si="23"/>
        <v>290.92389731517017</v>
      </c>
    </row>
    <row r="149" spans="2:11" x14ac:dyDescent="0.25">
      <c r="B149" s="10">
        <v>145</v>
      </c>
      <c r="C149" s="11">
        <v>44036</v>
      </c>
      <c r="D149" s="12">
        <f t="shared" si="18"/>
        <v>35680.820242722271</v>
      </c>
      <c r="E149" s="12">
        <f t="shared" si="19"/>
        <v>78476.402040192799</v>
      </c>
      <c r="F149" s="12">
        <f t="shared" si="20"/>
        <v>69982.282168205522</v>
      </c>
      <c r="G149" s="12">
        <f t="shared" si="20"/>
        <v>8649.4955488793403</v>
      </c>
      <c r="H149" s="9"/>
      <c r="I149" s="12">
        <f t="shared" si="21"/>
        <v>2137.5498683003034</v>
      </c>
      <c r="J149" s="12">
        <f t="shared" si="22"/>
        <v>2342.813049413252</v>
      </c>
      <c r="K149" s="12">
        <f t="shared" si="23"/>
        <v>289.56116341062699</v>
      </c>
    </row>
    <row r="150" spans="2:11" x14ac:dyDescent="0.25">
      <c r="B150" s="10">
        <v>146</v>
      </c>
      <c r="C150" s="11">
        <v>44037</v>
      </c>
      <c r="D150" s="12">
        <f t="shared" si="18"/>
        <v>33673.572981062454</v>
      </c>
      <c r="E150" s="12">
        <f t="shared" si="19"/>
        <v>77867.769233846178</v>
      </c>
      <c r="F150" s="12">
        <f t="shared" ref="F150:G165" si="24">F149+J150</f>
        <v>72310.415428731241</v>
      </c>
      <c r="G150" s="12">
        <f t="shared" si="24"/>
        <v>8937.2423563600478</v>
      </c>
      <c r="H150" s="9"/>
      <c r="I150" s="12">
        <f t="shared" si="21"/>
        <v>2007.2472616598166</v>
      </c>
      <c r="J150" s="12">
        <f t="shared" si="22"/>
        <v>2328.1332605257194</v>
      </c>
      <c r="K150" s="12">
        <f t="shared" si="23"/>
        <v>287.74680748070722</v>
      </c>
    </row>
    <row r="151" spans="2:11" x14ac:dyDescent="0.25">
      <c r="B151" s="10">
        <v>147</v>
      </c>
      <c r="C151" s="11">
        <v>44038</v>
      </c>
      <c r="D151" s="12">
        <f t="shared" si="18"/>
        <v>31790.994550601587</v>
      </c>
      <c r="E151" s="12">
        <f t="shared" si="19"/>
        <v>77154.755356512163</v>
      </c>
      <c r="F151" s="12">
        <f t="shared" si="24"/>
        <v>74620.492582668681</v>
      </c>
      <c r="G151" s="12">
        <f t="shared" si="24"/>
        <v>9222.7575102174833</v>
      </c>
      <c r="H151" s="9"/>
      <c r="I151" s="12">
        <f t="shared" si="21"/>
        <v>1882.5784304608671</v>
      </c>
      <c r="J151" s="12">
        <f t="shared" si="22"/>
        <v>2310.0771539374359</v>
      </c>
      <c r="K151" s="12">
        <f t="shared" si="23"/>
        <v>285.51515385743625</v>
      </c>
    </row>
    <row r="152" spans="2:11" x14ac:dyDescent="0.25">
      <c r="B152" s="10">
        <v>148</v>
      </c>
      <c r="C152" s="11">
        <v>44039</v>
      </c>
      <c r="D152" s="12">
        <f t="shared" si="18"/>
        <v>30027.200285683026</v>
      </c>
      <c r="E152" s="12">
        <f t="shared" si="19"/>
        <v>76346.72444288031</v>
      </c>
      <c r="F152" s="12">
        <f t="shared" si="24"/>
        <v>76909.416991578546</v>
      </c>
      <c r="G152" s="12">
        <f t="shared" si="24"/>
        <v>9505.6582798580275</v>
      </c>
      <c r="H152" s="9"/>
      <c r="I152" s="12">
        <f t="shared" si="21"/>
        <v>1763.7942649185591</v>
      </c>
      <c r="J152" s="12">
        <f t="shared" si="22"/>
        <v>2288.9244089098602</v>
      </c>
      <c r="K152" s="12">
        <f t="shared" si="23"/>
        <v>282.90076964054487</v>
      </c>
    </row>
    <row r="153" spans="2:11" x14ac:dyDescent="0.25">
      <c r="B153" s="10">
        <v>149</v>
      </c>
      <c r="C153" s="11">
        <v>44040</v>
      </c>
      <c r="D153" s="12">
        <f t="shared" si="18"/>
        <v>28376.165641114247</v>
      </c>
      <c r="E153" s="12">
        <f t="shared" si="19"/>
        <v>75452.868272686406</v>
      </c>
      <c r="F153" s="12">
        <f t="shared" si="24"/>
        <v>79174.369816717328</v>
      </c>
      <c r="G153" s="12">
        <f t="shared" si="24"/>
        <v>9785.5962694819227</v>
      </c>
      <c r="H153" s="9"/>
      <c r="I153" s="12">
        <f t="shared" si="21"/>
        <v>1651.034644568781</v>
      </c>
      <c r="J153" s="12">
        <f t="shared" si="22"/>
        <v>2264.9528251387824</v>
      </c>
      <c r="K153" s="12">
        <f t="shared" si="23"/>
        <v>279.93798962389468</v>
      </c>
    </row>
    <row r="154" spans="2:11" x14ac:dyDescent="0.25">
      <c r="B154" s="10">
        <v>150</v>
      </c>
      <c r="C154" s="11">
        <v>44041</v>
      </c>
      <c r="D154" s="12">
        <f t="shared" si="18"/>
        <v>26831.820990241202</v>
      </c>
      <c r="E154" s="12">
        <f t="shared" si="19"/>
        <v>74482.117314469899</v>
      </c>
      <c r="F154" s="12">
        <f t="shared" si="24"/>
        <v>81412.804908807026</v>
      </c>
      <c r="G154" s="12">
        <f t="shared" si="24"/>
        <v>10062.256786481774</v>
      </c>
      <c r="H154" s="9"/>
      <c r="I154" s="12">
        <f t="shared" si="21"/>
        <v>1544.344650873046</v>
      </c>
      <c r="J154" s="12">
        <f t="shared" si="22"/>
        <v>2238.4350920896964</v>
      </c>
      <c r="K154" s="12">
        <f t="shared" si="23"/>
        <v>276.66051699985042</v>
      </c>
    </row>
    <row r="155" spans="2:11" x14ac:dyDescent="0.25">
      <c r="B155" s="10">
        <v>151</v>
      </c>
      <c r="C155" s="11">
        <v>44042</v>
      </c>
      <c r="D155" s="12">
        <f t="shared" si="18"/>
        <v>25388.130887323216</v>
      </c>
      <c r="E155" s="12">
        <f t="shared" si="19"/>
        <v>73443.070173572225</v>
      </c>
      <c r="F155" s="12">
        <f t="shared" si="24"/>
        <v>83622.441055802963</v>
      </c>
      <c r="G155" s="12">
        <f t="shared" si="24"/>
        <v>10335.357883301496</v>
      </c>
      <c r="H155" s="9"/>
      <c r="I155" s="12">
        <f t="shared" si="21"/>
        <v>1443.6901029179849</v>
      </c>
      <c r="J155" s="12">
        <f t="shared" si="22"/>
        <v>2209.6361469959397</v>
      </c>
      <c r="K155" s="12">
        <f t="shared" si="23"/>
        <v>273.10109681972324</v>
      </c>
    </row>
    <row r="156" spans="2:11" x14ac:dyDescent="0.25">
      <c r="B156" s="10">
        <v>152</v>
      </c>
      <c r="C156" s="13">
        <v>44043</v>
      </c>
      <c r="D156" s="12">
        <f t="shared" si="18"/>
        <v>24039.158853196317</v>
      </c>
      <c r="E156" s="12">
        <f t="shared" si="19"/>
        <v>72343.939868580055</v>
      </c>
      <c r="F156" s="12">
        <f t="shared" si="24"/>
        <v>85801.25213761894</v>
      </c>
      <c r="G156" s="12">
        <f t="shared" si="24"/>
        <v>10604.649140604595</v>
      </c>
      <c r="H156" s="9"/>
      <c r="I156" s="12">
        <f t="shared" si="21"/>
        <v>1348.9720341268999</v>
      </c>
      <c r="J156" s="12">
        <f t="shared" si="22"/>
        <v>2178.8110818159757</v>
      </c>
      <c r="K156" s="12">
        <f t="shared" si="23"/>
        <v>269.2912573030984</v>
      </c>
    </row>
    <row r="157" spans="2:11" x14ac:dyDescent="0.25">
      <c r="B157" s="10">
        <v>153</v>
      </c>
      <c r="C157" s="21">
        <v>44044</v>
      </c>
      <c r="D157" s="12">
        <f t="shared" si="18"/>
        <v>22779.118987115857</v>
      </c>
      <c r="E157" s="12">
        <f t="shared" si="19"/>
        <v>71192.515072374517</v>
      </c>
      <c r="F157" s="12">
        <f t="shared" si="24"/>
        <v>87947.455687053487</v>
      </c>
      <c r="G157" s="12">
        <f t="shared" si="24"/>
        <v>10869.910253456055</v>
      </c>
      <c r="H157" s="9"/>
      <c r="I157" s="12">
        <f t="shared" si="21"/>
        <v>1260.0398660804597</v>
      </c>
      <c r="J157" s="12">
        <f t="shared" si="22"/>
        <v>2146.2035494345414</v>
      </c>
      <c r="K157" s="12">
        <f t="shared" si="23"/>
        <v>265.26111285146044</v>
      </c>
    </row>
    <row r="158" spans="2:11" x14ac:dyDescent="0.25">
      <c r="B158" s="10">
        <v>154</v>
      </c>
      <c r="C158" s="21">
        <v>44045</v>
      </c>
      <c r="D158" s="12">
        <f t="shared" si="18"/>
        <v>21602.41583749462</v>
      </c>
      <c r="E158" s="12">
        <f t="shared" si="19"/>
        <v>69996.134386249949</v>
      </c>
      <c r="F158" s="12">
        <f t="shared" si="24"/>
        <v>90059.500300867265</v>
      </c>
      <c r="G158" s="12">
        <f t="shared" si="24"/>
        <v>11130.949475388095</v>
      </c>
      <c r="H158" s="9"/>
      <c r="I158" s="12">
        <f t="shared" si="21"/>
        <v>1176.7031496212383</v>
      </c>
      <c r="J158" s="12">
        <f t="shared" si="22"/>
        <v>2112.0446138137772</v>
      </c>
      <c r="K158" s="12">
        <f t="shared" si="23"/>
        <v>261.03922193204011</v>
      </c>
    </row>
    <row r="159" spans="2:11" x14ac:dyDescent="0.25">
      <c r="B159" s="10">
        <v>155</v>
      </c>
      <c r="C159" s="21">
        <v>44046</v>
      </c>
      <c r="D159" s="12">
        <f t="shared" si="18"/>
        <v>20503.674004190754</v>
      </c>
      <c r="E159" s="12">
        <f t="shared" si="19"/>
        <v>68761.671740012156</v>
      </c>
      <c r="F159" s="12">
        <f t="shared" si="24"/>
        <v>92136.052287659346</v>
      </c>
      <c r="G159" s="12">
        <f t="shared" si="24"/>
        <v>11387.601968137678</v>
      </c>
      <c r="H159" s="9"/>
      <c r="I159" s="12">
        <f t="shared" si="21"/>
        <v>1098.7418333038668</v>
      </c>
      <c r="J159" s="12">
        <f t="shared" si="22"/>
        <v>2076.5519867920816</v>
      </c>
      <c r="K159" s="12">
        <f t="shared" si="23"/>
        <v>256.65249274958336</v>
      </c>
    </row>
    <row r="160" spans="2:11" x14ac:dyDescent="0.25">
      <c r="B160" s="10">
        <v>156</v>
      </c>
      <c r="C160" s="21">
        <v>44047</v>
      </c>
      <c r="D160" s="12">
        <f t="shared" si="18"/>
        <v>19477.758917559266</v>
      </c>
      <c r="E160" s="12">
        <f t="shared" si="19"/>
        <v>67495.53110197658</v>
      </c>
      <c r="F160" s="12">
        <f t="shared" si="24"/>
        <v>94175.981882613036</v>
      </c>
      <c r="G160" s="12">
        <f t="shared" si="24"/>
        <v>11639.728097851057</v>
      </c>
      <c r="H160" s="9"/>
      <c r="I160" s="12">
        <f t="shared" si="21"/>
        <v>1025.9150866314872</v>
      </c>
      <c r="J160" s="12">
        <f t="shared" si="22"/>
        <v>2039.9295949536938</v>
      </c>
      <c r="K160" s="12">
        <f t="shared" si="23"/>
        <v>252.12612971337813</v>
      </c>
    </row>
    <row r="161" spans="2:11" x14ac:dyDescent="0.25">
      <c r="B161" s="10">
        <v>157</v>
      </c>
      <c r="C161" s="21">
        <v>44048</v>
      </c>
      <c r="D161" s="12">
        <f t="shared" si="18"/>
        <v>18519.790164444032</v>
      </c>
      <c r="E161" s="12">
        <f t="shared" si="19"/>
        <v>66203.648818359259</v>
      </c>
      <c r="F161" s="12">
        <f t="shared" si="24"/>
        <v>96178.349305305004</v>
      </c>
      <c r="G161" s="12">
        <f t="shared" si="24"/>
        <v>11887.211711891638</v>
      </c>
      <c r="H161" s="9"/>
      <c r="I161" s="12">
        <f t="shared" si="21"/>
        <v>957.96875311523297</v>
      </c>
      <c r="J161" s="12">
        <f t="shared" si="22"/>
        <v>2002.3674226919716</v>
      </c>
      <c r="K161" s="12">
        <f t="shared" si="23"/>
        <v>247.48361404058102</v>
      </c>
    </row>
    <row r="162" spans="2:11" x14ac:dyDescent="0.25">
      <c r="B162" s="10">
        <v>158</v>
      </c>
      <c r="C162" s="21">
        <v>44049</v>
      </c>
      <c r="D162" s="12">
        <f t="shared" si="18"/>
        <v>17625.148625237842</v>
      </c>
      <c r="E162" s="12">
        <f t="shared" si="19"/>
        <v>64891.502063620144</v>
      </c>
      <c r="F162" s="12">
        <f t="shared" si="24"/>
        <v>98142.390886916328</v>
      </c>
      <c r="G162" s="12">
        <f t="shared" si="24"/>
        <v>12129.958424225622</v>
      </c>
      <c r="H162" s="9"/>
      <c r="I162" s="12">
        <f t="shared" si="21"/>
        <v>894.64153920618958</v>
      </c>
      <c r="J162" s="12">
        <f t="shared" si="22"/>
        <v>1964.0415816113243</v>
      </c>
      <c r="K162" s="12">
        <f t="shared" si="23"/>
        <v>242.74671233398416</v>
      </c>
    </row>
    <row r="163" spans="2:11" x14ac:dyDescent="0.25">
      <c r="B163" s="10">
        <v>159</v>
      </c>
      <c r="C163" s="21">
        <v>44050</v>
      </c>
      <c r="D163" s="12">
        <f t="shared" si="18"/>
        <v>16789.478562393739</v>
      </c>
      <c r="E163" s="12">
        <f t="shared" si="19"/>
        <v>63564.122057676912</v>
      </c>
      <c r="F163" s="12">
        <f t="shared" si="24"/>
        <v>100067.50544813706</v>
      </c>
      <c r="G163" s="12">
        <f t="shared" si="24"/>
        <v>12367.89393179223</v>
      </c>
      <c r="H163" s="9"/>
      <c r="I163" s="12">
        <f t="shared" si="21"/>
        <v>835.6700628441032</v>
      </c>
      <c r="J163" s="12">
        <f t="shared" si="22"/>
        <v>1925.1145612207306</v>
      </c>
      <c r="K163" s="12">
        <f t="shared" si="23"/>
        <v>237.93550756660741</v>
      </c>
    </row>
    <row r="164" spans="2:11" x14ac:dyDescent="0.25">
      <c r="B164" s="10">
        <v>160</v>
      </c>
      <c r="C164" s="21">
        <v>44051</v>
      </c>
      <c r="D164" s="12">
        <f t="shared" si="18"/>
        <v>16008.685669586561</v>
      </c>
      <c r="E164" s="12">
        <f t="shared" si="19"/>
        <v>62226.110881894863</v>
      </c>
      <c r="F164" s="12">
        <f t="shared" si="24"/>
        <v>101953.24106918147</v>
      </c>
      <c r="G164" s="12">
        <f t="shared" si="24"/>
        <v>12600.962379337047</v>
      </c>
      <c r="H164" s="9"/>
      <c r="I164" s="12">
        <f t="shared" si="21"/>
        <v>780.79289280717694</v>
      </c>
      <c r="J164" s="12">
        <f t="shared" si="22"/>
        <v>1885.735621044415</v>
      </c>
      <c r="K164" s="12">
        <f t="shared" si="23"/>
        <v>233.06844754481557</v>
      </c>
    </row>
    <row r="165" spans="2:11" x14ac:dyDescent="0.25">
      <c r="B165" s="10">
        <v>161</v>
      </c>
      <c r="C165" s="21">
        <v>44052</v>
      </c>
      <c r="D165" s="12">
        <f t="shared" si="18"/>
        <v>15278.931959646598</v>
      </c>
      <c r="E165" s="12">
        <f t="shared" si="19"/>
        <v>60881.660895771667</v>
      </c>
      <c r="F165" s="12">
        <f t="shared" si="24"/>
        <v>103799.28235867769</v>
      </c>
      <c r="G165" s="12">
        <f t="shared" si="24"/>
        <v>12829.124785903994</v>
      </c>
      <c r="H165" s="9"/>
      <c r="I165" s="12">
        <f t="shared" si="21"/>
        <v>729.75370993996376</v>
      </c>
      <c r="J165" s="12">
        <f t="shared" si="22"/>
        <v>1846.0412894962139</v>
      </c>
      <c r="K165" s="12">
        <f t="shared" si="23"/>
        <v>228.16240656694802</v>
      </c>
    </row>
    <row r="166" spans="2:11" x14ac:dyDescent="0.25">
      <c r="B166" s="10">
        <v>162</v>
      </c>
      <c r="C166" s="21">
        <v>44053</v>
      </c>
      <c r="D166" s="12">
        <f t="shared" si="18"/>
        <v>14596.628243682495</v>
      </c>
      <c r="E166" s="12">
        <f t="shared" si="19"/>
        <v>59534.575915210051</v>
      </c>
      <c r="F166" s="12">
        <f t="shared" ref="F166:G181" si="25">F165+J166</f>
        <v>105605.43829858559</v>
      </c>
      <c r="G166" s="12">
        <f t="shared" si="25"/>
        <v>13052.357542521824</v>
      </c>
      <c r="H166" s="9"/>
      <c r="I166" s="12">
        <f t="shared" si="21"/>
        <v>682.30371596410293</v>
      </c>
      <c r="J166" s="12">
        <f t="shared" si="22"/>
        <v>1806.1559399078926</v>
      </c>
      <c r="K166" s="12">
        <f t="shared" si="23"/>
        <v>223.23275661782964</v>
      </c>
    </row>
    <row r="167" spans="2:11" x14ac:dyDescent="0.25">
      <c r="B167" s="10">
        <v>163</v>
      </c>
      <c r="C167" s="21">
        <v>44054</v>
      </c>
      <c r="D167" s="12">
        <f t="shared" si="18"/>
        <v>13958.424836894996</v>
      </c>
      <c r="E167" s="12">
        <f t="shared" si="19"/>
        <v>58188.293458157219</v>
      </c>
      <c r="F167" s="12">
        <f t="shared" si="25"/>
        <v>107371.63071740349</v>
      </c>
      <c r="G167" s="12">
        <f t="shared" si="25"/>
        <v>13270.650987544261</v>
      </c>
      <c r="H167" s="9"/>
      <c r="I167" s="12">
        <f t="shared" si="21"/>
        <v>638.20340678749869</v>
      </c>
      <c r="J167" s="12">
        <f t="shared" si="22"/>
        <v>1766.192418817898</v>
      </c>
      <c r="K167" s="12">
        <f t="shared" si="23"/>
        <v>218.29344502243706</v>
      </c>
    </row>
    <row r="168" spans="2:11" x14ac:dyDescent="0.25">
      <c r="B168" s="10">
        <v>164</v>
      </c>
      <c r="C168" s="21">
        <v>44055</v>
      </c>
      <c r="D168" s="12">
        <f t="shared" si="18"/>
        <v>13361.201020432753</v>
      </c>
      <c r="E168" s="12">
        <f t="shared" si="19"/>
        <v>56845.907492680883</v>
      </c>
      <c r="F168" s="12">
        <f t="shared" si="25"/>
        <v>109097.88342332882</v>
      </c>
      <c r="G168" s="12">
        <f t="shared" si="25"/>
        <v>13484.008063557503</v>
      </c>
      <c r="H168" s="9"/>
      <c r="I168" s="12">
        <f t="shared" si="21"/>
        <v>597.22381646224278</v>
      </c>
      <c r="J168" s="12">
        <f t="shared" si="22"/>
        <v>1726.2527059253305</v>
      </c>
      <c r="K168" s="12">
        <f t="shared" si="23"/>
        <v>213.35707601324333</v>
      </c>
    </row>
    <row r="169" spans="2:11" x14ac:dyDescent="0.25">
      <c r="B169" s="10">
        <v>165</v>
      </c>
      <c r="C169" s="21">
        <v>44056</v>
      </c>
      <c r="D169" s="12">
        <f t="shared" si="18"/>
        <v>12802.053694151075</v>
      </c>
      <c r="E169" s="12">
        <f t="shared" si="19"/>
        <v>55510.191235873201</v>
      </c>
      <c r="F169" s="12">
        <f t="shared" si="25"/>
        <v>110784.31201227836</v>
      </c>
      <c r="G169" s="12">
        <f t="shared" si="25"/>
        <v>13692.443057697334</v>
      </c>
      <c r="H169" s="9"/>
      <c r="I169" s="12">
        <f t="shared" si="21"/>
        <v>559.14732628167815</v>
      </c>
      <c r="J169" s="12">
        <f t="shared" si="22"/>
        <v>1686.4285889495327</v>
      </c>
      <c r="K169" s="12">
        <f t="shared" si="23"/>
        <v>208.43499413983008</v>
      </c>
    </row>
    <row r="170" spans="2:11" x14ac:dyDescent="0.25">
      <c r="B170" s="10">
        <v>166</v>
      </c>
      <c r="C170" s="21">
        <v>44057</v>
      </c>
      <c r="D170" s="12">
        <f t="shared" si="18"/>
        <v>12278.285572419845</v>
      </c>
      <c r="E170" s="12">
        <f t="shared" si="19"/>
        <v>54183.619649741988</v>
      </c>
      <c r="F170" s="12">
        <f t="shared" si="25"/>
        <v>112431.11435227592</v>
      </c>
      <c r="G170" s="12">
        <f t="shared" si="25"/>
        <v>13895.980425562202</v>
      </c>
      <c r="H170" s="9"/>
      <c r="I170" s="12">
        <f t="shared" si="21"/>
        <v>523.76812173122983</v>
      </c>
      <c r="J170" s="12">
        <f t="shared" si="22"/>
        <v>1646.8023399975714</v>
      </c>
      <c r="K170" s="12">
        <f t="shared" si="23"/>
        <v>203.53736786486857</v>
      </c>
    </row>
    <row r="171" spans="2:11" x14ac:dyDescent="0.25">
      <c r="B171" s="10">
        <v>167</v>
      </c>
      <c r="C171" s="21">
        <v>44058</v>
      </c>
      <c r="D171" s="12">
        <f t="shared" si="18"/>
        <v>11787.393203770596</v>
      </c>
      <c r="E171" s="12">
        <f t="shared" si="19"/>
        <v>52868.391363399838</v>
      </c>
      <c r="F171" s="12">
        <f t="shared" si="25"/>
        <v>114038.56173521827</v>
      </c>
      <c r="G171" s="12">
        <f t="shared" si="25"/>
        <v>14094.653697611257</v>
      </c>
      <c r="H171" s="9"/>
      <c r="I171" s="12">
        <f t="shared" si="21"/>
        <v>490.89236864924959</v>
      </c>
      <c r="J171" s="12">
        <f t="shared" si="22"/>
        <v>1607.4473829423455</v>
      </c>
      <c r="K171" s="12">
        <f t="shared" si="23"/>
        <v>198.67327204905413</v>
      </c>
    </row>
    <row r="172" spans="2:11" x14ac:dyDescent="0.25">
      <c r="B172" s="10">
        <v>168</v>
      </c>
      <c r="C172" s="21">
        <v>44059</v>
      </c>
      <c r="D172" s="12">
        <f t="shared" si="18"/>
        <v>11327.055034416539</v>
      </c>
      <c r="E172" s="12">
        <f t="shared" si="19"/>
        <v>51566.44982064057</v>
      </c>
      <c r="F172" s="12">
        <f t="shared" si="25"/>
        <v>115606.99067899914</v>
      </c>
      <c r="G172" s="12">
        <f t="shared" si="25"/>
        <v>14288.504465943723</v>
      </c>
      <c r="H172" s="9"/>
      <c r="I172" s="12">
        <f t="shared" si="21"/>
        <v>460.33816935405684</v>
      </c>
      <c r="J172" s="12">
        <f t="shared" si="22"/>
        <v>1568.4289437808618</v>
      </c>
      <c r="K172" s="12">
        <f t="shared" si="23"/>
        <v>193.85076833246623</v>
      </c>
    </row>
    <row r="173" spans="2:11" x14ac:dyDescent="0.25">
      <c r="B173" s="10">
        <v>169</v>
      </c>
      <c r="C173" s="21">
        <v>44060</v>
      </c>
      <c r="D173" s="12">
        <f t="shared" si="18"/>
        <v>10895.119684569796</v>
      </c>
      <c r="E173" s="12">
        <f t="shared" si="19"/>
        <v>50279.503509799288</v>
      </c>
      <c r="F173" s="12">
        <f t="shared" si="25"/>
        <v>117136.79535701148</v>
      </c>
      <c r="G173" s="12">
        <f t="shared" si="25"/>
        <v>14477.581448619405</v>
      </c>
      <c r="H173" s="9"/>
      <c r="I173" s="12">
        <f t="shared" si="21"/>
        <v>431.93534984674227</v>
      </c>
      <c r="J173" s="12">
        <f t="shared" si="22"/>
        <v>1529.8046780123368</v>
      </c>
      <c r="K173" s="12">
        <f t="shared" si="23"/>
        <v>189.07698267568225</v>
      </c>
    </row>
    <row r="174" spans="2:11" x14ac:dyDescent="0.25">
      <c r="B174" s="10">
        <v>170</v>
      </c>
      <c r="C174" s="21">
        <v>44061</v>
      </c>
      <c r="D174" s="12">
        <f t="shared" si="18"/>
        <v>10489.594563975204</v>
      </c>
      <c r="E174" s="12">
        <f t="shared" si="19"/>
        <v>49009.045180067238</v>
      </c>
      <c r="F174" s="12">
        <f t="shared" si="25"/>
        <v>118628.42062780219</v>
      </c>
      <c r="G174" s="12">
        <f t="shared" si="25"/>
        <v>14661.939628155336</v>
      </c>
      <c r="H174" s="9"/>
      <c r="I174" s="12">
        <f t="shared" si="21"/>
        <v>405.52512059459195</v>
      </c>
      <c r="J174" s="12">
        <f t="shared" si="22"/>
        <v>1491.625270790712</v>
      </c>
      <c r="K174" s="12">
        <f t="shared" si="23"/>
        <v>184.3581795359309</v>
      </c>
    </row>
    <row r="175" spans="2:11" x14ac:dyDescent="0.25">
      <c r="B175" s="10">
        <v>171</v>
      </c>
      <c r="C175" s="21">
        <v>44062</v>
      </c>
      <c r="D175" s="12">
        <f t="shared" si="18"/>
        <v>10108.63491812469</v>
      </c>
      <c r="E175" s="12">
        <f t="shared" si="19"/>
        <v>47756.369986582184</v>
      </c>
      <c r="F175" s="12">
        <f t="shared" si="25"/>
        <v>120082.35563481085</v>
      </c>
      <c r="G175" s="12">
        <f t="shared" si="25"/>
        <v>14841.639460482249</v>
      </c>
      <c r="H175" s="9"/>
      <c r="I175" s="12">
        <f t="shared" si="21"/>
        <v>380.95964585051485</v>
      </c>
      <c r="J175" s="12">
        <f t="shared" si="22"/>
        <v>1453.9350070086614</v>
      </c>
      <c r="K175" s="12">
        <f t="shared" si="23"/>
        <v>179.69983232691337</v>
      </c>
    </row>
    <row r="176" spans="2:11" x14ac:dyDescent="0.25">
      <c r="B176" s="10">
        <v>172</v>
      </c>
      <c r="C176" s="21">
        <v>44063</v>
      </c>
      <c r="D176" s="12">
        <f t="shared" si="18"/>
        <v>9750.5333681920674</v>
      </c>
      <c r="E176" s="12">
        <f t="shared" si="19"/>
        <v>46522.592536962067</v>
      </c>
      <c r="F176" s="12">
        <f t="shared" si="25"/>
        <v>121499.12794441279</v>
      </c>
      <c r="G176" s="12">
        <f t="shared" si="25"/>
        <v>15016.746150433051</v>
      </c>
      <c r="H176" s="9"/>
      <c r="I176" s="12">
        <f t="shared" si="21"/>
        <v>358.1015499326229</v>
      </c>
      <c r="J176" s="12">
        <f t="shared" si="22"/>
        <v>1416.7723096019379</v>
      </c>
      <c r="K176" s="12">
        <f t="shared" si="23"/>
        <v>175.1066899508015</v>
      </c>
    </row>
    <row r="177" spans="2:11" x14ac:dyDescent="0.25">
      <c r="B177" s="10">
        <v>173</v>
      </c>
      <c r="C177" s="21">
        <v>44064</v>
      </c>
      <c r="D177" s="12">
        <f t="shared" si="18"/>
        <v>9413.7099848854632</v>
      </c>
      <c r="E177" s="12">
        <f t="shared" si="19"/>
        <v>45308.662835703268</v>
      </c>
      <c r="F177" s="12">
        <f t="shared" si="25"/>
        <v>122879.29818967599</v>
      </c>
      <c r="G177" s="12">
        <f t="shared" si="25"/>
        <v>15187.328989735246</v>
      </c>
      <c r="H177" s="9"/>
      <c r="I177" s="12">
        <f t="shared" si="21"/>
        <v>336.82338330660434</v>
      </c>
      <c r="J177" s="12">
        <f t="shared" si="22"/>
        <v>1380.170245263208</v>
      </c>
      <c r="K177" s="12">
        <f t="shared" si="23"/>
        <v>170.5828393021944</v>
      </c>
    </row>
    <row r="178" spans="2:11" x14ac:dyDescent="0.25">
      <c r="B178" s="10">
        <v>174</v>
      </c>
      <c r="C178" s="21">
        <v>44065</v>
      </c>
      <c r="D178" s="12">
        <f t="shared" si="18"/>
        <v>9096.7029182898041</v>
      </c>
      <c r="E178" s="12">
        <f t="shared" si="19"/>
        <v>44115.381141108817</v>
      </c>
      <c r="F178" s="12">
        <f t="shared" si="25"/>
        <v>124223.45518713519</v>
      </c>
      <c r="G178" s="12">
        <f t="shared" si="25"/>
        <v>15353.460753466159</v>
      </c>
      <c r="H178" s="9"/>
      <c r="I178" s="12">
        <f t="shared" si="21"/>
        <v>317.00706659565992</v>
      </c>
      <c r="J178" s="12">
        <f t="shared" si="22"/>
        <v>1344.1569974591969</v>
      </c>
      <c r="K178" s="12">
        <f t="shared" si="23"/>
        <v>166.13176373091213</v>
      </c>
    </row>
    <row r="179" spans="2:11" x14ac:dyDescent="0.25">
      <c r="B179" s="10">
        <v>175</v>
      </c>
      <c r="C179" s="21">
        <v>44066</v>
      </c>
      <c r="D179" s="12">
        <f t="shared" si="18"/>
        <v>8798.1595915949893</v>
      </c>
      <c r="E179" s="12">
        <f t="shared" si="19"/>
        <v>42943.411763100004</v>
      </c>
      <c r="F179" s="12">
        <f t="shared" si="25"/>
        <v>125532.21149432141</v>
      </c>
      <c r="G179" s="12">
        <f t="shared" si="25"/>
        <v>15515.217150983559</v>
      </c>
      <c r="H179" s="9"/>
      <c r="I179" s="12">
        <f t="shared" si="21"/>
        <v>298.54332669481431</v>
      </c>
      <c r="J179" s="12">
        <f t="shared" si="22"/>
        <v>1308.756307186228</v>
      </c>
      <c r="K179" s="12">
        <f t="shared" si="23"/>
        <v>161.75639751739917</v>
      </c>
    </row>
    <row r="180" spans="2:11" x14ac:dyDescent="0.25">
      <c r="B180" s="10">
        <v>176</v>
      </c>
      <c r="C180" s="21">
        <v>44067</v>
      </c>
      <c r="D180" s="12">
        <f t="shared" si="18"/>
        <v>8516.8284557011484</v>
      </c>
      <c r="E180" s="12">
        <f t="shared" si="19"/>
        <v>41793.295840223844</v>
      </c>
      <c r="F180" s="12">
        <f t="shared" si="25"/>
        <v>126806.19937662671</v>
      </c>
      <c r="G180" s="12">
        <f t="shared" si="25"/>
        <v>15672.676327448258</v>
      </c>
      <c r="H180" s="9"/>
      <c r="I180" s="12">
        <f t="shared" si="21"/>
        <v>281.33113589384016</v>
      </c>
      <c r="J180" s="12">
        <f t="shared" si="22"/>
        <v>1273.9878823053</v>
      </c>
      <c r="K180" s="12">
        <f t="shared" si="23"/>
        <v>157.45917646470016</v>
      </c>
    </row>
    <row r="181" spans="2:11" x14ac:dyDescent="0.25">
      <c r="B181" s="10">
        <v>177</v>
      </c>
      <c r="C181" s="21">
        <v>44068</v>
      </c>
      <c r="D181" s="12">
        <f t="shared" si="18"/>
        <v>8251.5512934761355</v>
      </c>
      <c r="E181" s="12">
        <f t="shared" si="19"/>
        <v>40665.463141108063</v>
      </c>
      <c r="F181" s="12">
        <f t="shared" si="25"/>
        <v>128046.06715322002</v>
      </c>
      <c r="G181" s="12">
        <f t="shared" si="25"/>
        <v>15825.918412195746</v>
      </c>
      <c r="H181" s="9"/>
      <c r="I181" s="12">
        <f t="shared" si="21"/>
        <v>265.27716222501203</v>
      </c>
      <c r="J181" s="12">
        <f t="shared" si="22"/>
        <v>1239.8677765933071</v>
      </c>
      <c r="K181" s="12">
        <f t="shared" si="23"/>
        <v>153.24208474748758</v>
      </c>
    </row>
    <row r="182" spans="2:11" x14ac:dyDescent="0.25">
      <c r="B182" s="10">
        <v>178</v>
      </c>
      <c r="C182" s="21">
        <v>44069</v>
      </c>
      <c r="D182" s="12">
        <f t="shared" si="18"/>
        <v>8001.2560564121113</v>
      </c>
      <c r="E182" s="12">
        <f t="shared" si="19"/>
        <v>39560.242940135155</v>
      </c>
      <c r="F182" s="12">
        <f t="shared" ref="F182:G197" si="26">F181+J182</f>
        <v>129252.4758930729</v>
      </c>
      <c r="G182" s="12">
        <f t="shared" si="26"/>
        <v>15975.025110379809</v>
      </c>
      <c r="H182" s="9"/>
      <c r="I182" s="12">
        <f t="shared" si="21"/>
        <v>250.29523706402446</v>
      </c>
      <c r="J182" s="12">
        <f t="shared" si="22"/>
        <v>1206.4087398528723</v>
      </c>
      <c r="K182" s="12">
        <f t="shared" si="23"/>
        <v>149.10669818406305</v>
      </c>
    </row>
    <row r="183" spans="2:11" x14ac:dyDescent="0.25">
      <c r="B183" s="10">
        <v>179</v>
      </c>
      <c r="C183" s="21">
        <v>44070</v>
      </c>
      <c r="D183" s="12">
        <f t="shared" si="18"/>
        <v>7764.9502121639689</v>
      </c>
      <c r="E183" s="12">
        <f t="shared" si="19"/>
        <v>38477.874019712122</v>
      </c>
      <c r="F183" s="12">
        <f t="shared" si="26"/>
        <v>130426.09643363024</v>
      </c>
      <c r="G183" s="12">
        <f t="shared" si="26"/>
        <v>16120.079334493637</v>
      </c>
      <c r="H183" s="9"/>
      <c r="I183" s="12">
        <f t="shared" si="21"/>
        <v>236.30584424814271</v>
      </c>
      <c r="J183" s="12">
        <f t="shared" si="22"/>
        <v>1173.6205405573428</v>
      </c>
      <c r="K183" s="12">
        <f t="shared" si="23"/>
        <v>145.05422411382904</v>
      </c>
    </row>
    <row r="184" spans="2:11" x14ac:dyDescent="0.25">
      <c r="B184" s="10">
        <v>180</v>
      </c>
      <c r="C184" s="21">
        <v>44071</v>
      </c>
      <c r="D184" s="12">
        <f t="shared" si="18"/>
        <v>7541.7145785970179</v>
      </c>
      <c r="E184" s="12">
        <f t="shared" si="19"/>
        <v>37418.513852622003</v>
      </c>
      <c r="F184" s="12">
        <f t="shared" si="26"/>
        <v>131567.60669621502</v>
      </c>
      <c r="G184" s="12">
        <f t="shared" si="26"/>
        <v>16261.164872565916</v>
      </c>
      <c r="H184" s="9"/>
      <c r="I184" s="12">
        <f t="shared" si="21"/>
        <v>223.23563356695064</v>
      </c>
      <c r="J184" s="12">
        <f t="shared" si="22"/>
        <v>1141.5102625847928</v>
      </c>
      <c r="K184" s="12">
        <f t="shared" si="23"/>
        <v>141.0855380722779</v>
      </c>
    </row>
    <row r="185" spans="2:11" x14ac:dyDescent="0.25">
      <c r="B185" s="10">
        <v>181</v>
      </c>
      <c r="C185" s="21">
        <v>44072</v>
      </c>
      <c r="D185" s="12">
        <f t="shared" si="18"/>
        <v>7330.6976182286953</v>
      </c>
      <c r="E185" s="12">
        <f t="shared" si="19"/>
        <v>36382.247017902926</v>
      </c>
      <c r="F185" s="12">
        <f t="shared" si="26"/>
        <v>132677.68927384281</v>
      </c>
      <c r="G185" s="12">
        <f t="shared" si="26"/>
        <v>16398.366090025531</v>
      </c>
      <c r="H185" s="9"/>
      <c r="I185" s="12">
        <f t="shared" si="21"/>
        <v>211.0169603683224</v>
      </c>
      <c r="J185" s="12">
        <f t="shared" si="22"/>
        <v>1110.0825776277859</v>
      </c>
      <c r="K185" s="12">
        <f t="shared" si="23"/>
        <v>137.20121745961416</v>
      </c>
    </row>
    <row r="186" spans="2:11" x14ac:dyDescent="0.25">
      <c r="B186" s="10">
        <v>182</v>
      </c>
      <c r="C186" s="21">
        <v>44073</v>
      </c>
      <c r="D186" s="12">
        <f t="shared" si="18"/>
        <v>7131.1101660747381</v>
      </c>
      <c r="E186" s="12">
        <f t="shared" si="19"/>
        <v>35369.092902793454</v>
      </c>
      <c r="F186" s="12">
        <f t="shared" si="26"/>
        <v>133757.02926870727</v>
      </c>
      <c r="G186" s="12">
        <f t="shared" si="26"/>
        <v>16531.767662424507</v>
      </c>
      <c r="H186" s="9"/>
      <c r="I186" s="12">
        <f t="shared" si="21"/>
        <v>199.58745215395763</v>
      </c>
      <c r="J186" s="12">
        <f t="shared" si="22"/>
        <v>1079.3399948644533</v>
      </c>
      <c r="K186" s="12">
        <f t="shared" si="23"/>
        <v>133.40157239897752</v>
      </c>
    </row>
    <row r="187" spans="2:11" x14ac:dyDescent="0.25">
      <c r="B187" s="10">
        <v>183</v>
      </c>
      <c r="C187" s="13">
        <v>44074</v>
      </c>
      <c r="D187" s="12">
        <f t="shared" si="18"/>
        <v>6942.2205637038287</v>
      </c>
      <c r="E187" s="12">
        <f t="shared" si="19"/>
        <v>34379.012741737912</v>
      </c>
      <c r="F187" s="12">
        <f t="shared" si="26"/>
        <v>134806.31235815681</v>
      </c>
      <c r="G187" s="12">
        <f t="shared" si="26"/>
        <v>16661.454336401417</v>
      </c>
      <c r="H187" s="9"/>
      <c r="I187" s="12">
        <f t="shared" si="21"/>
        <v>188.88960237090984</v>
      </c>
      <c r="J187" s="12">
        <f t="shared" si="22"/>
        <v>1049.2830894495391</v>
      </c>
      <c r="K187" s="12">
        <f t="shared" si="23"/>
        <v>129.68667397690945</v>
      </c>
    </row>
    <row r="188" spans="2:11" x14ac:dyDescent="0.25">
      <c r="B188" s="10">
        <v>184</v>
      </c>
      <c r="C188" s="21">
        <v>44075</v>
      </c>
      <c r="D188" s="12">
        <f t="shared" si="18"/>
        <v>6763.3501726031536</v>
      </c>
      <c r="E188" s="12">
        <f t="shared" si="19"/>
        <v>33411.916041447323</v>
      </c>
      <c r="F188" s="12">
        <f t="shared" si="26"/>
        <v>135826.22306949503</v>
      </c>
      <c r="G188" s="12">
        <f t="shared" si="26"/>
        <v>16787.510716454457</v>
      </c>
      <c r="H188" s="9"/>
      <c r="I188" s="12">
        <f t="shared" si="21"/>
        <v>178.87039110067471</v>
      </c>
      <c r="J188" s="12">
        <f t="shared" si="22"/>
        <v>1019.9107113382246</v>
      </c>
      <c r="K188" s="12">
        <f t="shared" si="23"/>
        <v>126.05638005303913</v>
      </c>
    </row>
    <row r="189" spans="2:11" x14ac:dyDescent="0.25">
      <c r="B189" s="10">
        <v>185</v>
      </c>
      <c r="C189" s="21">
        <v>44076</v>
      </c>
      <c r="D189" s="12">
        <f t="shared" si="18"/>
        <v>6593.8692406289556</v>
      </c>
      <c r="E189" s="12">
        <f t="shared" si="19"/>
        <v>32467.666438706612</v>
      </c>
      <c r="F189" s="12">
        <f t="shared" si="26"/>
        <v>136817.4432453913</v>
      </c>
      <c r="G189" s="12">
        <f t="shared" si="26"/>
        <v>16910.021075273096</v>
      </c>
      <c r="H189" s="9"/>
      <c r="I189" s="12">
        <f t="shared" si="21"/>
        <v>169.4809319741978</v>
      </c>
      <c r="J189" s="12">
        <f t="shared" si="22"/>
        <v>991.22017589627046</v>
      </c>
      <c r="K189" s="12">
        <f t="shared" si="23"/>
        <v>122.51035881864028</v>
      </c>
    </row>
    <row r="190" spans="2:11" x14ac:dyDescent="0.25">
      <c r="B190" s="10">
        <v>186</v>
      </c>
      <c r="C190" s="21">
        <v>44077</v>
      </c>
      <c r="D190" s="12">
        <f t="shared" si="18"/>
        <v>6433.1930962555025</v>
      </c>
      <c r="E190" s="12">
        <f t="shared" si="19"/>
        <v>31546.087035123179</v>
      </c>
      <c r="F190" s="12">
        <f t="shared" si="26"/>
        <v>137780.65068307292</v>
      </c>
      <c r="G190" s="12">
        <f t="shared" si="26"/>
        <v>17029.069185548353</v>
      </c>
      <c r="H190" s="9"/>
      <c r="I190" s="12">
        <f t="shared" si="21"/>
        <v>160.67614437345293</v>
      </c>
      <c r="J190" s="12">
        <f t="shared" si="22"/>
        <v>963.20743768162936</v>
      </c>
      <c r="K190" s="12">
        <f t="shared" si="23"/>
        <v>119.04811027525768</v>
      </c>
    </row>
    <row r="191" spans="2:11" x14ac:dyDescent="0.25">
      <c r="B191" s="10">
        <v>187</v>
      </c>
      <c r="C191" s="21">
        <v>44078</v>
      </c>
      <c r="D191" s="12">
        <f t="shared" si="18"/>
        <v>6280.7786464591691</v>
      </c>
      <c r="E191" s="12">
        <f t="shared" si="19"/>
        <v>30646.965250415407</v>
      </c>
      <c r="F191" s="12">
        <f t="shared" si="26"/>
        <v>138716.51793178156</v>
      </c>
      <c r="G191" s="12">
        <f t="shared" si="26"/>
        <v>17144.738171343804</v>
      </c>
      <c r="H191" s="9"/>
      <c r="I191" s="12">
        <f t="shared" si="21"/>
        <v>152.41444979633368</v>
      </c>
      <c r="J191" s="12">
        <f t="shared" si="22"/>
        <v>935.8672487086543</v>
      </c>
      <c r="K191" s="12">
        <f t="shared" si="23"/>
        <v>115.66898579545176</v>
      </c>
    </row>
    <row r="192" spans="2:11" x14ac:dyDescent="0.25">
      <c r="B192" s="10">
        <v>188</v>
      </c>
      <c r="C192" s="21">
        <v>44079</v>
      </c>
      <c r="D192" s="12">
        <f t="shared" si="18"/>
        <v>6136.1211553155108</v>
      </c>
      <c r="E192" s="12">
        <f t="shared" si="19"/>
        <v>29770.057233211886</v>
      </c>
      <c r="F192" s="12">
        <f t="shared" si="26"/>
        <v>139625.71123421055</v>
      </c>
      <c r="G192" s="12">
        <f t="shared" si="26"/>
        <v>17257.110377261994</v>
      </c>
      <c r="H192" s="9"/>
      <c r="I192" s="12">
        <f t="shared" si="21"/>
        <v>144.65749114365846</v>
      </c>
      <c r="J192" s="12">
        <f t="shared" si="22"/>
        <v>909.19330242899025</v>
      </c>
      <c r="K192" s="12">
        <f t="shared" si="23"/>
        <v>112.37220591818992</v>
      </c>
    </row>
    <row r="193" spans="2:11" x14ac:dyDescent="0.25">
      <c r="B193" s="10">
        <v>189</v>
      </c>
      <c r="C193" s="21">
        <v>44080</v>
      </c>
      <c r="D193" s="12">
        <f t="shared" si="18"/>
        <v>5998.7512816950066</v>
      </c>
      <c r="E193" s="12">
        <f t="shared" si="19"/>
        <v>28915.091865725328</v>
      </c>
      <c r="F193" s="12">
        <f t="shared" si="26"/>
        <v>140508.88959879585</v>
      </c>
      <c r="G193" s="12">
        <f t="shared" si="26"/>
        <v>17366.267253783772</v>
      </c>
      <c r="H193" s="9"/>
      <c r="I193" s="12">
        <f t="shared" si="21"/>
        <v>137.36987362050405</v>
      </c>
      <c r="J193" s="12">
        <f t="shared" si="22"/>
        <v>883.17836458528586</v>
      </c>
      <c r="K193" s="12">
        <f t="shared" si="23"/>
        <v>109.15687652177702</v>
      </c>
    </row>
    <row r="194" spans="2:11" x14ac:dyDescent="0.25">
      <c r="B194" s="10">
        <v>190</v>
      </c>
      <c r="C194" s="21">
        <v>44081</v>
      </c>
      <c r="D194" s="12">
        <f t="shared" si="18"/>
        <v>5868.2323557780128</v>
      </c>
      <c r="E194" s="12">
        <f t="shared" si="19"/>
        <v>28081.774396118144</v>
      </c>
      <c r="F194" s="12">
        <f t="shared" si="26"/>
        <v>141366.70399081238</v>
      </c>
      <c r="G194" s="12">
        <f t="shared" si="26"/>
        <v>17472.289257291432</v>
      </c>
      <c r="H194" s="9"/>
      <c r="I194" s="12">
        <f t="shared" si="21"/>
        <v>130.51892591699399</v>
      </c>
      <c r="J194" s="12">
        <f t="shared" si="22"/>
        <v>857.81439201651801</v>
      </c>
      <c r="K194" s="12">
        <f t="shared" si="23"/>
        <v>106.02200350765962</v>
      </c>
    </row>
    <row r="195" spans="2:11" x14ac:dyDescent="0.25">
      <c r="B195" s="10">
        <v>191</v>
      </c>
      <c r="C195" s="21">
        <v>44082</v>
      </c>
      <c r="D195" s="12">
        <f t="shared" si="18"/>
        <v>5744.1578754415323</v>
      </c>
      <c r="E195" s="12">
        <f t="shared" si="19"/>
        <v>27269.789729917353</v>
      </c>
      <c r="F195" s="12">
        <f t="shared" si="26"/>
        <v>142199.79663123057</v>
      </c>
      <c r="G195" s="12">
        <f t="shared" si="26"/>
        <v>17575.255763410532</v>
      </c>
      <c r="H195" s="9"/>
      <c r="I195" s="12">
        <f t="shared" si="21"/>
        <v>124.07448033648033</v>
      </c>
      <c r="J195" s="12">
        <f t="shared" si="22"/>
        <v>833.09264041817153</v>
      </c>
      <c r="K195" s="12">
        <f t="shared" si="23"/>
        <v>102.96650611909995</v>
      </c>
    </row>
    <row r="196" spans="2:11" x14ac:dyDescent="0.25">
      <c r="B196" s="10">
        <v>192</v>
      </c>
      <c r="C196" s="21">
        <v>44083</v>
      </c>
      <c r="D196" s="12">
        <f t="shared" si="18"/>
        <v>5626.149204877458</v>
      </c>
      <c r="E196" s="12">
        <f t="shared" si="19"/>
        <v>26478.805409484183</v>
      </c>
      <c r="F196" s="12">
        <f t="shared" si="26"/>
        <v>143008.80039321812</v>
      </c>
      <c r="G196" s="12">
        <f t="shared" si="26"/>
        <v>17675.24499242023</v>
      </c>
      <c r="H196" s="9"/>
      <c r="I196" s="12">
        <f t="shared" si="21"/>
        <v>118.00867056407397</v>
      </c>
      <c r="J196" s="12">
        <f t="shared" si="22"/>
        <v>809.00376198754805</v>
      </c>
      <c r="K196" s="12">
        <f t="shared" si="23"/>
        <v>99.989229009697056</v>
      </c>
    </row>
    <row r="197" spans="2:11" x14ac:dyDescent="0.25">
      <c r="B197" s="10">
        <v>193</v>
      </c>
      <c r="C197" s="21">
        <v>44084</v>
      </c>
      <c r="D197" s="12">
        <f t="shared" si="18"/>
        <v>5513.8534590678964</v>
      </c>
      <c r="E197" s="12">
        <f t="shared" si="19"/>
        <v>25708.474308310939</v>
      </c>
      <c r="F197" s="12">
        <f t="shared" si="26"/>
        <v>143794.33828703282</v>
      </c>
      <c r="G197" s="12">
        <f t="shared" si="26"/>
        <v>17772.33394558834</v>
      </c>
      <c r="H197" s="9"/>
      <c r="I197" s="12">
        <f t="shared" si="21"/>
        <v>112.29574580956158</v>
      </c>
      <c r="J197" s="12">
        <f t="shared" si="22"/>
        <v>785.53789381469733</v>
      </c>
      <c r="K197" s="12">
        <f t="shared" si="23"/>
        <v>97.088953168108745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5406.9415589568625</v>
      </c>
      <c r="E198" s="12">
        <f t="shared" ref="E198:E204" si="28">E197+I198-J198-K198</f>
        <v>24958.437064811606</v>
      </c>
      <c r="F198" s="12">
        <f t="shared" ref="F198:G204" si="29">F197+J198</f>
        <v>144557.02302484604</v>
      </c>
      <c r="G198" s="12">
        <f t="shared" si="29"/>
        <v>17866.598351385481</v>
      </c>
      <c r="H198" s="9"/>
      <c r="I198" s="12">
        <f t="shared" ref="I198:I204" si="30">E197*N$6*D197/SUM(D197:F197)*N$7</f>
        <v>106.9119001110341</v>
      </c>
      <c r="J198" s="12">
        <f t="shared" ref="J198:J204" si="31">E197*N$8/N$5</f>
        <v>762.68473781322439</v>
      </c>
      <c r="K198" s="12">
        <f t="shared" ref="K198:K204" si="32">E197*N$9/N$5</f>
        <v>94.264405797140185</v>
      </c>
    </row>
    <row r="199" spans="2:11" x14ac:dyDescent="0.25">
      <c r="B199" s="10">
        <v>195</v>
      </c>
      <c r="C199" s="21">
        <v>44086</v>
      </c>
      <c r="D199" s="12">
        <f t="shared" si="27"/>
        <v>5305.106443311628</v>
      </c>
      <c r="E199" s="12">
        <f t="shared" si="28"/>
        <v>24228.324278296452</v>
      </c>
      <c r="F199" s="12">
        <f t="shared" si="29"/>
        <v>145297.45665776878</v>
      </c>
      <c r="G199" s="12">
        <f t="shared" si="29"/>
        <v>17958.112620623124</v>
      </c>
      <c r="H199" s="9"/>
      <c r="I199" s="12">
        <f t="shared" si="30"/>
        <v>101.83511564523427</v>
      </c>
      <c r="J199" s="12">
        <f t="shared" si="31"/>
        <v>740.43363292274421</v>
      </c>
      <c r="K199" s="12">
        <f t="shared" si="32"/>
        <v>91.514269237642637</v>
      </c>
    </row>
    <row r="200" spans="2:11" x14ac:dyDescent="0.25">
      <c r="B200" s="10">
        <v>196</v>
      </c>
      <c r="C200" s="21">
        <v>44087</v>
      </c>
      <c r="D200" s="12">
        <f t="shared" si="27"/>
        <v>5208.0614243568898</v>
      </c>
      <c r="E200" s="12">
        <f t="shared" si="28"/>
        <v>23517.758487974639</v>
      </c>
      <c r="F200" s="12">
        <f t="shared" si="29"/>
        <v>146016.23027802492</v>
      </c>
      <c r="G200" s="12">
        <f t="shared" si="29"/>
        <v>18046.949809643545</v>
      </c>
      <c r="H200" s="9"/>
      <c r="I200" s="12">
        <f t="shared" si="30"/>
        <v>97.045018954738012</v>
      </c>
      <c r="J200" s="12">
        <f t="shared" si="31"/>
        <v>718.77362025612797</v>
      </c>
      <c r="K200" s="12">
        <f t="shared" si="32"/>
        <v>88.837189020420411</v>
      </c>
    </row>
    <row r="201" spans="2:11" x14ac:dyDescent="0.25">
      <c r="B201" s="10">
        <v>197</v>
      </c>
      <c r="C201" s="21">
        <v>44088</v>
      </c>
      <c r="D201" s="12">
        <f t="shared" si="27"/>
        <v>5115.5386752885461</v>
      </c>
      <c r="E201" s="12">
        <f t="shared" si="28"/>
        <v>22826.355954110495</v>
      </c>
      <c r="F201" s="12">
        <f t="shared" si="29"/>
        <v>146713.92377983482</v>
      </c>
      <c r="G201" s="12">
        <f t="shared" si="29"/>
        <v>18133.181590766118</v>
      </c>
      <c r="H201" s="9"/>
      <c r="I201" s="12">
        <f t="shared" si="30"/>
        <v>92.522749068343629</v>
      </c>
      <c r="J201" s="12">
        <f t="shared" si="31"/>
        <v>697.69350180991421</v>
      </c>
      <c r="K201" s="12">
        <f t="shared" si="32"/>
        <v>86.23178112257375</v>
      </c>
    </row>
    <row r="202" spans="2:11" x14ac:dyDescent="0.25">
      <c r="B202" s="10">
        <v>198</v>
      </c>
      <c r="C202" s="21">
        <v>44089</v>
      </c>
      <c r="D202" s="12">
        <f t="shared" si="27"/>
        <v>5027.2878387308238</v>
      </c>
      <c r="E202" s="12">
        <f t="shared" si="28"/>
        <v>22153.728258864536</v>
      </c>
      <c r="F202" s="12">
        <f t="shared" si="29"/>
        <v>147391.10567314009</v>
      </c>
      <c r="G202" s="12">
        <f t="shared" si="29"/>
        <v>18216.878229264523</v>
      </c>
      <c r="H202" s="9"/>
      <c r="I202" s="12">
        <f t="shared" si="30"/>
        <v>88.25083655772211</v>
      </c>
      <c r="J202" s="12">
        <f t="shared" si="31"/>
        <v>677.18189330527798</v>
      </c>
      <c r="K202" s="12">
        <f t="shared" si="32"/>
        <v>83.696638498405221</v>
      </c>
    </row>
    <row r="203" spans="2:11" x14ac:dyDescent="0.25">
      <c r="B203" s="10">
        <v>199</v>
      </c>
      <c r="C203" s="21">
        <v>44090</v>
      </c>
      <c r="D203" s="12">
        <f t="shared" si="27"/>
        <v>4943.0747460916245</v>
      </c>
      <c r="E203" s="12">
        <f t="shared" si="28"/>
        <v>21499.483742874916</v>
      </c>
      <c r="F203" s="12">
        <f t="shared" si="29"/>
        <v>148048.33294481973</v>
      </c>
      <c r="G203" s="12">
        <f t="shared" si="29"/>
        <v>18298.108566213694</v>
      </c>
      <c r="H203" s="9"/>
      <c r="I203" s="12">
        <f t="shared" si="30"/>
        <v>84.213092639199118</v>
      </c>
      <c r="J203" s="12">
        <f t="shared" si="31"/>
        <v>657.22727167964774</v>
      </c>
      <c r="K203" s="12">
        <f t="shared" si="32"/>
        <v>81.230336949170038</v>
      </c>
    </row>
    <row r="204" spans="2:11" x14ac:dyDescent="0.25">
      <c r="B204" s="20">
        <v>200</v>
      </c>
      <c r="C204" s="21">
        <v>44091</v>
      </c>
      <c r="D204" s="12">
        <f t="shared" si="27"/>
        <v>4862.6802385980709</v>
      </c>
      <c r="E204" s="12">
        <f t="shared" si="28"/>
        <v>20863.228792272639</v>
      </c>
      <c r="F204" s="12">
        <f t="shared" si="29"/>
        <v>148686.15096252502</v>
      </c>
      <c r="G204" s="12">
        <f t="shared" si="29"/>
        <v>18376.940006604236</v>
      </c>
      <c r="H204" s="9"/>
      <c r="I204" s="12">
        <f t="shared" si="30"/>
        <v>80.394507493553974</v>
      </c>
      <c r="J204" s="12">
        <f t="shared" si="31"/>
        <v>637.81801770528909</v>
      </c>
      <c r="K204" s="12">
        <f t="shared" si="32"/>
        <v>78.831440390541431</v>
      </c>
    </row>
    <row r="205" spans="2:11" x14ac:dyDescent="0.25">
      <c r="B205" s="19"/>
      <c r="C205" s="1"/>
      <c r="E205" s="12">
        <f>MAX(E4:E204)</f>
        <v>79680.489909244818</v>
      </c>
      <c r="I205" s="12">
        <f>MAX(I4:I204)</f>
        <v>4296.7761631053118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95A00-0089-4D3F-95A2-E7EFEBBD68DB}">
  <sheetPr codeName="Hoja7"/>
  <dimension ref="B2:N762"/>
  <sheetViews>
    <sheetView showGridLines="0" topLeftCell="B186" workbookViewId="0">
      <selection activeCell="I205" sqref="I205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4" t="s">
        <v>26</v>
      </c>
      <c r="E2" s="35"/>
      <c r="F2" s="35"/>
      <c r="G2" s="36"/>
      <c r="I2" s="34" t="s">
        <v>27</v>
      </c>
      <c r="J2" s="35"/>
      <c r="K2" s="36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1567156</v>
      </c>
    </row>
    <row r="4" spans="2:14" x14ac:dyDescent="0.25">
      <c r="B4" s="10">
        <v>0</v>
      </c>
      <c r="C4" s="11">
        <v>43891</v>
      </c>
      <c r="D4" s="12">
        <f>N3</f>
        <v>1567156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1567155.8680000843</v>
      </c>
      <c r="E5" s="12">
        <f>E4+I5-J5-K5</f>
        <v>1.0986665824377093</v>
      </c>
      <c r="F5" s="12">
        <f>F4+J5</f>
        <v>2.9666666666666664E-2</v>
      </c>
      <c r="G5" s="12">
        <f>G4+K5</f>
        <v>3.6666666666666701E-3</v>
      </c>
      <c r="H5" s="9"/>
      <c r="I5" s="12">
        <f>E4*N$6*D4/SUM(D4:F4)*N$7</f>
        <v>0.13199991577104273</v>
      </c>
      <c r="J5" s="12">
        <f>E4*N$8/N$5</f>
        <v>2.9666666666666664E-2</v>
      </c>
      <c r="K5" s="12">
        <f>E4*N$9/N$5</f>
        <v>3.6666666666666701E-3</v>
      </c>
      <c r="M5" s="2" t="s">
        <v>7</v>
      </c>
      <c r="N5" s="18">
        <f>Datos!G3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1567155.7229761998</v>
      </c>
      <c r="E6" s="12">
        <f t="shared" ref="E6:E69" si="1">E5+I6-J6-K6</f>
        <v>1.2070682474894558</v>
      </c>
      <c r="F6" s="12">
        <f t="shared" ref="F6:G21" si="2">F5+J6</f>
        <v>6.2260441945652042E-2</v>
      </c>
      <c r="G6" s="12">
        <f t="shared" si="2"/>
        <v>7.6951108022716083E-3</v>
      </c>
      <c r="H6" s="9"/>
      <c r="I6" s="12">
        <f t="shared" ref="I6:I69" si="3">E5*N$6*D5/SUM(D5:F5)*N$7</f>
        <v>0.14502388446633685</v>
      </c>
      <c r="J6" s="12">
        <f t="shared" ref="J6:J69" si="4">E5*N$8/N$5</f>
        <v>3.2593775278985375E-2</v>
      </c>
      <c r="K6" s="12">
        <f t="shared" ref="K6:K69" si="5">E5*N$9/N$5</f>
        <v>4.0284441356049378E-3</v>
      </c>
      <c r="M6" s="2" t="s">
        <v>8</v>
      </c>
      <c r="N6" s="3">
        <f>Datos!G4</f>
        <v>2</v>
      </c>
    </row>
    <row r="7" spans="2:14" x14ac:dyDescent="0.25">
      <c r="B7" s="10">
        <v>3</v>
      </c>
      <c r="C7" s="11">
        <v>43894</v>
      </c>
      <c r="D7" s="12">
        <f t="shared" si="0"/>
        <v>1567155.5636433202</v>
      </c>
      <c r="E7" s="12">
        <f t="shared" si="1"/>
        <v>1.32616551885564</v>
      </c>
      <c r="F7" s="12">
        <f t="shared" si="2"/>
        <v>9.8070133287839228E-2</v>
      </c>
      <c r="G7" s="12">
        <f t="shared" si="2"/>
        <v>1.2121027709732951E-2</v>
      </c>
      <c r="H7" s="9"/>
      <c r="I7" s="12">
        <f t="shared" si="3"/>
        <v>0.15933287961583295</v>
      </c>
      <c r="J7" s="12">
        <f t="shared" si="4"/>
        <v>3.5809691342187186E-2</v>
      </c>
      <c r="K7" s="12">
        <f t="shared" si="5"/>
        <v>4.4259169074613424E-3</v>
      </c>
      <c r="M7" s="2" t="s">
        <v>9</v>
      </c>
      <c r="N7" s="4">
        <f>Datos!G5</f>
        <v>6.6000000000000003E-2</v>
      </c>
    </row>
    <row r="8" spans="2:14" x14ac:dyDescent="0.25">
      <c r="B8" s="10">
        <v>4</v>
      </c>
      <c r="C8" s="11">
        <v>43895</v>
      </c>
      <c r="D8" s="12">
        <f t="shared" si="0"/>
        <v>1567155.3885896308</v>
      </c>
      <c r="E8" s="12">
        <f t="shared" si="1"/>
        <v>1.4570136909600813</v>
      </c>
      <c r="F8" s="12">
        <f t="shared" si="2"/>
        <v>0.13741304368055654</v>
      </c>
      <c r="G8" s="12">
        <f t="shared" si="2"/>
        <v>1.6983634612203636E-2</v>
      </c>
      <c r="H8" s="9"/>
      <c r="I8" s="12">
        <f t="shared" si="3"/>
        <v>0.17505368939962923</v>
      </c>
      <c r="J8" s="12">
        <f t="shared" si="4"/>
        <v>3.9342910392717319E-2</v>
      </c>
      <c r="K8" s="12">
        <f t="shared" si="5"/>
        <v>4.8626069024706843E-3</v>
      </c>
      <c r="M8" s="2" t="s">
        <v>10</v>
      </c>
      <c r="N8" s="5">
        <f>Datos!G6</f>
        <v>0.8899999999999999</v>
      </c>
    </row>
    <row r="9" spans="2:14" x14ac:dyDescent="0.25">
      <c r="B9" s="10">
        <v>5</v>
      </c>
      <c r="C9" s="11">
        <v>43896</v>
      </c>
      <c r="D9" s="12">
        <f t="shared" si="0"/>
        <v>1567155.1962640192</v>
      </c>
      <c r="E9" s="12">
        <f t="shared" si="1"/>
        <v>1.6007721794623835</v>
      </c>
      <c r="F9" s="12">
        <f t="shared" si="2"/>
        <v>0.18063778317903895</v>
      </c>
      <c r="G9" s="12">
        <f t="shared" si="2"/>
        <v>2.2326018145723939E-2</v>
      </c>
      <c r="H9" s="9"/>
      <c r="I9" s="12">
        <f t="shared" si="3"/>
        <v>0.19232561153430475</v>
      </c>
      <c r="J9" s="12">
        <f t="shared" si="4"/>
        <v>4.3224739498482406E-2</v>
      </c>
      <c r="K9" s="12">
        <f t="shared" si="5"/>
        <v>5.3423835335203026E-3</v>
      </c>
      <c r="M9" s="2" t="s">
        <v>11</v>
      </c>
      <c r="N9" s="5">
        <f>Datos!G7</f>
        <v>0.1100000000000001</v>
      </c>
    </row>
    <row r="10" spans="2:14" x14ac:dyDescent="0.25">
      <c r="B10" s="10">
        <v>6</v>
      </c>
      <c r="C10" s="11">
        <v>43897</v>
      </c>
      <c r="D10" s="12">
        <f t="shared" si="0"/>
        <v>1567154.9849623318</v>
      </c>
      <c r="E10" s="12">
        <f t="shared" si="1"/>
        <v>1.7587147943127202</v>
      </c>
      <c r="F10" s="12">
        <f t="shared" si="2"/>
        <v>0.22812735783642299</v>
      </c>
      <c r="G10" s="12">
        <f t="shared" si="2"/>
        <v>2.8195516137086016E-2</v>
      </c>
      <c r="H10" s="9"/>
      <c r="I10" s="12">
        <f t="shared" si="3"/>
        <v>0.21130168749908276</v>
      </c>
      <c r="J10" s="12">
        <f t="shared" si="4"/>
        <v>4.7489574657384036E-2</v>
      </c>
      <c r="K10" s="12">
        <f t="shared" si="5"/>
        <v>5.8694979913620779E-3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1567154.7528122733</v>
      </c>
      <c r="E11" s="12">
        <f t="shared" si="1"/>
        <v>1.9322410263646108</v>
      </c>
      <c r="F11" s="12">
        <f t="shared" si="2"/>
        <v>0.28030256340103366</v>
      </c>
      <c r="G11" s="12">
        <f t="shared" si="2"/>
        <v>3.4644137049565996E-2</v>
      </c>
      <c r="H11" s="9"/>
      <c r="I11" s="12">
        <f t="shared" si="3"/>
        <v>0.23215005852898124</v>
      </c>
      <c r="J11" s="12">
        <f t="shared" si="4"/>
        <v>5.2175205564610687E-2</v>
      </c>
      <c r="K11" s="12">
        <f t="shared" si="5"/>
        <v>6.44862091247998E-3</v>
      </c>
      <c r="M11" s="2" t="s">
        <v>12</v>
      </c>
      <c r="N11" s="7">
        <f>SUM(I5:I204)+E4</f>
        <v>1501579.8470008255</v>
      </c>
    </row>
    <row r="12" spans="2:14" x14ac:dyDescent="0.25">
      <c r="B12" s="10">
        <v>8</v>
      </c>
      <c r="C12" s="11">
        <v>43899</v>
      </c>
      <c r="D12" s="12">
        <f t="shared" si="0"/>
        <v>1567154.4977568178</v>
      </c>
      <c r="E12" s="12">
        <f t="shared" si="1"/>
        <v>2.1228884475396774</v>
      </c>
      <c r="F12" s="12">
        <f t="shared" si="2"/>
        <v>0.33762571384985041</v>
      </c>
      <c r="G12" s="12">
        <f t="shared" si="2"/>
        <v>4.172902081290291E-2</v>
      </c>
      <c r="H12" s="9"/>
      <c r="I12" s="12">
        <f t="shared" si="3"/>
        <v>0.25505545538722024</v>
      </c>
      <c r="J12" s="12">
        <f t="shared" si="4"/>
        <v>5.7323150448816779E-2</v>
      </c>
      <c r="K12" s="12">
        <f t="shared" si="5"/>
        <v>7.0848837633369121E-3</v>
      </c>
      <c r="M12" s="2" t="s">
        <v>13</v>
      </c>
      <c r="N12" s="7">
        <f>SUM(J5:J204)</f>
        <v>1048065.9317809809</v>
      </c>
    </row>
    <row r="13" spans="2:14" x14ac:dyDescent="0.25">
      <c r="B13" s="10">
        <v>9</v>
      </c>
      <c r="C13" s="11">
        <v>43900</v>
      </c>
      <c r="D13" s="12">
        <f t="shared" si="0"/>
        <v>1567154.2175359828</v>
      </c>
      <c r="E13" s="12">
        <f t="shared" si="1"/>
        <v>2.3323463344022906</v>
      </c>
      <c r="F13" s="12">
        <f t="shared" si="2"/>
        <v>0.40060473779352751</v>
      </c>
      <c r="G13" s="12">
        <f t="shared" si="2"/>
        <v>4.95129451205484E-2</v>
      </c>
      <c r="H13" s="9"/>
      <c r="I13" s="12">
        <f t="shared" si="3"/>
        <v>0.28022083511393558</v>
      </c>
      <c r="J13" s="12">
        <f t="shared" si="4"/>
        <v>6.297902394367709E-2</v>
      </c>
      <c r="K13" s="12">
        <f t="shared" si="5"/>
        <v>7.7839243076454909E-3</v>
      </c>
      <c r="M13" s="2" t="s">
        <v>14</v>
      </c>
      <c r="N13" s="7">
        <f>SUM(K5:K204)</f>
        <v>129536.23875944718</v>
      </c>
    </row>
    <row r="14" spans="2:14" x14ac:dyDescent="0.25">
      <c r="B14" s="10">
        <v>10</v>
      </c>
      <c r="C14" s="11">
        <v>43901</v>
      </c>
      <c r="D14" s="12">
        <f t="shared" si="0"/>
        <v>1567153.9096668037</v>
      </c>
      <c r="E14" s="12">
        <f t="shared" si="1"/>
        <v>2.5624706358387228</v>
      </c>
      <c r="F14" s="12">
        <f t="shared" si="2"/>
        <v>0.46979767904746211</v>
      </c>
      <c r="G14" s="12">
        <f t="shared" si="2"/>
        <v>5.8064881680023474E-2</v>
      </c>
      <c r="H14" s="9"/>
      <c r="I14" s="12">
        <f t="shared" si="3"/>
        <v>0.3078691792498417</v>
      </c>
      <c r="J14" s="12">
        <f t="shared" si="4"/>
        <v>6.9192941253934617E-2</v>
      </c>
      <c r="K14" s="12">
        <f t="shared" si="5"/>
        <v>8.5519365594750717E-3</v>
      </c>
      <c r="M14" s="2" t="s">
        <v>15</v>
      </c>
      <c r="N14" s="7">
        <f>SUM(D4:G4)-N11</f>
        <v>65577.152999174548</v>
      </c>
    </row>
    <row r="15" spans="2:14" x14ac:dyDescent="0.25">
      <c r="B15" s="10">
        <v>11</v>
      </c>
      <c r="C15" s="11">
        <v>43902</v>
      </c>
      <c r="D15" s="12">
        <f t="shared" si="0"/>
        <v>1567153.5714213343</v>
      </c>
      <c r="E15" s="12">
        <f t="shared" si="1"/>
        <v>2.8153004174408229</v>
      </c>
      <c r="F15" s="12">
        <f t="shared" si="2"/>
        <v>0.54581764124401089</v>
      </c>
      <c r="G15" s="12">
        <f t="shared" si="2"/>
        <v>6.7460607344765472E-2</v>
      </c>
      <c r="H15" s="9"/>
      <c r="I15" s="12">
        <f t="shared" si="3"/>
        <v>0.33824546946339112</v>
      </c>
      <c r="J15" s="12">
        <f t="shared" si="4"/>
        <v>7.601996219654876E-2</v>
      </c>
      <c r="K15" s="12">
        <f t="shared" si="5"/>
        <v>9.395725664741993E-3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1567153.1998024762</v>
      </c>
      <c r="E16" s="12">
        <f t="shared" si="1"/>
        <v>3.0930759282736346</v>
      </c>
      <c r="F16" s="12">
        <f t="shared" si="2"/>
        <v>0.62933822029475528</v>
      </c>
      <c r="G16" s="12">
        <f t="shared" si="2"/>
        <v>7.7783375542048505E-2</v>
      </c>
      <c r="H16" s="9"/>
      <c r="I16" s="12">
        <f t="shared" si="3"/>
        <v>0.37161885808083889</v>
      </c>
      <c r="J16" s="12">
        <f t="shared" si="4"/>
        <v>8.3520579050744406E-2</v>
      </c>
      <c r="K16" s="12">
        <f t="shared" si="5"/>
        <v>1.0322768197283026E-2</v>
      </c>
      <c r="M16" s="2" t="s">
        <v>16</v>
      </c>
      <c r="N16" s="7">
        <f>MAX(E4:E204)</f>
        <v>647721.12578476605</v>
      </c>
    </row>
    <row r="17" spans="2:14" x14ac:dyDescent="0.25">
      <c r="B17" s="10">
        <v>13</v>
      </c>
      <c r="C17" s="11">
        <v>43904</v>
      </c>
      <c r="D17" s="12">
        <f t="shared" si="0"/>
        <v>1567152.7915174235</v>
      </c>
      <c r="E17" s="12">
        <f t="shared" si="1"/>
        <v>3.398258450075498</v>
      </c>
      <c r="F17" s="12">
        <f t="shared" si="2"/>
        <v>0.72109947283353981</v>
      </c>
      <c r="G17" s="12">
        <f t="shared" si="2"/>
        <v>8.9124653945718502E-2</v>
      </c>
      <c r="H17" s="9"/>
      <c r="I17" s="12">
        <f t="shared" si="3"/>
        <v>0.40828505274431787</v>
      </c>
      <c r="J17" s="12">
        <f t="shared" si="4"/>
        <v>9.1761252538784491E-2</v>
      </c>
      <c r="K17" s="12">
        <f t="shared" si="5"/>
        <v>1.1341278403670003E-2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1567152.3429484873</v>
      </c>
      <c r="E18" s="12">
        <f t="shared" si="1"/>
        <v>3.733552104725121</v>
      </c>
      <c r="F18" s="12">
        <f t="shared" si="2"/>
        <v>0.82191447351911284</v>
      </c>
      <c r="G18" s="12">
        <f t="shared" si="2"/>
        <v>0.10158493492932867</v>
      </c>
      <c r="H18" s="9"/>
      <c r="I18" s="12">
        <f t="shared" si="3"/>
        <v>0.44856893631880645</v>
      </c>
      <c r="J18" s="12">
        <f t="shared" si="4"/>
        <v>0.10081500068557309</v>
      </c>
      <c r="K18" s="12">
        <f t="shared" si="5"/>
        <v>1.2460280983610171E-2</v>
      </c>
      <c r="M18" s="2" t="s">
        <v>17</v>
      </c>
      <c r="N18" s="7">
        <f>MAX(I5:I204)</f>
        <v>34927.494035382668</v>
      </c>
    </row>
    <row r="19" spans="2:14" x14ac:dyDescent="0.25">
      <c r="B19" s="10">
        <v>15</v>
      </c>
      <c r="C19" s="11">
        <v>43906</v>
      </c>
      <c r="D19" s="12">
        <f t="shared" si="0"/>
        <v>1567151.850121042</v>
      </c>
      <c r="E19" s="12">
        <f t="shared" si="1"/>
        <v>4.1019278131524173</v>
      </c>
      <c r="F19" s="12">
        <f t="shared" si="2"/>
        <v>0.93267651929262474</v>
      </c>
      <c r="G19" s="12">
        <f t="shared" si="2"/>
        <v>0.11527462597998746</v>
      </c>
      <c r="H19" s="9"/>
      <c r="I19" s="12">
        <f t="shared" si="3"/>
        <v>0.49282744525146743</v>
      </c>
      <c r="J19" s="12">
        <f t="shared" si="4"/>
        <v>0.11076204577351191</v>
      </c>
      <c r="K19" s="12">
        <f t="shared" si="5"/>
        <v>1.3689691050658788E-2</v>
      </c>
      <c r="M19" s="2" t="s">
        <v>18</v>
      </c>
      <c r="N19" s="7">
        <f>MAX(J5:J204)</f>
        <v>19215.726731614726</v>
      </c>
    </row>
    <row r="20" spans="2:14" x14ac:dyDescent="0.25">
      <c r="B20" s="10">
        <v>16</v>
      </c>
      <c r="C20" s="11">
        <v>43907</v>
      </c>
      <c r="D20" s="12">
        <f t="shared" si="0"/>
        <v>1567151.3086683101</v>
      </c>
      <c r="E20" s="12">
        <f t="shared" si="1"/>
        <v>4.5066496179219797</v>
      </c>
      <c r="F20" s="12">
        <f t="shared" si="2"/>
        <v>1.0543670444161464</v>
      </c>
      <c r="G20" s="12">
        <f t="shared" si="2"/>
        <v>0.13031502796154634</v>
      </c>
      <c r="H20" s="9"/>
      <c r="I20" s="12">
        <f t="shared" si="3"/>
        <v>0.54145273187464349</v>
      </c>
      <c r="J20" s="12">
        <f t="shared" si="4"/>
        <v>0.1216905251235217</v>
      </c>
      <c r="K20" s="12">
        <f t="shared" si="5"/>
        <v>1.5040401981558876E-2</v>
      </c>
      <c r="M20" s="2" t="s">
        <v>19</v>
      </c>
      <c r="N20" s="7">
        <f>MAX(K5:K204)</f>
        <v>2374.9774612108108</v>
      </c>
    </row>
    <row r="21" spans="2:14" x14ac:dyDescent="0.25">
      <c r="B21" s="10">
        <v>17</v>
      </c>
      <c r="C21" s="11">
        <v>43908</v>
      </c>
      <c r="D21" s="12">
        <f t="shared" si="0"/>
        <v>1567150.7137926714</v>
      </c>
      <c r="E21" s="12">
        <f t="shared" si="1"/>
        <v>4.9513036026482435</v>
      </c>
      <c r="F21" s="12">
        <f t="shared" si="2"/>
        <v>1.1880643164144984</v>
      </c>
      <c r="G21" s="12">
        <f t="shared" si="2"/>
        <v>0.14683940989392696</v>
      </c>
      <c r="H21" s="9"/>
      <c r="I21" s="12">
        <f t="shared" si="3"/>
        <v>0.59487563865699677</v>
      </c>
      <c r="J21" s="12">
        <f t="shared" si="4"/>
        <v>0.13369727199835205</v>
      </c>
      <c r="K21" s="12">
        <f t="shared" si="5"/>
        <v>1.6524381932380608E-2</v>
      </c>
    </row>
    <row r="22" spans="2:14" x14ac:dyDescent="0.25">
      <c r="B22" s="10">
        <v>18</v>
      </c>
      <c r="C22" s="11">
        <v>43909</v>
      </c>
      <c r="D22" s="12">
        <f t="shared" si="0"/>
        <v>1567150.0602231564</v>
      </c>
      <c r="E22" s="12">
        <f t="shared" si="1"/>
        <v>5.4398296643946917</v>
      </c>
      <c r="F22" s="12">
        <f t="shared" ref="F22:G37" si="6">F21+J22</f>
        <v>1.3349529899597297</v>
      </c>
      <c r="G22" s="12">
        <f t="shared" si="6"/>
        <v>0.16499418977030389</v>
      </c>
      <c r="H22" s="9"/>
      <c r="I22" s="12">
        <f t="shared" si="3"/>
        <v>0.65356951516805606</v>
      </c>
      <c r="J22" s="12">
        <f t="shared" si="4"/>
        <v>0.14688867354523122</v>
      </c>
      <c r="K22" s="12">
        <f t="shared" si="5"/>
        <v>1.8154779876376911E-2</v>
      </c>
    </row>
    <row r="23" spans="2:14" x14ac:dyDescent="0.25">
      <c r="B23" s="10">
        <v>19</v>
      </c>
      <c r="C23" s="11">
        <v>43910</v>
      </c>
      <c r="D23" s="12">
        <f t="shared" si="0"/>
        <v>1567149.3421687449</v>
      </c>
      <c r="E23" s="12">
        <f t="shared" si="1"/>
        <v>5.9765564204689792</v>
      </c>
      <c r="F23" s="12">
        <f t="shared" si="6"/>
        <v>1.4963346033367722</v>
      </c>
      <c r="G23" s="12">
        <f t="shared" si="6"/>
        <v>0.18494023187308445</v>
      </c>
      <c r="H23" s="9"/>
      <c r="I23" s="12">
        <f t="shared" si="3"/>
        <v>0.7180544115541112</v>
      </c>
      <c r="J23" s="12">
        <f t="shared" si="4"/>
        <v>0.16138161337704252</v>
      </c>
      <c r="K23" s="12">
        <f t="shared" si="5"/>
        <v>1.9946042102780556E-2</v>
      </c>
    </row>
    <row r="24" spans="2:14" x14ac:dyDescent="0.25">
      <c r="B24" s="10">
        <v>20</v>
      </c>
      <c r="C24" s="11">
        <v>43911</v>
      </c>
      <c r="D24" s="12">
        <f t="shared" si="0"/>
        <v>1567148.5532670591</v>
      </c>
      <c r="E24" s="12">
        <f t="shared" si="1"/>
        <v>6.5662395587747433</v>
      </c>
      <c r="F24" s="12">
        <f t="shared" si="6"/>
        <v>1.6736391104773518</v>
      </c>
      <c r="G24" s="12">
        <f t="shared" si="6"/>
        <v>0.20685427208147072</v>
      </c>
      <c r="H24" s="9"/>
      <c r="I24" s="12">
        <f t="shared" si="3"/>
        <v>0.78890168565473029</v>
      </c>
      <c r="J24" s="12">
        <f t="shared" si="4"/>
        <v>0.17730450714057969</v>
      </c>
      <c r="K24" s="12">
        <f t="shared" si="5"/>
        <v>2.1914040208386276E-2</v>
      </c>
    </row>
    <row r="25" spans="2:14" x14ac:dyDescent="0.25">
      <c r="B25" s="10">
        <v>21</v>
      </c>
      <c r="C25" s="11">
        <v>43912</v>
      </c>
      <c r="D25" s="12">
        <f t="shared" si="0"/>
        <v>1567147.6865279947</v>
      </c>
      <c r="E25" s="12">
        <f t="shared" si="1"/>
        <v>7.2141039713640609</v>
      </c>
      <c r="F25" s="12">
        <f t="shared" si="6"/>
        <v>1.8684375507210025</v>
      </c>
      <c r="G25" s="12">
        <f t="shared" si="6"/>
        <v>0.23093048379697814</v>
      </c>
      <c r="H25" s="9"/>
      <c r="I25" s="12">
        <f t="shared" si="3"/>
        <v>0.86673906454847582</v>
      </c>
      <c r="J25" s="12">
        <f t="shared" si="4"/>
        <v>0.1947984402436507</v>
      </c>
      <c r="K25" s="12">
        <f t="shared" si="5"/>
        <v>2.407621171550741E-2</v>
      </c>
    </row>
    <row r="26" spans="2:14" x14ac:dyDescent="0.25">
      <c r="B26" s="10">
        <v>22</v>
      </c>
      <c r="C26" s="11">
        <v>43913</v>
      </c>
      <c r="D26" s="12">
        <f t="shared" si="0"/>
        <v>1567146.7342717894</v>
      </c>
      <c r="E26" s="12">
        <f t="shared" si="1"/>
        <v>7.9258900443211671</v>
      </c>
      <c r="F26" s="12">
        <f t="shared" si="6"/>
        <v>2.0824559685381363</v>
      </c>
      <c r="G26" s="12">
        <f t="shared" si="6"/>
        <v>0.2573821983586464</v>
      </c>
      <c r="H26" s="9"/>
      <c r="I26" s="12">
        <f t="shared" si="3"/>
        <v>0.95225620533590816</v>
      </c>
      <c r="J26" s="12">
        <f t="shared" si="4"/>
        <v>0.21401841781713377</v>
      </c>
      <c r="K26" s="12">
        <f t="shared" si="5"/>
        <v>2.6451714561668244E-2</v>
      </c>
    </row>
    <row r="27" spans="2:14" x14ac:dyDescent="0.25">
      <c r="B27" s="10">
        <v>23</v>
      </c>
      <c r="C27" s="11">
        <v>43914</v>
      </c>
      <c r="D27" s="12">
        <f t="shared" si="0"/>
        <v>1567145.6880609849</v>
      </c>
      <c r="E27" s="12">
        <f t="shared" si="1"/>
        <v>8.7079045138935065</v>
      </c>
      <c r="F27" s="12">
        <f t="shared" si="6"/>
        <v>2.3175907065196641</v>
      </c>
      <c r="G27" s="12">
        <f t="shared" si="6"/>
        <v>0.28644379518782404</v>
      </c>
      <c r="H27" s="9"/>
      <c r="I27" s="12">
        <f t="shared" si="3"/>
        <v>1.0462108043830474</v>
      </c>
      <c r="J27" s="12">
        <f t="shared" si="4"/>
        <v>0.23513473798152792</v>
      </c>
      <c r="K27" s="12">
        <f t="shared" si="5"/>
        <v>2.9061596829177638E-2</v>
      </c>
    </row>
    <row r="28" spans="2:14" x14ac:dyDescent="0.25">
      <c r="B28" s="10">
        <v>24</v>
      </c>
      <c r="C28" s="11">
        <v>43915</v>
      </c>
      <c r="D28" s="12">
        <f t="shared" si="0"/>
        <v>1567144.538625676</v>
      </c>
      <c r="E28" s="12">
        <f t="shared" si="1"/>
        <v>9.5670763391949656</v>
      </c>
      <c r="F28" s="12">
        <f t="shared" si="6"/>
        <v>2.5759252070985048</v>
      </c>
      <c r="G28" s="12">
        <f t="shared" si="6"/>
        <v>0.3183727784054336</v>
      </c>
      <c r="H28" s="9"/>
      <c r="I28" s="12">
        <f t="shared" si="3"/>
        <v>1.1494353090979084</v>
      </c>
      <c r="J28" s="12">
        <f t="shared" si="4"/>
        <v>0.25833450057884066</v>
      </c>
      <c r="K28" s="12">
        <f t="shared" si="5"/>
        <v>3.1928983217609549E-2</v>
      </c>
    </row>
    <row r="29" spans="2:14" x14ac:dyDescent="0.25">
      <c r="B29" s="10">
        <v>25</v>
      </c>
      <c r="C29" s="11">
        <v>43916</v>
      </c>
      <c r="D29" s="12">
        <f t="shared" si="0"/>
        <v>1567143.2757813842</v>
      </c>
      <c r="E29" s="12">
        <f t="shared" si="1"/>
        <v>10.51101808619431</v>
      </c>
      <c r="F29" s="12">
        <f t="shared" si="6"/>
        <v>2.8597484718279556</v>
      </c>
      <c r="G29" s="12">
        <f t="shared" si="6"/>
        <v>0.35345205831581517</v>
      </c>
      <c r="H29" s="9"/>
      <c r="I29" s="12">
        <f t="shared" si="3"/>
        <v>1.2628442916391753</v>
      </c>
      <c r="J29" s="12">
        <f t="shared" si="4"/>
        <v>0.28382326472945063</v>
      </c>
      <c r="K29" s="12">
        <f t="shared" si="5"/>
        <v>3.5079279910381574E-2</v>
      </c>
    </row>
    <row r="30" spans="2:14" x14ac:dyDescent="0.25">
      <c r="B30" s="10">
        <v>26</v>
      </c>
      <c r="C30" s="11">
        <v>43917</v>
      </c>
      <c r="D30" s="12">
        <f t="shared" si="0"/>
        <v>1567141.8883388345</v>
      </c>
      <c r="E30" s="12">
        <f t="shared" si="1"/>
        <v>11.548093366460732</v>
      </c>
      <c r="F30" s="12">
        <f t="shared" si="6"/>
        <v>3.1715753417183867</v>
      </c>
      <c r="G30" s="12">
        <f t="shared" si="6"/>
        <v>0.39199245796519433</v>
      </c>
      <c r="H30" s="9"/>
      <c r="I30" s="12">
        <f t="shared" si="3"/>
        <v>1.387442549806233</v>
      </c>
      <c r="J30" s="12">
        <f t="shared" si="4"/>
        <v>0.31182686989043112</v>
      </c>
      <c r="K30" s="12">
        <f t="shared" si="5"/>
        <v>3.8540399649379171E-2</v>
      </c>
    </row>
    <row r="31" spans="2:14" x14ac:dyDescent="0.25">
      <c r="B31" s="10">
        <v>27</v>
      </c>
      <c r="C31" s="11">
        <v>43918</v>
      </c>
      <c r="D31" s="12">
        <f t="shared" si="0"/>
        <v>1567140.3640048278</v>
      </c>
      <c r="E31" s="12">
        <f t="shared" si="1"/>
        <v>12.687490927697057</v>
      </c>
      <c r="F31" s="12">
        <f t="shared" si="6"/>
        <v>3.5141687782567219</v>
      </c>
      <c r="G31" s="12">
        <f t="shared" si="6"/>
        <v>0.43433546697555037</v>
      </c>
      <c r="H31" s="9"/>
      <c r="I31" s="12">
        <f t="shared" si="3"/>
        <v>1.5243340067850175</v>
      </c>
      <c r="J31" s="12">
        <f t="shared" si="4"/>
        <v>0.34259343653833502</v>
      </c>
      <c r="K31" s="12">
        <f t="shared" si="5"/>
        <v>4.234300901035605E-2</v>
      </c>
    </row>
    <row r="32" spans="2:14" x14ac:dyDescent="0.25">
      <c r="B32" s="10">
        <v>28</v>
      </c>
      <c r="C32" s="11">
        <v>43919</v>
      </c>
      <c r="D32" s="12">
        <f t="shared" si="0"/>
        <v>1567138.6892733392</v>
      </c>
      <c r="E32" s="12">
        <f t="shared" si="1"/>
        <v>13.939306051921124</v>
      </c>
      <c r="F32" s="12">
        <f t="shared" si="6"/>
        <v>3.8905643424450678</v>
      </c>
      <c r="G32" s="12">
        <f t="shared" si="6"/>
        <v>0.48085626704377293</v>
      </c>
      <c r="H32" s="9"/>
      <c r="I32" s="12">
        <f t="shared" si="3"/>
        <v>1.6747314884806344</v>
      </c>
      <c r="J32" s="12">
        <f t="shared" si="4"/>
        <v>0.37639556418834602</v>
      </c>
      <c r="K32" s="12">
        <f t="shared" si="5"/>
        <v>4.6520800068222581E-2</v>
      </c>
    </row>
    <row r="33" spans="2:11" x14ac:dyDescent="0.25">
      <c r="B33" s="10">
        <v>29</v>
      </c>
      <c r="C33" s="11">
        <v>43920</v>
      </c>
      <c r="D33" s="12">
        <f t="shared" si="0"/>
        <v>1567136.8493058742</v>
      </c>
      <c r="E33" s="12">
        <f t="shared" si="1"/>
        <v>15.314629981774415</v>
      </c>
      <c r="F33" s="12">
        <f t="shared" si="6"/>
        <v>4.3040970886520613</v>
      </c>
      <c r="G33" s="12">
        <f t="shared" si="6"/>
        <v>0.53196705590081705</v>
      </c>
      <c r="H33" s="9"/>
      <c r="I33" s="12">
        <f t="shared" si="3"/>
        <v>1.8399674649173299</v>
      </c>
      <c r="J33" s="12">
        <f t="shared" si="4"/>
        <v>0.41353274620699326</v>
      </c>
      <c r="K33" s="12">
        <f t="shared" si="5"/>
        <v>5.1110788857044162E-2</v>
      </c>
    </row>
    <row r="34" spans="2:11" x14ac:dyDescent="0.25">
      <c r="B34" s="10">
        <v>30</v>
      </c>
      <c r="C34" s="13">
        <v>43921</v>
      </c>
      <c r="D34" s="12">
        <f t="shared" si="0"/>
        <v>1567134.8278000236</v>
      </c>
      <c r="E34" s="12">
        <f t="shared" si="1"/>
        <v>16.82564816641203</v>
      </c>
      <c r="F34" s="12">
        <f t="shared" si="6"/>
        <v>4.7584311114447022</v>
      </c>
      <c r="G34" s="12">
        <f t="shared" si="6"/>
        <v>0.58812069916732335</v>
      </c>
      <c r="H34" s="9"/>
      <c r="I34" s="12">
        <f t="shared" si="3"/>
        <v>2.0215058506967596</v>
      </c>
      <c r="J34" s="12">
        <f t="shared" si="4"/>
        <v>0.4543340227926409</v>
      </c>
      <c r="K34" s="12">
        <f t="shared" si="5"/>
        <v>5.6153643266506244E-2</v>
      </c>
    </row>
    <row r="35" spans="2:11" x14ac:dyDescent="0.25">
      <c r="B35" s="10">
        <v>31</v>
      </c>
      <c r="C35" s="11">
        <v>43922</v>
      </c>
      <c r="D35" s="12">
        <f t="shared" si="0"/>
        <v>1567132.6068450548</v>
      </c>
      <c r="E35" s="12">
        <f t="shared" si="1"/>
        <v>18.485748196382602</v>
      </c>
      <c r="F35" s="12">
        <f t="shared" si="6"/>
        <v>5.2575920070482587</v>
      </c>
      <c r="G35" s="12">
        <f t="shared" si="6"/>
        <v>0.64981474244416748</v>
      </c>
      <c r="H35" s="9"/>
      <c r="I35" s="12">
        <f t="shared" si="3"/>
        <v>2.2209549688509713</v>
      </c>
      <c r="J35" s="12">
        <f t="shared" si="4"/>
        <v>0.49916089560355681</v>
      </c>
      <c r="K35" s="12">
        <f t="shared" si="5"/>
        <v>6.1694043276844163E-2</v>
      </c>
    </row>
    <row r="36" spans="2:11" x14ac:dyDescent="0.25">
      <c r="B36" s="10">
        <v>32</v>
      </c>
      <c r="C36" s="11">
        <v>43923</v>
      </c>
      <c r="D36" s="12">
        <f t="shared" si="0"/>
        <v>1567130.1667632621</v>
      </c>
      <c r="E36" s="12">
        <f t="shared" si="1"/>
        <v>20.309638382524966</v>
      </c>
      <c r="F36" s="12">
        <f t="shared" si="6"/>
        <v>5.806002536874276</v>
      </c>
      <c r="G36" s="12">
        <f t="shared" si="6"/>
        <v>0.71759581916423709</v>
      </c>
      <c r="H36" s="9"/>
      <c r="I36" s="12">
        <f t="shared" si="3"/>
        <v>2.4400817926884542</v>
      </c>
      <c r="J36" s="12">
        <f t="shared" si="4"/>
        <v>0.54841052982601712</v>
      </c>
      <c r="K36" s="12">
        <f t="shared" si="5"/>
        <v>6.7781076720069597E-2</v>
      </c>
    </row>
    <row r="37" spans="2:11" x14ac:dyDescent="0.25">
      <c r="B37" s="10">
        <v>33</v>
      </c>
      <c r="C37" s="11">
        <v>43924</v>
      </c>
      <c r="D37" s="12">
        <f t="shared" si="0"/>
        <v>1567127.4859356706</v>
      </c>
      <c r="E37" s="12">
        <f t="shared" si="1"/>
        <v>22.313478027940128</v>
      </c>
      <c r="F37" s="12">
        <f t="shared" si="6"/>
        <v>6.4085218088891835</v>
      </c>
      <c r="G37" s="12">
        <f t="shared" si="6"/>
        <v>0.79206449323349537</v>
      </c>
      <c r="H37" s="9"/>
      <c r="I37" s="12">
        <f t="shared" si="3"/>
        <v>2.680827591499328</v>
      </c>
      <c r="J37" s="12">
        <f t="shared" si="4"/>
        <v>0.60251927201490729</v>
      </c>
      <c r="K37" s="12">
        <f t="shared" si="5"/>
        <v>7.4468674069258264E-2</v>
      </c>
    </row>
    <row r="38" spans="2:11" x14ac:dyDescent="0.25">
      <c r="B38" s="10">
        <v>34</v>
      </c>
      <c r="C38" s="11">
        <v>43925</v>
      </c>
      <c r="D38" s="12">
        <f t="shared" si="0"/>
        <v>1567124.5406105523</v>
      </c>
      <c r="E38" s="12">
        <f t="shared" si="1"/>
        <v>24.515020545365868</v>
      </c>
      <c r="F38" s="12">
        <f t="shared" ref="F38:G53" si="7">F37+J38</f>
        <v>7.0704883237180738</v>
      </c>
      <c r="G38" s="12">
        <f t="shared" si="7"/>
        <v>0.87388057933594254</v>
      </c>
      <c r="H38" s="9"/>
      <c r="I38" s="12">
        <f t="shared" si="3"/>
        <v>2.945325118357077</v>
      </c>
      <c r="J38" s="12">
        <f t="shared" si="4"/>
        <v>0.66196651482889035</v>
      </c>
      <c r="K38" s="12">
        <f t="shared" si="5"/>
        <v>8.1816086102447214E-2</v>
      </c>
    </row>
    <row r="39" spans="2:11" x14ac:dyDescent="0.25">
      <c r="B39" s="10">
        <v>35</v>
      </c>
      <c r="C39" s="11">
        <v>43926</v>
      </c>
      <c r="D39" s="12">
        <f t="shared" si="0"/>
        <v>1567121.3046930605</v>
      </c>
      <c r="E39" s="12">
        <f t="shared" si="1"/>
        <v>26.933770685690035</v>
      </c>
      <c r="F39" s="12">
        <f t="shared" si="7"/>
        <v>7.7977672665639277</v>
      </c>
      <c r="G39" s="12">
        <f t="shared" si="7"/>
        <v>0.96376898800228417</v>
      </c>
      <c r="H39" s="9"/>
      <c r="I39" s="12">
        <f t="shared" si="3"/>
        <v>3.2359174918363607</v>
      </c>
      <c r="J39" s="12">
        <f t="shared" si="4"/>
        <v>0.72727894284585404</v>
      </c>
      <c r="K39" s="12">
        <f t="shared" si="5"/>
        <v>8.9888408666341596E-2</v>
      </c>
    </row>
    <row r="40" spans="2:11" x14ac:dyDescent="0.25">
      <c r="B40" s="10">
        <v>36</v>
      </c>
      <c r="C40" s="11">
        <v>43927</v>
      </c>
      <c r="D40" s="12">
        <f t="shared" si="0"/>
        <v>1567117.749514122</v>
      </c>
      <c r="E40" s="12">
        <f t="shared" si="1"/>
        <v>29.5911572678772</v>
      </c>
      <c r="F40" s="12">
        <f t="shared" si="7"/>
        <v>8.5968024635727325</v>
      </c>
      <c r="G40" s="12">
        <f t="shared" si="7"/>
        <v>1.0625261471831478</v>
      </c>
      <c r="H40" s="9"/>
      <c r="I40" s="12">
        <f t="shared" si="3"/>
        <v>3.5551789383768346</v>
      </c>
      <c r="J40" s="12">
        <f t="shared" si="4"/>
        <v>0.79903519700880432</v>
      </c>
      <c r="K40" s="12">
        <f t="shared" si="5"/>
        <v>9.8757159180863557E-2</v>
      </c>
    </row>
    <row r="41" spans="2:11" x14ac:dyDescent="0.25">
      <c r="B41" s="10">
        <v>37</v>
      </c>
      <c r="C41" s="11">
        <v>43928</v>
      </c>
      <c r="D41" s="12">
        <f t="shared" si="0"/>
        <v>1567113.8435765437</v>
      </c>
      <c r="E41" s="12">
        <f t="shared" si="1"/>
        <v>32.510722937338095</v>
      </c>
      <c r="F41" s="12">
        <f t="shared" si="7"/>
        <v>9.4746734625197568</v>
      </c>
      <c r="G41" s="12">
        <f t="shared" si="7"/>
        <v>1.1710270571653643</v>
      </c>
      <c r="H41" s="9"/>
      <c r="I41" s="12">
        <f t="shared" si="3"/>
        <v>3.9059375783901391</v>
      </c>
      <c r="J41" s="12">
        <f t="shared" si="4"/>
        <v>0.87787099894702358</v>
      </c>
      <c r="K41" s="12">
        <f t="shared" si="5"/>
        <v>0.1085009099822165</v>
      </c>
    </row>
    <row r="42" spans="2:11" x14ac:dyDescent="0.25">
      <c r="B42" s="10">
        <v>38</v>
      </c>
      <c r="C42" s="11">
        <v>43929</v>
      </c>
      <c r="D42" s="12">
        <f t="shared" si="0"/>
        <v>1567109.5522760865</v>
      </c>
      <c r="E42" s="12">
        <f t="shared" si="1"/>
        <v>35.718332629932242</v>
      </c>
      <c r="F42" s="12">
        <f t="shared" si="7"/>
        <v>10.43915824299412</v>
      </c>
      <c r="G42" s="12">
        <f t="shared" si="7"/>
        <v>1.2902330412689373</v>
      </c>
      <c r="H42" s="9"/>
      <c r="I42" s="12">
        <f t="shared" si="3"/>
        <v>4.2913004571720839</v>
      </c>
      <c r="J42" s="12">
        <f t="shared" si="4"/>
        <v>0.96448478047436337</v>
      </c>
      <c r="K42" s="12">
        <f t="shared" si="5"/>
        <v>0.11920598410357312</v>
      </c>
    </row>
    <row r="43" spans="2:11" x14ac:dyDescent="0.25">
      <c r="B43" s="10">
        <v>39</v>
      </c>
      <c r="C43" s="11">
        <v>43930</v>
      </c>
      <c r="D43" s="12">
        <f t="shared" si="0"/>
        <v>1567104.8375950451</v>
      </c>
      <c r="E43" s="12">
        <f t="shared" si="1"/>
        <v>39.242402583666447</v>
      </c>
      <c r="F43" s="12">
        <f t="shared" si="7"/>
        <v>11.498802111015443</v>
      </c>
      <c r="G43" s="12">
        <f t="shared" si="7"/>
        <v>1.4212002609120225</v>
      </c>
      <c r="H43" s="9"/>
      <c r="I43" s="12">
        <f t="shared" si="3"/>
        <v>4.7146810413986131</v>
      </c>
      <c r="J43" s="12">
        <f t="shared" si="4"/>
        <v>1.0596438680213229</v>
      </c>
      <c r="K43" s="12">
        <f t="shared" si="5"/>
        <v>0.130967219643085</v>
      </c>
    </row>
    <row r="44" spans="2:11" x14ac:dyDescent="0.25">
      <c r="B44" s="10">
        <v>40</v>
      </c>
      <c r="C44" s="11">
        <v>43931</v>
      </c>
      <c r="D44" s="12">
        <f t="shared" si="0"/>
        <v>1567099.6577656216</v>
      </c>
      <c r="E44" s="12">
        <f t="shared" si="1"/>
        <v>43.114151921165117</v>
      </c>
      <c r="F44" s="12">
        <f t="shared" si="7"/>
        <v>12.662993387664216</v>
      </c>
      <c r="G44" s="12">
        <f t="shared" si="7"/>
        <v>1.5650890703854663</v>
      </c>
      <c r="H44" s="9"/>
      <c r="I44" s="12">
        <f t="shared" si="3"/>
        <v>5.1798294236208848</v>
      </c>
      <c r="J44" s="12">
        <f t="shared" si="4"/>
        <v>1.1641912766487712</v>
      </c>
      <c r="K44" s="12">
        <f t="shared" si="5"/>
        <v>0.14388880947344376</v>
      </c>
    </row>
    <row r="45" spans="2:11" x14ac:dyDescent="0.25">
      <c r="B45" s="10">
        <v>41</v>
      </c>
      <c r="C45" s="11">
        <v>43932</v>
      </c>
      <c r="D45" s="12">
        <f t="shared" si="0"/>
        <v>1567093.9669001207</v>
      </c>
      <c r="E45" s="12">
        <f t="shared" si="1"/>
        <v>47.367879024708991</v>
      </c>
      <c r="F45" s="12">
        <f t="shared" si="7"/>
        <v>13.942046561325448</v>
      </c>
      <c r="G45" s="12">
        <f t="shared" si="7"/>
        <v>1.7231742940964052</v>
      </c>
      <c r="H45" s="9"/>
      <c r="I45" s="12">
        <f t="shared" si="3"/>
        <v>5.6908655009160487</v>
      </c>
      <c r="J45" s="12">
        <f t="shared" si="4"/>
        <v>1.2790531736612316</v>
      </c>
      <c r="K45" s="12">
        <f t="shared" si="5"/>
        <v>0.15808522371093892</v>
      </c>
    </row>
    <row r="46" spans="2:11" x14ac:dyDescent="0.25">
      <c r="B46" s="10">
        <v>42</v>
      </c>
      <c r="C46" s="11">
        <v>43933</v>
      </c>
      <c r="D46" s="12">
        <f t="shared" si="0"/>
        <v>1567087.7145847008</v>
      </c>
      <c r="E46" s="12">
        <f t="shared" si="1"/>
        <v>52.041265143782709</v>
      </c>
      <c r="F46" s="12">
        <f t="shared" si="7"/>
        <v>15.347293639058481</v>
      </c>
      <c r="G46" s="12">
        <f t="shared" si="7"/>
        <v>1.8968565171870049</v>
      </c>
      <c r="H46" s="9"/>
      <c r="I46" s="12">
        <f t="shared" si="3"/>
        <v>6.2523154198973483</v>
      </c>
      <c r="J46" s="12">
        <f t="shared" si="4"/>
        <v>1.4052470777330333</v>
      </c>
      <c r="K46" s="12">
        <f t="shared" si="5"/>
        <v>0.17368222309059977</v>
      </c>
    </row>
    <row r="47" spans="2:11" x14ac:dyDescent="0.25">
      <c r="B47" s="10">
        <v>43</v>
      </c>
      <c r="C47" s="11">
        <v>43934</v>
      </c>
      <c r="D47" s="12">
        <f t="shared" si="0"/>
        <v>1567080.845433092</v>
      </c>
      <c r="E47" s="12">
        <f t="shared" si="1"/>
        <v>57.175707914516629</v>
      </c>
      <c r="F47" s="12">
        <f t="shared" si="7"/>
        <v>16.891184504990701</v>
      </c>
      <c r="G47" s="12">
        <f t="shared" si="7"/>
        <v>2.0876744893808752</v>
      </c>
      <c r="H47" s="9"/>
      <c r="I47" s="12">
        <f t="shared" si="3"/>
        <v>6.8691516088600073</v>
      </c>
      <c r="J47" s="12">
        <f t="shared" si="4"/>
        <v>1.5438908659322201</v>
      </c>
      <c r="K47" s="12">
        <f t="shared" si="5"/>
        <v>0.19081797219387012</v>
      </c>
    </row>
    <row r="48" spans="2:11" x14ac:dyDescent="0.25">
      <c r="B48" s="10">
        <v>44</v>
      </c>
      <c r="C48" s="11">
        <v>43935</v>
      </c>
      <c r="D48" s="12">
        <f t="shared" si="0"/>
        <v>1567073.2985963428</v>
      </c>
      <c r="E48" s="12">
        <f t="shared" si="1"/>
        <v>62.816687733210699</v>
      </c>
      <c r="F48" s="12">
        <f t="shared" si="7"/>
        <v>18.58739717312136</v>
      </c>
      <c r="G48" s="12">
        <f t="shared" si="7"/>
        <v>2.2973187517341032</v>
      </c>
      <c r="H48" s="9"/>
      <c r="I48" s="12">
        <f t="shared" si="3"/>
        <v>7.5468367491779675</v>
      </c>
      <c r="J48" s="12">
        <f t="shared" si="4"/>
        <v>1.6962126681306597</v>
      </c>
      <c r="K48" s="12">
        <f t="shared" si="5"/>
        <v>0.20964426235322783</v>
      </c>
    </row>
    <row r="49" spans="2:11" x14ac:dyDescent="0.25">
      <c r="B49" s="10">
        <v>45</v>
      </c>
      <c r="C49" s="11">
        <v>43936</v>
      </c>
      <c r="D49" s="12">
        <f t="shared" si="0"/>
        <v>1567065.0072242704</v>
      </c>
      <c r="E49" s="12">
        <f t="shared" si="1"/>
        <v>69.014170214536605</v>
      </c>
      <c r="F49" s="12">
        <f t="shared" si="7"/>
        <v>20.450958909206612</v>
      </c>
      <c r="G49" s="12">
        <f t="shared" si="7"/>
        <v>2.527646606755876</v>
      </c>
      <c r="H49" s="9"/>
      <c r="I49" s="12">
        <f t="shared" si="3"/>
        <v>8.2913720724329156</v>
      </c>
      <c r="J49" s="12">
        <f t="shared" si="4"/>
        <v>1.8635617360852506</v>
      </c>
      <c r="K49" s="12">
        <f t="shared" si="5"/>
        <v>0.23032785502177278</v>
      </c>
    </row>
    <row r="50" spans="2:11" x14ac:dyDescent="0.25">
      <c r="B50" s="10">
        <v>46</v>
      </c>
      <c r="C50" s="11">
        <v>43937</v>
      </c>
      <c r="D50" s="12">
        <f t="shared" si="0"/>
        <v>1567055.8978738629</v>
      </c>
      <c r="E50" s="12">
        <f t="shared" si="1"/>
        <v>75.823048281488497</v>
      </c>
      <c r="F50" s="12">
        <f t="shared" si="7"/>
        <v>22.498379292237864</v>
      </c>
      <c r="G50" s="12">
        <f t="shared" si="7"/>
        <v>2.7806985642091773</v>
      </c>
      <c r="H50" s="9"/>
      <c r="I50" s="12">
        <f t="shared" si="3"/>
        <v>9.109350407436434</v>
      </c>
      <c r="J50" s="12">
        <f t="shared" si="4"/>
        <v>2.0474203830312523</v>
      </c>
      <c r="K50" s="12">
        <f t="shared" si="5"/>
        <v>0.25305195745330111</v>
      </c>
    </row>
    <row r="51" spans="2:11" x14ac:dyDescent="0.25">
      <c r="B51" s="10">
        <v>47</v>
      </c>
      <c r="C51" s="11">
        <v>43938</v>
      </c>
      <c r="D51" s="12">
        <f t="shared" si="0"/>
        <v>1567045.8898594202</v>
      </c>
      <c r="E51" s="12">
        <f t="shared" si="1"/>
        <v>83.303627781381664</v>
      </c>
      <c r="F51" s="12">
        <f t="shared" si="7"/>
        <v>24.747796391255356</v>
      </c>
      <c r="G51" s="12">
        <f t="shared" si="7"/>
        <v>3.0587164079079687</v>
      </c>
      <c r="H51" s="9"/>
      <c r="I51" s="12">
        <f t="shared" si="3"/>
        <v>10.008014442609454</v>
      </c>
      <c r="J51" s="12">
        <f t="shared" si="4"/>
        <v>2.2494170990174918</v>
      </c>
      <c r="K51" s="12">
        <f t="shared" si="5"/>
        <v>0.2780178436987914</v>
      </c>
    </row>
    <row r="52" spans="2:11" x14ac:dyDescent="0.25">
      <c r="B52" s="10">
        <v>48</v>
      </c>
      <c r="C52" s="11">
        <v>43939</v>
      </c>
      <c r="D52" s="12">
        <f t="shared" si="0"/>
        <v>1567034.8945387057</v>
      </c>
      <c r="E52" s="12">
        <f t="shared" si="1"/>
        <v>91.522160903117694</v>
      </c>
      <c r="F52" s="12">
        <f t="shared" si="7"/>
        <v>27.219137348769678</v>
      </c>
      <c r="G52" s="12">
        <f t="shared" si="7"/>
        <v>3.3641630431063683</v>
      </c>
      <c r="H52" s="9"/>
      <c r="I52" s="12">
        <f t="shared" si="3"/>
        <v>10.995320714448756</v>
      </c>
      <c r="J52" s="12">
        <f t="shared" si="4"/>
        <v>2.4713409575143226</v>
      </c>
      <c r="K52" s="12">
        <f t="shared" si="5"/>
        <v>0.30544663519839971</v>
      </c>
    </row>
    <row r="53" spans="2:11" x14ac:dyDescent="0.25">
      <c r="B53" s="10">
        <v>49</v>
      </c>
      <c r="C53" s="11">
        <v>43940</v>
      </c>
      <c r="D53" s="12">
        <f t="shared" si="0"/>
        <v>1567022.8145288234</v>
      </c>
      <c r="E53" s="12">
        <f t="shared" si="1"/>
        <v>100.55143208875241</v>
      </c>
      <c r="F53" s="12">
        <f t="shared" si="7"/>
        <v>29.934294788895503</v>
      </c>
      <c r="G53" s="12">
        <f t="shared" si="7"/>
        <v>3.6997442997511336</v>
      </c>
      <c r="H53" s="9"/>
      <c r="I53" s="12">
        <f t="shared" si="3"/>
        <v>12.080009882405296</v>
      </c>
      <c r="J53" s="12">
        <f t="shared" si="4"/>
        <v>2.7151574401258243</v>
      </c>
      <c r="K53" s="12">
        <f t="shared" si="5"/>
        <v>0.33558125664476518</v>
      </c>
    </row>
    <row r="54" spans="2:11" x14ac:dyDescent="0.25">
      <c r="B54" s="10">
        <v>50</v>
      </c>
      <c r="C54" s="11">
        <v>43941</v>
      </c>
      <c r="D54" s="12">
        <f t="shared" si="0"/>
        <v>1567009.5428449186</v>
      </c>
      <c r="E54" s="12">
        <f t="shared" si="1"/>
        <v>110.47140159061706</v>
      </c>
      <c r="F54" s="12">
        <f t="shared" ref="F54:G69" si="8">F53+J54</f>
        <v>32.917320607528488</v>
      </c>
      <c r="G54" s="12">
        <f t="shared" si="8"/>
        <v>4.0684328840765591</v>
      </c>
      <c r="H54" s="9"/>
      <c r="I54" s="12">
        <f t="shared" si="3"/>
        <v>13.271683904823059</v>
      </c>
      <c r="J54" s="12">
        <f t="shared" si="4"/>
        <v>2.9830258186329877</v>
      </c>
      <c r="K54" s="12">
        <f t="shared" si="5"/>
        <v>0.36868858432542584</v>
      </c>
    </row>
    <row r="55" spans="2:11" x14ac:dyDescent="0.25">
      <c r="B55" s="10">
        <v>51</v>
      </c>
      <c r="C55" s="11">
        <v>43942</v>
      </c>
      <c r="D55" s="12">
        <f t="shared" si="0"/>
        <v>1566994.9619541285</v>
      </c>
      <c r="E55" s="12">
        <f t="shared" si="1"/>
        <v>121.36991232766857</v>
      </c>
      <c r="F55" s="12">
        <f t="shared" si="8"/>
        <v>36.194638854716793</v>
      </c>
      <c r="G55" s="12">
        <f t="shared" si="8"/>
        <v>4.4734946899088222</v>
      </c>
      <c r="H55" s="9"/>
      <c r="I55" s="12">
        <f t="shared" si="3"/>
        <v>14.580890790072081</v>
      </c>
      <c r="J55" s="12">
        <f t="shared" si="4"/>
        <v>3.2773182471883056</v>
      </c>
      <c r="K55" s="12">
        <f t="shared" si="5"/>
        <v>0.40506180583226292</v>
      </c>
    </row>
    <row r="56" spans="2:11" x14ac:dyDescent="0.25">
      <c r="B56" s="10">
        <v>52</v>
      </c>
      <c r="C56" s="11">
        <v>43943</v>
      </c>
      <c r="D56" s="12">
        <f t="shared" si="0"/>
        <v>1566978.9427364664</v>
      </c>
      <c r="E56" s="12">
        <f t="shared" si="1"/>
        <v>133.34346624553672</v>
      </c>
      <c r="F56" s="12">
        <f t="shared" si="8"/>
        <v>39.795279587104297</v>
      </c>
      <c r="G56" s="12">
        <f t="shared" si="8"/>
        <v>4.918517701776941</v>
      </c>
      <c r="H56" s="9"/>
      <c r="I56" s="12">
        <f t="shared" si="3"/>
        <v>16.019217662123765</v>
      </c>
      <c r="J56" s="12">
        <f t="shared" si="4"/>
        <v>3.6006407323875007</v>
      </c>
      <c r="K56" s="12">
        <f t="shared" si="5"/>
        <v>0.44502301186811855</v>
      </c>
    </row>
    <row r="57" spans="2:11" x14ac:dyDescent="0.25">
      <c r="B57" s="10">
        <v>53</v>
      </c>
      <c r="C57" s="11">
        <v>43944</v>
      </c>
      <c r="D57" s="12">
        <f t="shared" si="0"/>
        <v>1566961.3433435154</v>
      </c>
      <c r="E57" s="12">
        <f t="shared" si="1"/>
        <v>146.49807698841855</v>
      </c>
      <c r="F57" s="12">
        <f t="shared" si="8"/>
        <v>43.751135752388549</v>
      </c>
      <c r="G57" s="12">
        <f t="shared" si="8"/>
        <v>5.4074437446772432</v>
      </c>
      <c r="H57" s="9"/>
      <c r="I57" s="12">
        <f t="shared" si="3"/>
        <v>17.599392951066378</v>
      </c>
      <c r="J57" s="12">
        <f t="shared" si="4"/>
        <v>3.9558561652842554</v>
      </c>
      <c r="K57" s="12">
        <f t="shared" si="5"/>
        <v>0.48892604290030178</v>
      </c>
    </row>
    <row r="58" spans="2:11" x14ac:dyDescent="0.25">
      <c r="B58" s="10">
        <v>54</v>
      </c>
      <c r="C58" s="11">
        <v>43945</v>
      </c>
      <c r="D58" s="12">
        <f t="shared" si="0"/>
        <v>1566942.0079449185</v>
      </c>
      <c r="E58" s="12">
        <f t="shared" si="1"/>
        <v>160.95020635246058</v>
      </c>
      <c r="F58" s="12">
        <f t="shared" si="8"/>
        <v>48.097245369711629</v>
      </c>
      <c r="G58" s="12">
        <f t="shared" si="8"/>
        <v>5.9446033603014445</v>
      </c>
      <c r="H58" s="9"/>
      <c r="I58" s="12">
        <f t="shared" si="3"/>
        <v>19.33539859698935</v>
      </c>
      <c r="J58" s="12">
        <f t="shared" si="4"/>
        <v>4.3461096173230827</v>
      </c>
      <c r="K58" s="12">
        <f t="shared" si="5"/>
        <v>0.53715961562420178</v>
      </c>
    </row>
    <row r="59" spans="2:11" x14ac:dyDescent="0.25">
      <c r="B59" s="10">
        <v>55</v>
      </c>
      <c r="C59" s="11">
        <v>43946</v>
      </c>
      <c r="D59" s="12">
        <f t="shared" si="0"/>
        <v>1566920.7653516775</v>
      </c>
      <c r="E59" s="12">
        <f t="shared" si="1"/>
        <v>176.82779271490932</v>
      </c>
      <c r="F59" s="12">
        <f t="shared" si="8"/>
        <v>52.87210149150129</v>
      </c>
      <c r="G59" s="12">
        <f t="shared" si="8"/>
        <v>6.5347541169271341</v>
      </c>
      <c r="H59" s="9"/>
      <c r="I59" s="12">
        <f t="shared" si="3"/>
        <v>21.242593240864093</v>
      </c>
      <c r="J59" s="12">
        <f t="shared" si="4"/>
        <v>4.7748561217896635</v>
      </c>
      <c r="K59" s="12">
        <f t="shared" si="5"/>
        <v>0.59015075662568939</v>
      </c>
    </row>
    <row r="60" spans="2:11" x14ac:dyDescent="0.25">
      <c r="B60" s="10">
        <v>56</v>
      </c>
      <c r="C60" s="11">
        <v>43947</v>
      </c>
      <c r="D60" s="12">
        <f t="shared" si="0"/>
        <v>1566897.4275042084</v>
      </c>
      <c r="E60" s="12">
        <f t="shared" si="1"/>
        <v>194.27138042689239</v>
      </c>
      <c r="F60" s="12">
        <f t="shared" si="8"/>
        <v>58.117992675376932</v>
      </c>
      <c r="G60" s="12">
        <f t="shared" si="8"/>
        <v>7.1831226902151357</v>
      </c>
      <c r="H60" s="9"/>
      <c r="I60" s="12">
        <f t="shared" si="3"/>
        <v>23.337847469146713</v>
      </c>
      <c r="J60" s="12">
        <f t="shared" si="4"/>
        <v>5.245891183875643</v>
      </c>
      <c r="K60" s="12">
        <f t="shared" si="5"/>
        <v>0.64836857328800146</v>
      </c>
    </row>
    <row r="61" spans="2:11" x14ac:dyDescent="0.25">
      <c r="B61" s="10">
        <v>57</v>
      </c>
      <c r="C61" s="11">
        <v>43948</v>
      </c>
      <c r="D61" s="12">
        <f t="shared" si="0"/>
        <v>1566871.787811928</v>
      </c>
      <c r="E61" s="12">
        <f t="shared" si="1"/>
        <v>213.43536002649446</v>
      </c>
      <c r="F61" s="12">
        <f t="shared" si="8"/>
        <v>63.881376961374741</v>
      </c>
      <c r="G61" s="12">
        <f t="shared" si="8"/>
        <v>7.8954510851137414</v>
      </c>
      <c r="H61" s="9"/>
      <c r="I61" s="12">
        <f t="shared" si="3"/>
        <v>25.639692280498465</v>
      </c>
      <c r="J61" s="12">
        <f t="shared" si="4"/>
        <v>5.7633842859978071</v>
      </c>
      <c r="K61" s="12">
        <f t="shared" si="5"/>
        <v>0.712328394898606</v>
      </c>
    </row>
    <row r="62" spans="2:11" x14ac:dyDescent="0.25">
      <c r="B62" s="10">
        <v>58</v>
      </c>
      <c r="C62" s="11">
        <v>43949</v>
      </c>
      <c r="D62" s="12">
        <f t="shared" si="0"/>
        <v>1566843.6193298739</v>
      </c>
      <c r="E62" s="12">
        <f t="shared" si="1"/>
        <v>234.48933007959545</v>
      </c>
      <c r="F62" s="12">
        <f t="shared" si="8"/>
        <v>70.213292642160738</v>
      </c>
      <c r="G62" s="12">
        <f t="shared" si="8"/>
        <v>8.6780474052108882</v>
      </c>
      <c r="H62" s="9"/>
      <c r="I62" s="12">
        <f t="shared" si="3"/>
        <v>28.168482053984146</v>
      </c>
      <c r="J62" s="12">
        <f t="shared" si="4"/>
        <v>6.3319156807860013</v>
      </c>
      <c r="K62" s="12">
        <f t="shared" si="5"/>
        <v>0.78259632009714708</v>
      </c>
    </row>
    <row r="63" spans="2:11" x14ac:dyDescent="0.25">
      <c r="B63" s="10">
        <v>59</v>
      </c>
      <c r="C63" s="11">
        <v>43950</v>
      </c>
      <c r="D63" s="12">
        <f t="shared" si="0"/>
        <v>1566812.6727564549</v>
      </c>
      <c r="E63" s="12">
        <f t="shared" si="1"/>
        <v>257.61959249607196</v>
      </c>
      <c r="F63" s="12">
        <f t="shared" si="8"/>
        <v>77.169809434522065</v>
      </c>
      <c r="G63" s="12">
        <f t="shared" si="8"/>
        <v>9.5378416155027388</v>
      </c>
      <c r="H63" s="9"/>
      <c r="I63" s="12">
        <f t="shared" si="3"/>
        <v>30.946573419129695</v>
      </c>
      <c r="J63" s="12">
        <f t="shared" si="4"/>
        <v>6.9565167923613309</v>
      </c>
      <c r="K63" s="12">
        <f t="shared" si="5"/>
        <v>0.85979421029185077</v>
      </c>
    </row>
    <row r="64" spans="2:11" x14ac:dyDescent="0.25">
      <c r="B64" s="10">
        <v>60</v>
      </c>
      <c r="C64" s="13">
        <v>43951</v>
      </c>
      <c r="D64" s="12">
        <f t="shared" si="0"/>
        <v>1566778.6742348948</v>
      </c>
      <c r="E64" s="12">
        <f t="shared" si="1"/>
        <v>283.03079430631215</v>
      </c>
      <c r="F64" s="12">
        <f t="shared" si="8"/>
        <v>84.812524011905538</v>
      </c>
      <c r="G64" s="12">
        <f t="shared" si="8"/>
        <v>10.482446787988337</v>
      </c>
      <c r="H64" s="9"/>
      <c r="I64" s="12">
        <f t="shared" si="3"/>
        <v>33.998521560109211</v>
      </c>
      <c r="J64" s="12">
        <f t="shared" si="4"/>
        <v>7.6427145773834679</v>
      </c>
      <c r="K64" s="12">
        <f t="shared" si="5"/>
        <v>0.94460517248559805</v>
      </c>
    </row>
    <row r="65" spans="2:11" x14ac:dyDescent="0.25">
      <c r="B65" s="10">
        <v>61</v>
      </c>
      <c r="C65" s="11">
        <v>43952</v>
      </c>
      <c r="D65" s="12">
        <f t="shared" si="0"/>
        <v>1566741.3229392648</v>
      </c>
      <c r="E65" s="12">
        <f t="shared" si="1"/>
        <v>310.94773012603974</v>
      </c>
      <c r="F65" s="12">
        <f t="shared" si="8"/>
        <v>93.209104242992794</v>
      </c>
      <c r="G65" s="12">
        <f t="shared" si="8"/>
        <v>11.520226367111484</v>
      </c>
      <c r="H65" s="9"/>
      <c r="I65" s="12">
        <f t="shared" si="3"/>
        <v>37.351295629937994</v>
      </c>
      <c r="J65" s="12">
        <f t="shared" si="4"/>
        <v>8.3965802310872597</v>
      </c>
      <c r="K65" s="12">
        <f t="shared" si="5"/>
        <v>1.0377795791231454</v>
      </c>
    </row>
    <row r="66" spans="2:11" x14ac:dyDescent="0.25">
      <c r="B66" s="10">
        <v>62</v>
      </c>
      <c r="C66" s="11">
        <v>43953</v>
      </c>
      <c r="D66" s="12">
        <f t="shared" si="0"/>
        <v>1566700.288424158</v>
      </c>
      <c r="E66" s="12">
        <f t="shared" si="1"/>
        <v>341.61732089526873</v>
      </c>
      <c r="F66" s="12">
        <f t="shared" si="8"/>
        <v>102.43388690339864</v>
      </c>
      <c r="G66" s="12">
        <f t="shared" si="8"/>
        <v>12.660368044240297</v>
      </c>
      <c r="H66" s="9"/>
      <c r="I66" s="12">
        <f t="shared" si="3"/>
        <v>41.034515106763656</v>
      </c>
      <c r="J66" s="12">
        <f t="shared" si="4"/>
        <v>9.2247826604058449</v>
      </c>
      <c r="K66" s="12">
        <f t="shared" si="5"/>
        <v>1.1401416771288133</v>
      </c>
    </row>
    <row r="67" spans="2:11" x14ac:dyDescent="0.25">
      <c r="B67" s="10">
        <v>63</v>
      </c>
      <c r="C67" s="11">
        <v>43954</v>
      </c>
      <c r="D67" s="12">
        <f t="shared" si="0"/>
        <v>1566655.2077150638</v>
      </c>
      <c r="E67" s="12">
        <f t="shared" si="1"/>
        <v>375.3107859595205</v>
      </c>
      <c r="F67" s="12">
        <f t="shared" si="8"/>
        <v>112.56853408995828</v>
      </c>
      <c r="G67" s="12">
        <f t="shared" si="8"/>
        <v>13.91296488752295</v>
      </c>
      <c r="H67" s="9"/>
      <c r="I67" s="12">
        <f t="shared" si="3"/>
        <v>45.080709094094047</v>
      </c>
      <c r="J67" s="12">
        <f t="shared" si="4"/>
        <v>10.134647186559638</v>
      </c>
      <c r="K67" s="12">
        <f t="shared" si="5"/>
        <v>1.2525968432826531</v>
      </c>
    </row>
    <row r="68" spans="2:11" x14ac:dyDescent="0.25">
      <c r="B68" s="10">
        <v>64</v>
      </c>
      <c r="C68" s="11">
        <v>43955</v>
      </c>
      <c r="D68" s="12">
        <f t="shared" si="0"/>
        <v>1566605.6821143129</v>
      </c>
      <c r="E68" s="12">
        <f t="shared" si="1"/>
        <v>412.32602717856503</v>
      </c>
      <c r="F68" s="12">
        <f t="shared" si="8"/>
        <v>123.70275407342405</v>
      </c>
      <c r="G68" s="12">
        <f t="shared" si="8"/>
        <v>15.289104436041193</v>
      </c>
      <c r="H68" s="9"/>
      <c r="I68" s="12">
        <f t="shared" si="3"/>
        <v>49.525600751028541</v>
      </c>
      <c r="J68" s="12">
        <f t="shared" si="4"/>
        <v>11.134219983465774</v>
      </c>
      <c r="K68" s="12">
        <f t="shared" si="5"/>
        <v>1.376139548518243</v>
      </c>
    </row>
    <row r="69" spans="2:11" x14ac:dyDescent="0.25">
      <c r="B69" s="10">
        <v>65</v>
      </c>
      <c r="C69" s="11">
        <v>43956</v>
      </c>
      <c r="D69" s="12">
        <f t="shared" si="0"/>
        <v>1566551.2736950747</v>
      </c>
      <c r="E69" s="12">
        <f t="shared" si="1"/>
        <v>452.99024551084477</v>
      </c>
      <c r="F69" s="12">
        <f t="shared" si="8"/>
        <v>135.93509287972148</v>
      </c>
      <c r="G69" s="12">
        <f t="shared" si="8"/>
        <v>16.800966535695931</v>
      </c>
      <c r="H69" s="9"/>
      <c r="I69" s="12">
        <f t="shared" si="3"/>
        <v>54.408419238231964</v>
      </c>
      <c r="J69" s="12">
        <f t="shared" si="4"/>
        <v>12.232338806297427</v>
      </c>
      <c r="K69" s="12">
        <f t="shared" si="5"/>
        <v>1.5118620996547396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1566491.5014532933</v>
      </c>
      <c r="E70" s="12">
        <f t="shared" ref="E70:E133" si="10">E69+I70-J70-K70</f>
        <v>497.66281244195534</v>
      </c>
      <c r="F70" s="12">
        <f t="shared" ref="F70:G85" si="11">F69+J70</f>
        <v>149.37380349654322</v>
      </c>
      <c r="G70" s="12">
        <f t="shared" si="11"/>
        <v>18.461930769235696</v>
      </c>
      <c r="H70" s="9"/>
      <c r="I70" s="12">
        <f t="shared" ref="I70:I133" si="12">E69*N$6*D69/SUM(D69:F69)*N$7</f>
        <v>59.772241781472054</v>
      </c>
      <c r="J70" s="12">
        <f t="shared" ref="J70:J133" si="13">E69*N$8/N$5</f>
        <v>13.438710616821728</v>
      </c>
      <c r="K70" s="12">
        <f t="shared" ref="K70:K133" si="14">E69*N$9/N$5</f>
        <v>1.6609642335397656</v>
      </c>
    </row>
    <row r="71" spans="2:11" x14ac:dyDescent="0.25">
      <c r="B71" s="10">
        <v>67</v>
      </c>
      <c r="C71" s="11">
        <v>43958</v>
      </c>
      <c r="D71" s="12">
        <f t="shared" si="9"/>
        <v>1566425.8370846054</v>
      </c>
      <c r="E71" s="12">
        <f t="shared" si="10"/>
        <v>546.73842071520096</v>
      </c>
      <c r="F71" s="12">
        <f t="shared" si="11"/>
        <v>164.13780026565456</v>
      </c>
      <c r="G71" s="12">
        <f t="shared" si="11"/>
        <v>20.2866944148562</v>
      </c>
      <c r="H71" s="9"/>
      <c r="I71" s="12">
        <f t="shared" si="12"/>
        <v>65.664368687977486</v>
      </c>
      <c r="J71" s="12">
        <f t="shared" si="13"/>
        <v>14.763996769111341</v>
      </c>
      <c r="K71" s="12">
        <f t="shared" si="14"/>
        <v>1.8247636456205045</v>
      </c>
    </row>
    <row r="72" spans="2:11" x14ac:dyDescent="0.25">
      <c r="B72" s="10">
        <v>68</v>
      </c>
      <c r="C72" s="11">
        <v>43959</v>
      </c>
      <c r="D72" s="12">
        <f t="shared" si="9"/>
        <v>1566353.7003502029</v>
      </c>
      <c r="E72" s="12">
        <f t="shared" si="10"/>
        <v>600.65054109392759</v>
      </c>
      <c r="F72" s="12">
        <f t="shared" si="11"/>
        <v>180.3577067468722</v>
      </c>
      <c r="G72" s="12">
        <f t="shared" si="11"/>
        <v>22.291401957478605</v>
      </c>
      <c r="H72" s="9"/>
      <c r="I72" s="12">
        <f t="shared" si="12"/>
        <v>72.136734402566674</v>
      </c>
      <c r="J72" s="12">
        <f t="shared" si="13"/>
        <v>16.219906481217627</v>
      </c>
      <c r="K72" s="12">
        <f t="shared" si="14"/>
        <v>2.004707542622405</v>
      </c>
    </row>
    <row r="73" spans="2:11" x14ac:dyDescent="0.25">
      <c r="B73" s="10">
        <v>69</v>
      </c>
      <c r="C73" s="11">
        <v>43960</v>
      </c>
      <c r="D73" s="12">
        <f t="shared" si="9"/>
        <v>1566274.4539922415</v>
      </c>
      <c r="E73" s="12">
        <f t="shared" si="10"/>
        <v>659.87521435207043</v>
      </c>
      <c r="F73" s="12">
        <f t="shared" si="11"/>
        <v>198.1770061326587</v>
      </c>
      <c r="G73" s="12">
        <f t="shared" si="11"/>
        <v>24.493787274823006</v>
      </c>
      <c r="H73" s="9"/>
      <c r="I73" s="12">
        <f t="shared" si="12"/>
        <v>79.246357961273702</v>
      </c>
      <c r="J73" s="12">
        <f t="shared" si="13"/>
        <v>17.819299385786515</v>
      </c>
      <c r="K73" s="12">
        <f t="shared" si="14"/>
        <v>2.2023853173444028</v>
      </c>
    </row>
    <row r="74" spans="2:11" x14ac:dyDescent="0.25">
      <c r="B74" s="10">
        <v>70</v>
      </c>
      <c r="C74" s="11">
        <v>43961</v>
      </c>
      <c r="D74" s="12">
        <f t="shared" si="9"/>
        <v>1566187.3981557507</v>
      </c>
      <c r="E74" s="12">
        <f t="shared" si="10"/>
        <v>724.93521036443701</v>
      </c>
      <c r="F74" s="12">
        <f t="shared" si="11"/>
        <v>217.75330415843678</v>
      </c>
      <c r="G74" s="12">
        <f t="shared" si="11"/>
        <v>26.913329727447266</v>
      </c>
      <c r="H74" s="9"/>
      <c r="I74" s="12">
        <f t="shared" si="12"/>
        <v>87.055836490768868</v>
      </c>
      <c r="J74" s="12">
        <f t="shared" si="13"/>
        <v>19.576298025778087</v>
      </c>
      <c r="K74" s="12">
        <f t="shared" si="14"/>
        <v>2.4195424526242606</v>
      </c>
    </row>
    <row r="75" spans="2:11" x14ac:dyDescent="0.25">
      <c r="B75" s="10">
        <v>71</v>
      </c>
      <c r="C75" s="11">
        <v>43962</v>
      </c>
      <c r="D75" s="12">
        <f t="shared" si="9"/>
        <v>1566091.7642700379</v>
      </c>
      <c r="E75" s="12">
        <f t="shared" si="10"/>
        <v>796.40458906507058</v>
      </c>
      <c r="F75" s="12">
        <f t="shared" si="11"/>
        <v>239.25971539924842</v>
      </c>
      <c r="G75" s="12">
        <f t="shared" si="11"/>
        <v>29.571425498783537</v>
      </c>
      <c r="H75" s="9"/>
      <c r="I75" s="12">
        <f t="shared" si="12"/>
        <v>95.633885712781549</v>
      </c>
      <c r="J75" s="12">
        <f t="shared" si="13"/>
        <v>21.50641124081163</v>
      </c>
      <c r="K75" s="12">
        <f t="shared" si="14"/>
        <v>2.6580957713362712</v>
      </c>
    </row>
    <row r="76" spans="2:11" x14ac:dyDescent="0.25">
      <c r="B76" s="10">
        <v>72</v>
      </c>
      <c r="C76" s="11">
        <v>43963</v>
      </c>
      <c r="D76" s="12">
        <f t="shared" si="9"/>
        <v>1565986.7083382935</v>
      </c>
      <c r="E76" s="12">
        <f t="shared" si="10"/>
        <v>874.91370117386657</v>
      </c>
      <c r="F76" s="12">
        <f t="shared" si="11"/>
        <v>262.88638487484553</v>
      </c>
      <c r="G76" s="12">
        <f t="shared" si="11"/>
        <v>32.491575658688795</v>
      </c>
      <c r="H76" s="9"/>
      <c r="I76" s="12">
        <f t="shared" si="12"/>
        <v>105.05593174429826</v>
      </c>
      <c r="J76" s="12">
        <f t="shared" si="13"/>
        <v>23.626669475597094</v>
      </c>
      <c r="K76" s="12">
        <f t="shared" si="14"/>
        <v>2.9201501599052615</v>
      </c>
    </row>
    <row r="77" spans="2:11" x14ac:dyDescent="0.25">
      <c r="B77" s="10">
        <v>73</v>
      </c>
      <c r="C77" s="11">
        <v>43964</v>
      </c>
      <c r="D77" s="12">
        <f t="shared" si="9"/>
        <v>1565871.3035794569</v>
      </c>
      <c r="E77" s="12">
        <f t="shared" si="10"/>
        <v>961.15466997127385</v>
      </c>
      <c r="F77" s="12">
        <f t="shared" si="11"/>
        <v>288.84215800967024</v>
      </c>
      <c r="G77" s="12">
        <f t="shared" si="11"/>
        <v>35.699592562992976</v>
      </c>
      <c r="H77" s="9"/>
      <c r="I77" s="12">
        <f t="shared" si="12"/>
        <v>115.40475883653612</v>
      </c>
      <c r="J77" s="12">
        <f t="shared" si="13"/>
        <v>25.955773134824707</v>
      </c>
      <c r="K77" s="12">
        <f t="shared" si="14"/>
        <v>3.2080169043041802</v>
      </c>
    </row>
    <row r="78" spans="2:11" x14ac:dyDescent="0.25">
      <c r="B78" s="10">
        <v>74</v>
      </c>
      <c r="C78" s="11">
        <v>43965</v>
      </c>
      <c r="D78" s="12">
        <f t="shared" si="9"/>
        <v>1565744.5323613887</v>
      </c>
      <c r="E78" s="12">
        <f t="shared" si="10"/>
        <v>1055.8873990404113</v>
      </c>
      <c r="F78" s="12">
        <f t="shared" si="11"/>
        <v>317.35641321881803</v>
      </c>
      <c r="G78" s="12">
        <f t="shared" si="11"/>
        <v>39.223826352887649</v>
      </c>
      <c r="H78" s="9"/>
      <c r="I78" s="12">
        <f t="shared" si="12"/>
        <v>126.77121806817991</v>
      </c>
      <c r="J78" s="12">
        <f t="shared" si="13"/>
        <v>28.514255209147787</v>
      </c>
      <c r="K78" s="12">
        <f t="shared" si="14"/>
        <v>3.5242337898946738</v>
      </c>
    </row>
    <row r="79" spans="2:11" x14ac:dyDescent="0.25">
      <c r="B79" s="10">
        <v>75</v>
      </c>
      <c r="C79" s="11">
        <v>43966</v>
      </c>
      <c r="D79" s="12">
        <f t="shared" si="9"/>
        <v>1565605.2773589885</v>
      </c>
      <c r="E79" s="12">
        <f t="shared" si="10"/>
        <v>1159.9461548059321</v>
      </c>
      <c r="F79" s="12">
        <f t="shared" si="11"/>
        <v>348.68107272368354</v>
      </c>
      <c r="G79" s="12">
        <f t="shared" si="11"/>
        <v>43.09541348270249</v>
      </c>
      <c r="H79" s="9"/>
      <c r="I79" s="12">
        <f t="shared" si="12"/>
        <v>139.25500240020111</v>
      </c>
      <c r="J79" s="12">
        <f t="shared" si="13"/>
        <v>31.324659504865529</v>
      </c>
      <c r="K79" s="12">
        <f t="shared" si="14"/>
        <v>3.8715871298148445</v>
      </c>
    </row>
    <row r="80" spans="2:11" x14ac:dyDescent="0.25">
      <c r="B80" s="10">
        <v>76</v>
      </c>
      <c r="C80" s="11">
        <v>43967</v>
      </c>
      <c r="D80" s="12">
        <f t="shared" si="9"/>
        <v>1565452.3118650794</v>
      </c>
      <c r="E80" s="12">
        <f t="shared" si="10"/>
        <v>1274.246776888215</v>
      </c>
      <c r="F80" s="12">
        <f t="shared" si="11"/>
        <v>383.09280864959283</v>
      </c>
      <c r="G80" s="12">
        <f t="shared" si="11"/>
        <v>47.348549383657577</v>
      </c>
      <c r="H80" s="9"/>
      <c r="I80" s="12">
        <f t="shared" si="12"/>
        <v>152.96549390914743</v>
      </c>
      <c r="J80" s="12">
        <f t="shared" si="13"/>
        <v>34.411735925909312</v>
      </c>
      <c r="K80" s="12">
        <f t="shared" si="14"/>
        <v>4.2531359009550886</v>
      </c>
    </row>
    <row r="81" spans="2:11" x14ac:dyDescent="0.25">
      <c r="B81" s="10">
        <v>77</v>
      </c>
      <c r="C81" s="11">
        <v>43968</v>
      </c>
      <c r="D81" s="12">
        <f t="shared" si="9"/>
        <v>1565284.2891756387</v>
      </c>
      <c r="E81" s="12">
        <f t="shared" si="10"/>
        <v>1399.7945737659354</v>
      </c>
      <c r="F81" s="12">
        <f t="shared" si="11"/>
        <v>420.89546303060985</v>
      </c>
      <c r="G81" s="12">
        <f t="shared" si="11"/>
        <v>52.020787565581038</v>
      </c>
      <c r="H81" s="9"/>
      <c r="I81" s="12">
        <f t="shared" si="12"/>
        <v>168.0226894406608</v>
      </c>
      <c r="J81" s="12">
        <f t="shared" si="13"/>
        <v>37.802654381017042</v>
      </c>
      <c r="K81" s="12">
        <f t="shared" si="14"/>
        <v>4.6722381819234595</v>
      </c>
    </row>
    <row r="82" spans="2:11" x14ac:dyDescent="0.25">
      <c r="B82" s="10">
        <v>78</v>
      </c>
      <c r="C82" s="11">
        <v>43969</v>
      </c>
      <c r="D82" s="12">
        <f t="shared" si="9"/>
        <v>1565099.7309642772</v>
      </c>
      <c r="E82" s="12">
        <f t="shared" si="10"/>
        <v>1537.6929660020428</v>
      </c>
      <c r="F82" s="12">
        <f t="shared" si="11"/>
        <v>462.42270205233257</v>
      </c>
      <c r="G82" s="12">
        <f t="shared" si="11"/>
        <v>57.153367669389475</v>
      </c>
      <c r="H82" s="9"/>
      <c r="I82" s="12">
        <f t="shared" si="12"/>
        <v>184.55821136163866</v>
      </c>
      <c r="J82" s="12">
        <f t="shared" si="13"/>
        <v>41.527239021722743</v>
      </c>
      <c r="K82" s="12">
        <f t="shared" si="14"/>
        <v>5.1325801038084347</v>
      </c>
    </row>
    <row r="83" spans="2:11" x14ac:dyDescent="0.25">
      <c r="B83" s="10">
        <v>79</v>
      </c>
      <c r="C83" s="11">
        <v>43970</v>
      </c>
      <c r="D83" s="12">
        <f t="shared" si="9"/>
        <v>1564897.0145537441</v>
      </c>
      <c r="E83" s="12">
        <f t="shared" si="10"/>
        <v>1689.1529443350255</v>
      </c>
      <c r="F83" s="12">
        <f t="shared" si="11"/>
        <v>508.04092671039314</v>
      </c>
      <c r="G83" s="12">
        <f t="shared" si="11"/>
        <v>62.791575211396967</v>
      </c>
      <c r="H83" s="9"/>
      <c r="I83" s="12">
        <f t="shared" si="12"/>
        <v>202.71641053305072</v>
      </c>
      <c r="J83" s="12">
        <f t="shared" si="13"/>
        <v>45.618224658060598</v>
      </c>
      <c r="K83" s="12">
        <f t="shared" si="14"/>
        <v>5.6382075420074953</v>
      </c>
    </row>
    <row r="84" spans="2:11" x14ac:dyDescent="0.25">
      <c r="B84" s="10">
        <v>80</v>
      </c>
      <c r="C84" s="11">
        <v>43971</v>
      </c>
      <c r="D84" s="12">
        <f t="shared" si="9"/>
        <v>1564674.3589846746</v>
      </c>
      <c r="E84" s="12">
        <f t="shared" si="10"/>
        <v>1855.5034152600128</v>
      </c>
      <c r="F84" s="12">
        <f t="shared" si="11"/>
        <v>558.15246405899893</v>
      </c>
      <c r="G84" s="12">
        <f t="shared" si="11"/>
        <v>68.98513600729207</v>
      </c>
      <c r="H84" s="9"/>
      <c r="I84" s="12">
        <f t="shared" si="12"/>
        <v>222.65556906948802</v>
      </c>
      <c r="J84" s="12">
        <f t="shared" si="13"/>
        <v>50.111537348605751</v>
      </c>
      <c r="K84" s="12">
        <f t="shared" si="14"/>
        <v>6.1935607958950989</v>
      </c>
    </row>
    <row r="85" spans="2:11" x14ac:dyDescent="0.25">
      <c r="B85" s="10">
        <v>81</v>
      </c>
      <c r="C85" s="11">
        <v>43972</v>
      </c>
      <c r="D85" s="12">
        <f t="shared" si="9"/>
        <v>1564429.8097737869</v>
      </c>
      <c r="E85" s="12">
        <f t="shared" si="10"/>
        <v>2038.2025123055387</v>
      </c>
      <c r="F85" s="12">
        <f t="shared" si="11"/>
        <v>613.19906537837926</v>
      </c>
      <c r="G85" s="12">
        <f t="shared" si="11"/>
        <v>75.788648529912123</v>
      </c>
      <c r="H85" s="9"/>
      <c r="I85" s="12">
        <f t="shared" si="12"/>
        <v>244.54921088752664</v>
      </c>
      <c r="J85" s="12">
        <f t="shared" si="13"/>
        <v>55.046601319380372</v>
      </c>
      <c r="K85" s="12">
        <f t="shared" si="14"/>
        <v>6.8035125226200535</v>
      </c>
    </row>
    <row r="86" spans="2:11" x14ac:dyDescent="0.25">
      <c r="B86" s="10">
        <v>82</v>
      </c>
      <c r="C86" s="11">
        <v>43973</v>
      </c>
      <c r="D86" s="12">
        <f t="shared" si="9"/>
        <v>1564161.2222453249</v>
      </c>
      <c r="E86" s="12">
        <f t="shared" si="10"/>
        <v>2238.8499570239851</v>
      </c>
      <c r="F86" s="12">
        <f t="shared" ref="F86:G101" si="15">F85+J86</f>
        <v>673.66573991011023</v>
      </c>
      <c r="G86" s="12">
        <f t="shared" si="15"/>
        <v>83.26205774169911</v>
      </c>
      <c r="H86" s="9"/>
      <c r="I86" s="12">
        <f t="shared" si="12"/>
        <v>268.5875284619641</v>
      </c>
      <c r="J86" s="12">
        <f t="shared" si="13"/>
        <v>60.466674531730973</v>
      </c>
      <c r="K86" s="12">
        <f t="shared" si="14"/>
        <v>7.4734092117869819</v>
      </c>
    </row>
    <row r="87" spans="2:11" x14ac:dyDescent="0.25">
      <c r="B87" s="10">
        <v>83</v>
      </c>
      <c r="C87" s="11">
        <v>43974</v>
      </c>
      <c r="D87" s="12">
        <f t="shared" si="9"/>
        <v>1563866.2433107321</v>
      </c>
      <c r="E87" s="12">
        <f t="shared" si="10"/>
        <v>2459.2005597160942</v>
      </c>
      <c r="F87" s="12">
        <f t="shared" si="15"/>
        <v>740.08495530182176</v>
      </c>
      <c r="G87" s="12">
        <f t="shared" si="15"/>
        <v>91.471174250787058</v>
      </c>
      <c r="H87" s="9"/>
      <c r="I87" s="12">
        <f t="shared" si="12"/>
        <v>294.97893459290827</v>
      </c>
      <c r="J87" s="12">
        <f t="shared" si="13"/>
        <v>66.419215391711546</v>
      </c>
      <c r="K87" s="12">
        <f t="shared" si="14"/>
        <v>8.2091165090879521</v>
      </c>
    </row>
    <row r="88" spans="2:11" x14ac:dyDescent="0.25">
      <c r="B88" s="10">
        <v>84</v>
      </c>
      <c r="C88" s="11">
        <v>43975</v>
      </c>
      <c r="D88" s="12">
        <f t="shared" si="9"/>
        <v>1563542.2915624122</v>
      </c>
      <c r="E88" s="12">
        <f t="shared" si="10"/>
        <v>2701.1789560454599</v>
      </c>
      <c r="F88" s="12">
        <f t="shared" si="15"/>
        <v>813.04123857339926</v>
      </c>
      <c r="G88" s="12">
        <f t="shared" si="15"/>
        <v>100.48824296974608</v>
      </c>
      <c r="H88" s="9"/>
      <c r="I88" s="12">
        <f t="shared" si="12"/>
        <v>323.95174831990181</v>
      </c>
      <c r="J88" s="12">
        <f t="shared" si="13"/>
        <v>72.956283271577448</v>
      </c>
      <c r="K88" s="12">
        <f t="shared" si="14"/>
        <v>9.0170687189590204</v>
      </c>
    </row>
    <row r="89" spans="2:11" x14ac:dyDescent="0.25">
      <c r="B89" s="10">
        <v>85</v>
      </c>
      <c r="C89" s="11">
        <v>43976</v>
      </c>
      <c r="D89" s="12">
        <f t="shared" si="9"/>
        <v>1563186.5355380324</v>
      </c>
      <c r="E89" s="12">
        <f t="shared" si="10"/>
        <v>2966.8956818902616</v>
      </c>
      <c r="F89" s="12">
        <f t="shared" si="15"/>
        <v>893.17621426941457</v>
      </c>
      <c r="G89" s="12">
        <f t="shared" si="15"/>
        <v>110.39256580857945</v>
      </c>
      <c r="H89" s="9"/>
      <c r="I89" s="12">
        <f t="shared" si="12"/>
        <v>355.75602437965006</v>
      </c>
      <c r="J89" s="12">
        <f t="shared" si="13"/>
        <v>80.134975696015303</v>
      </c>
      <c r="K89" s="12">
        <f t="shared" si="14"/>
        <v>9.9043228388333624</v>
      </c>
    </row>
    <row r="90" spans="2:11" x14ac:dyDescent="0.25">
      <c r="B90" s="10">
        <v>86</v>
      </c>
      <c r="C90" s="11">
        <v>43977</v>
      </c>
      <c r="D90" s="12">
        <f t="shared" si="9"/>
        <v>1562795.8700022683</v>
      </c>
      <c r="E90" s="12">
        <f t="shared" si="10"/>
        <v>3258.6646949246492</v>
      </c>
      <c r="F90" s="12">
        <f t="shared" si="15"/>
        <v>981.19411949882567</v>
      </c>
      <c r="G90" s="12">
        <f t="shared" si="15"/>
        <v>121.27118330884375</v>
      </c>
      <c r="H90" s="9"/>
      <c r="I90" s="12">
        <f t="shared" si="12"/>
        <v>390.66553576406289</v>
      </c>
      <c r="J90" s="12">
        <f t="shared" si="13"/>
        <v>88.017905229411085</v>
      </c>
      <c r="K90" s="12">
        <f t="shared" si="14"/>
        <v>10.878617500264303</v>
      </c>
    </row>
    <row r="91" spans="2:11" x14ac:dyDescent="0.25">
      <c r="B91" s="10">
        <v>87</v>
      </c>
      <c r="C91" s="11">
        <v>43978</v>
      </c>
      <c r="D91" s="12">
        <f t="shared" si="9"/>
        <v>1562366.8900833069</v>
      </c>
      <c r="E91" s="12">
        <f t="shared" si="10"/>
        <v>3579.0224573885966</v>
      </c>
      <c r="F91" s="12">
        <f t="shared" si="15"/>
        <v>1077.8678387815903</v>
      </c>
      <c r="G91" s="12">
        <f t="shared" si="15"/>
        <v>133.21962052356747</v>
      </c>
      <c r="H91" s="9"/>
      <c r="I91" s="12">
        <f t="shared" si="12"/>
        <v>428.97991896143554</v>
      </c>
      <c r="J91" s="12">
        <f t="shared" si="13"/>
        <v>96.67371928276458</v>
      </c>
      <c r="K91" s="12">
        <f t="shared" si="14"/>
        <v>11.948437214723725</v>
      </c>
    </row>
    <row r="92" spans="2:11" x14ac:dyDescent="0.25">
      <c r="B92" s="10">
        <v>88</v>
      </c>
      <c r="C92" s="11">
        <v>43979</v>
      </c>
      <c r="D92" s="12">
        <f t="shared" si="9"/>
        <v>1561895.8630919927</v>
      </c>
      <c r="E92" s="12">
        <f t="shared" si="10"/>
        <v>3930.7487001232648</v>
      </c>
      <c r="F92" s="12">
        <f t="shared" si="15"/>
        <v>1184.0455050174519</v>
      </c>
      <c r="G92" s="12">
        <f t="shared" si="15"/>
        <v>146.34270286732567</v>
      </c>
      <c r="H92" s="9"/>
      <c r="I92" s="12">
        <f t="shared" si="12"/>
        <v>471.02699131428813</v>
      </c>
      <c r="J92" s="12">
        <f t="shared" si="13"/>
        <v>106.17766623586168</v>
      </c>
      <c r="K92" s="12">
        <f t="shared" si="14"/>
        <v>13.123082343758199</v>
      </c>
    </row>
    <row r="93" spans="2:11" x14ac:dyDescent="0.25">
      <c r="B93" s="10">
        <v>89</v>
      </c>
      <c r="C93" s="11">
        <v>43980</v>
      </c>
      <c r="D93" s="12">
        <f t="shared" si="9"/>
        <v>1561378.6978424403</v>
      </c>
      <c r="E93" s="12">
        <f t="shared" si="10"/>
        <v>4316.8889930047553</v>
      </c>
      <c r="F93" s="12">
        <f t="shared" si="15"/>
        <v>1300.6577164544422</v>
      </c>
      <c r="G93" s="12">
        <f t="shared" si="15"/>
        <v>160.755448101111</v>
      </c>
      <c r="H93" s="9"/>
      <c r="I93" s="12">
        <f t="shared" si="12"/>
        <v>517.16524955226544</v>
      </c>
      <c r="J93" s="12">
        <f t="shared" si="13"/>
        <v>116.61221143699018</v>
      </c>
      <c r="K93" s="12">
        <f t="shared" si="14"/>
        <v>14.412745233785317</v>
      </c>
    </row>
    <row r="94" spans="2:11" x14ac:dyDescent="0.25">
      <c r="B94" s="10">
        <v>90</v>
      </c>
      <c r="C94" s="11">
        <v>43981</v>
      </c>
      <c r="D94" s="12">
        <f t="shared" si="9"/>
        <v>1560810.9112845438</v>
      </c>
      <c r="E94" s="12">
        <f t="shared" si="10"/>
        <v>4740.7792511344605</v>
      </c>
      <c r="F94" s="12">
        <f t="shared" si="15"/>
        <v>1428.7254232469165</v>
      </c>
      <c r="G94" s="12">
        <f t="shared" si="15"/>
        <v>176.58404107546178</v>
      </c>
      <c r="H94" s="9"/>
      <c r="I94" s="12">
        <f t="shared" si="12"/>
        <v>567.78655789653044</v>
      </c>
      <c r="J94" s="12">
        <f t="shared" si="13"/>
        <v>128.06770679247441</v>
      </c>
      <c r="K94" s="12">
        <f t="shared" si="14"/>
        <v>15.828592974350784</v>
      </c>
    </row>
    <row r="95" spans="2:11" x14ac:dyDescent="0.25">
      <c r="B95" s="10">
        <v>91</v>
      </c>
      <c r="C95" s="13">
        <v>43982</v>
      </c>
      <c r="D95" s="12">
        <f t="shared" si="9"/>
        <v>1560187.592251434</v>
      </c>
      <c r="E95" s="12">
        <f t="shared" si="10"/>
        <v>5206.0723092063681</v>
      </c>
      <c r="F95" s="12">
        <f t="shared" si="15"/>
        <v>1569.3685410305723</v>
      </c>
      <c r="G95" s="12">
        <f t="shared" si="15"/>
        <v>193.9668983296215</v>
      </c>
      <c r="H95" s="9"/>
      <c r="I95" s="12">
        <f t="shared" si="12"/>
        <v>623.3190331097228</v>
      </c>
      <c r="J95" s="12">
        <f t="shared" si="13"/>
        <v>140.64311778365564</v>
      </c>
      <c r="K95" s="12">
        <f t="shared" si="14"/>
        <v>17.382857254159706</v>
      </c>
    </row>
    <row r="96" spans="2:11" x14ac:dyDescent="0.25">
      <c r="B96" s="10">
        <v>92</v>
      </c>
      <c r="C96" s="11">
        <v>43983</v>
      </c>
      <c r="D96" s="12">
        <f t="shared" si="9"/>
        <v>1559503.3621190393</v>
      </c>
      <c r="E96" s="12">
        <f t="shared" si="10"/>
        <v>5716.7666979608548</v>
      </c>
      <c r="F96" s="12">
        <f t="shared" si="15"/>
        <v>1723.8153528703613</v>
      </c>
      <c r="G96" s="12">
        <f t="shared" si="15"/>
        <v>213.05583013004485</v>
      </c>
      <c r="H96" s="9"/>
      <c r="I96" s="12">
        <f t="shared" si="12"/>
        <v>684.23013239469935</v>
      </c>
      <c r="J96" s="12">
        <f t="shared" si="13"/>
        <v>154.44681183978892</v>
      </c>
      <c r="K96" s="12">
        <f t="shared" si="14"/>
        <v>19.088931800423367</v>
      </c>
    </row>
    <row r="97" spans="2:11" x14ac:dyDescent="0.25">
      <c r="B97" s="10">
        <v>93</v>
      </c>
      <c r="C97" s="11">
        <v>43984</v>
      </c>
      <c r="D97" s="12">
        <f t="shared" si="9"/>
        <v>1558752.3321710185</v>
      </c>
      <c r="E97" s="12">
        <f t="shared" si="10"/>
        <v>6277.2377560496579</v>
      </c>
      <c r="F97" s="12">
        <f t="shared" si="15"/>
        <v>1893.4127649098666</v>
      </c>
      <c r="G97" s="12">
        <f t="shared" si="15"/>
        <v>234.01730802256802</v>
      </c>
      <c r="H97" s="9"/>
      <c r="I97" s="12">
        <f t="shared" si="12"/>
        <v>751.02994802083163</v>
      </c>
      <c r="J97" s="12">
        <f t="shared" si="13"/>
        <v>169.59741203950534</v>
      </c>
      <c r="K97" s="12">
        <f t="shared" si="14"/>
        <v>20.961477892523153</v>
      </c>
    </row>
    <row r="98" spans="2:11" x14ac:dyDescent="0.25">
      <c r="B98" s="10">
        <v>94</v>
      </c>
      <c r="C98" s="11">
        <v>43985</v>
      </c>
      <c r="D98" s="12">
        <f t="shared" si="9"/>
        <v>1557928.0574611644</v>
      </c>
      <c r="E98" s="12">
        <f t="shared" si="10"/>
        <v>6892.2712073687608</v>
      </c>
      <c r="F98" s="12">
        <f t="shared" si="15"/>
        <v>2079.6374850060065</v>
      </c>
      <c r="G98" s="12">
        <f t="shared" si="15"/>
        <v>257.03384646141677</v>
      </c>
      <c r="H98" s="9"/>
      <c r="I98" s="12">
        <f t="shared" si="12"/>
        <v>824.27470985409138</v>
      </c>
      <c r="J98" s="12">
        <f t="shared" si="13"/>
        <v>186.22472009613983</v>
      </c>
      <c r="K98" s="12">
        <f t="shared" si="14"/>
        <v>23.016538438848766</v>
      </c>
    </row>
    <row r="99" spans="2:11" x14ac:dyDescent="0.25">
      <c r="B99" s="10">
        <v>95</v>
      </c>
      <c r="C99" s="11">
        <v>43986</v>
      </c>
      <c r="D99" s="12">
        <f t="shared" si="9"/>
        <v>1557023.4869677247</v>
      </c>
      <c r="E99" s="12">
        <f t="shared" si="10"/>
        <v>7567.0993272294545</v>
      </c>
      <c r="F99" s="12">
        <f t="shared" si="15"/>
        <v>2284.1081974912795</v>
      </c>
      <c r="G99" s="12">
        <f t="shared" si="15"/>
        <v>282.30550755510222</v>
      </c>
      <c r="H99" s="9"/>
      <c r="I99" s="12">
        <f t="shared" si="12"/>
        <v>904.57049343965264</v>
      </c>
      <c r="J99" s="12">
        <f t="shared" si="13"/>
        <v>204.4707124852732</v>
      </c>
      <c r="K99" s="12">
        <f t="shared" si="14"/>
        <v>25.271661093685477</v>
      </c>
    </row>
    <row r="100" spans="2:11" x14ac:dyDescent="0.25">
      <c r="B100" s="10">
        <v>96</v>
      </c>
      <c r="C100" s="11">
        <v>43987</v>
      </c>
      <c r="D100" s="12">
        <f t="shared" si="9"/>
        <v>1556030.9098409635</v>
      </c>
      <c r="E100" s="12">
        <f t="shared" si="10"/>
        <v>8307.4398097497324</v>
      </c>
      <c r="F100" s="12">
        <f t="shared" si="15"/>
        <v>2508.5988108657534</v>
      </c>
      <c r="G100" s="12">
        <f t="shared" si="15"/>
        <v>310.05153842161025</v>
      </c>
      <c r="H100" s="9"/>
      <c r="I100" s="12">
        <f t="shared" si="12"/>
        <v>992.57712676126005</v>
      </c>
      <c r="J100" s="12">
        <f t="shared" si="13"/>
        <v>224.49061337447381</v>
      </c>
      <c r="K100" s="12">
        <f t="shared" si="14"/>
        <v>27.746030866508026</v>
      </c>
    </row>
    <row r="101" spans="2:11" x14ac:dyDescent="0.25">
      <c r="B101" s="10">
        <v>97</v>
      </c>
      <c r="C101" s="11">
        <v>43988</v>
      </c>
      <c r="D101" s="12">
        <f t="shared" si="9"/>
        <v>1554941.8975578835</v>
      </c>
      <c r="E101" s="12">
        <f t="shared" si="10"/>
        <v>9119.5374325047178</v>
      </c>
      <c r="F101" s="12">
        <f t="shared" si="15"/>
        <v>2755.0528585549955</v>
      </c>
      <c r="G101" s="12">
        <f t="shared" si="15"/>
        <v>340.51215105735929</v>
      </c>
      <c r="H101" s="9"/>
      <c r="I101" s="12">
        <f t="shared" si="12"/>
        <v>1089.0122830799755</v>
      </c>
      <c r="J101" s="12">
        <f t="shared" si="13"/>
        <v>246.45404768924203</v>
      </c>
      <c r="K101" s="12">
        <f t="shared" si="14"/>
        <v>30.460612635749044</v>
      </c>
    </row>
    <row r="102" spans="2:11" x14ac:dyDescent="0.25">
      <c r="B102" s="10">
        <v>98</v>
      </c>
      <c r="C102" s="11">
        <v>43989</v>
      </c>
      <c r="D102" s="12">
        <f t="shared" si="9"/>
        <v>1553747.2418177787</v>
      </c>
      <c r="E102" s="12">
        <f t="shared" si="10"/>
        <v>10010.208591526085</v>
      </c>
      <c r="F102" s="12">
        <f t="shared" ref="F102:G117" si="16">F101+J102</f>
        <v>3025.599135719302</v>
      </c>
      <c r="G102" s="12">
        <f t="shared" si="16"/>
        <v>373.95045497654326</v>
      </c>
      <c r="H102" s="9"/>
      <c r="I102" s="12">
        <f t="shared" si="12"/>
        <v>1194.6557401048574</v>
      </c>
      <c r="J102" s="12">
        <f t="shared" si="13"/>
        <v>270.54627716430662</v>
      </c>
      <c r="K102" s="12">
        <f t="shared" si="14"/>
        <v>33.438303919183994</v>
      </c>
    </row>
    <row r="103" spans="2:11" x14ac:dyDescent="0.25">
      <c r="B103" s="10">
        <v>99</v>
      </c>
      <c r="C103" s="11">
        <v>43990</v>
      </c>
      <c r="D103" s="12">
        <f t="shared" si="9"/>
        <v>1552436.8880408739</v>
      </c>
      <c r="E103" s="12">
        <f t="shared" si="10"/>
        <v>10986.888748713363</v>
      </c>
      <c r="F103" s="12">
        <f t="shared" si="16"/>
        <v>3322.5686572679092</v>
      </c>
      <c r="G103" s="12">
        <f t="shared" si="16"/>
        <v>410.65455314547228</v>
      </c>
      <c r="H103" s="9"/>
      <c r="I103" s="12">
        <f t="shared" si="12"/>
        <v>1310.3537769048148</v>
      </c>
      <c r="J103" s="12">
        <f t="shared" si="13"/>
        <v>296.96952154860713</v>
      </c>
      <c r="K103" s="12">
        <f t="shared" si="14"/>
        <v>36.704098168929015</v>
      </c>
    </row>
    <row r="104" spans="2:11" x14ac:dyDescent="0.25">
      <c r="B104" s="10">
        <v>100</v>
      </c>
      <c r="C104" s="11">
        <v>43991</v>
      </c>
      <c r="D104" s="12">
        <f t="shared" si="9"/>
        <v>1550999.86437174</v>
      </c>
      <c r="E104" s="12">
        <f t="shared" si="10"/>
        <v>12057.682792890115</v>
      </c>
      <c r="F104" s="12">
        <f t="shared" si="16"/>
        <v>3648.5130234797389</v>
      </c>
      <c r="G104" s="12">
        <f t="shared" si="16"/>
        <v>450.93981189075464</v>
      </c>
      <c r="H104" s="9"/>
      <c r="I104" s="12">
        <f t="shared" si="12"/>
        <v>1437.023669133863</v>
      </c>
      <c r="J104" s="12">
        <f t="shared" si="13"/>
        <v>325.94436621182979</v>
      </c>
      <c r="K104" s="12">
        <f t="shared" si="14"/>
        <v>40.28525874528237</v>
      </c>
    </row>
    <row r="105" spans="2:11" x14ac:dyDescent="0.25">
      <c r="B105" s="10">
        <v>101</v>
      </c>
      <c r="C105" s="11">
        <v>43992</v>
      </c>
      <c r="D105" s="12">
        <f t="shared" si="9"/>
        <v>1549424.2061417657</v>
      </c>
      <c r="E105" s="12">
        <f t="shared" si="10"/>
        <v>13231.418263101486</v>
      </c>
      <c r="F105" s="12">
        <f t="shared" si="16"/>
        <v>4006.2242796688124</v>
      </c>
      <c r="G105" s="12">
        <f t="shared" si="16"/>
        <v>495.15131546468513</v>
      </c>
      <c r="H105" s="9"/>
      <c r="I105" s="12">
        <f t="shared" si="12"/>
        <v>1575.658229974375</v>
      </c>
      <c r="J105" s="12">
        <f t="shared" si="13"/>
        <v>357.71125618907337</v>
      </c>
      <c r="K105" s="12">
        <f t="shared" si="14"/>
        <v>44.211503573930464</v>
      </c>
    </row>
    <row r="106" spans="2:11" x14ac:dyDescent="0.25">
      <c r="B106" s="10">
        <v>102</v>
      </c>
      <c r="C106" s="11">
        <v>43993</v>
      </c>
      <c r="D106" s="12">
        <f t="shared" si="9"/>
        <v>1547696.8758134337</v>
      </c>
      <c r="E106" s="12">
        <f t="shared" si="10"/>
        <v>14517.70131599679</v>
      </c>
      <c r="F106" s="12">
        <f t="shared" si="16"/>
        <v>4398.7563548074895</v>
      </c>
      <c r="G106" s="12">
        <f t="shared" si="16"/>
        <v>543.66651576272398</v>
      </c>
      <c r="H106" s="9"/>
      <c r="I106" s="12">
        <f t="shared" si="12"/>
        <v>1727.3303283320206</v>
      </c>
      <c r="J106" s="12">
        <f t="shared" si="13"/>
        <v>392.53207513867738</v>
      </c>
      <c r="K106" s="12">
        <f t="shared" si="14"/>
        <v>48.515200298038827</v>
      </c>
    </row>
    <row r="107" spans="2:11" x14ac:dyDescent="0.25">
      <c r="B107" s="10">
        <v>103</v>
      </c>
      <c r="C107" s="11">
        <v>43994</v>
      </c>
      <c r="D107" s="12">
        <f t="shared" si="9"/>
        <v>1545803.678516597</v>
      </c>
      <c r="E107" s="12">
        <f t="shared" si="10"/>
        <v>15926.975235633427</v>
      </c>
      <c r="F107" s="12">
        <f t="shared" si="16"/>
        <v>4829.4481605153942</v>
      </c>
      <c r="G107" s="12">
        <f t="shared" si="16"/>
        <v>596.89808725471221</v>
      </c>
      <c r="H107" s="9"/>
      <c r="I107" s="12">
        <f t="shared" si="12"/>
        <v>1893.1972968365315</v>
      </c>
      <c r="J107" s="12">
        <f t="shared" si="13"/>
        <v>430.69180570790473</v>
      </c>
      <c r="K107" s="12">
        <f t="shared" si="14"/>
        <v>53.231571491988277</v>
      </c>
    </row>
    <row r="108" spans="2:11" x14ac:dyDescent="0.25">
      <c r="B108" s="10">
        <v>104</v>
      </c>
      <c r="C108" s="11">
        <v>43995</v>
      </c>
      <c r="D108" s="12">
        <f t="shared" si="9"/>
        <v>1543729.1733969143</v>
      </c>
      <c r="E108" s="12">
        <f t="shared" si="10"/>
        <v>17470.581180795114</v>
      </c>
      <c r="F108" s="12">
        <f t="shared" si="16"/>
        <v>5301.9484258391858</v>
      </c>
      <c r="G108" s="12">
        <f t="shared" si="16"/>
        <v>655.29699645203482</v>
      </c>
      <c r="H108" s="9"/>
      <c r="I108" s="12">
        <f t="shared" si="12"/>
        <v>2074.505119682804</v>
      </c>
      <c r="J108" s="12">
        <f t="shared" si="13"/>
        <v>472.50026532379161</v>
      </c>
      <c r="K108" s="12">
        <f t="shared" si="14"/>
        <v>58.398909197322617</v>
      </c>
    </row>
    <row r="109" spans="2:11" x14ac:dyDescent="0.25">
      <c r="B109" s="10">
        <v>105</v>
      </c>
      <c r="C109" s="11">
        <v>43996</v>
      </c>
      <c r="D109" s="12">
        <f t="shared" si="9"/>
        <v>1541456.5811330737</v>
      </c>
      <c r="E109" s="12">
        <f t="shared" si="10"/>
        <v>19160.820738609229</v>
      </c>
      <c r="F109" s="12">
        <f t="shared" si="16"/>
        <v>5820.2423342027741</v>
      </c>
      <c r="G109" s="12">
        <f t="shared" si="16"/>
        <v>719.3557941149503</v>
      </c>
      <c r="H109" s="9"/>
      <c r="I109" s="12">
        <f t="shared" si="12"/>
        <v>2272.5922638406155</v>
      </c>
      <c r="J109" s="12">
        <f t="shared" si="13"/>
        <v>518.29390836358834</v>
      </c>
      <c r="K109" s="12">
        <f t="shared" si="14"/>
        <v>64.058797662915467</v>
      </c>
    </row>
    <row r="110" spans="2:11" x14ac:dyDescent="0.25">
      <c r="B110" s="10">
        <v>106</v>
      </c>
      <c r="C110" s="11">
        <v>43997</v>
      </c>
      <c r="D110" s="12">
        <f t="shared" si="9"/>
        <v>1538967.6881468492</v>
      </c>
      <c r="E110" s="12">
        <f t="shared" si="10"/>
        <v>21011.019700213459</v>
      </c>
      <c r="F110" s="12">
        <f t="shared" si="16"/>
        <v>6388.6800161148476</v>
      </c>
      <c r="G110" s="12">
        <f t="shared" si="16"/>
        <v>789.61213682318419</v>
      </c>
      <c r="H110" s="9"/>
      <c r="I110" s="12">
        <f t="shared" si="12"/>
        <v>2488.8929862245377</v>
      </c>
      <c r="J110" s="12">
        <f t="shared" si="13"/>
        <v>568.43768191207369</v>
      </c>
      <c r="K110" s="12">
        <f t="shared" si="14"/>
        <v>70.256342708233902</v>
      </c>
    </row>
    <row r="111" spans="2:11" x14ac:dyDescent="0.25">
      <c r="B111" s="10">
        <v>107</v>
      </c>
      <c r="C111" s="11">
        <v>43998</v>
      </c>
      <c r="D111" s="12">
        <f t="shared" si="9"/>
        <v>1536242.7482332163</v>
      </c>
      <c r="E111" s="12">
        <f t="shared" si="10"/>
        <v>23035.592290505858</v>
      </c>
      <c r="F111" s="12">
        <f t="shared" si="16"/>
        <v>7012.0069338878466</v>
      </c>
      <c r="G111" s="12">
        <f t="shared" si="16"/>
        <v>866.65254239063358</v>
      </c>
      <c r="H111" s="9"/>
      <c r="I111" s="12">
        <f t="shared" si="12"/>
        <v>2724.9399136328466</v>
      </c>
      <c r="J111" s="12">
        <f t="shared" si="13"/>
        <v>623.32691777299931</v>
      </c>
      <c r="K111" s="12">
        <f t="shared" si="14"/>
        <v>77.040405567449412</v>
      </c>
    </row>
    <row r="112" spans="2:11" x14ac:dyDescent="0.25">
      <c r="B112" s="10">
        <v>108</v>
      </c>
      <c r="C112" s="11">
        <v>43999</v>
      </c>
      <c r="D112" s="12">
        <f t="shared" si="9"/>
        <v>1533260.3825819318</v>
      </c>
      <c r="E112" s="12">
        <f t="shared" si="10"/>
        <v>25250.104865440233</v>
      </c>
      <c r="F112" s="12">
        <f t="shared" si="16"/>
        <v>7695.3961718395203</v>
      </c>
      <c r="G112" s="12">
        <f t="shared" si="16"/>
        <v>951.11638078915519</v>
      </c>
      <c r="H112" s="9"/>
      <c r="I112" s="12">
        <f t="shared" si="12"/>
        <v>2982.3656512845714</v>
      </c>
      <c r="J112" s="12">
        <f t="shared" si="13"/>
        <v>683.38923795167364</v>
      </c>
      <c r="K112" s="12">
        <f t="shared" si="14"/>
        <v>84.46383839852156</v>
      </c>
    </row>
    <row r="113" spans="2:11" x14ac:dyDescent="0.25">
      <c r="B113" s="10">
        <v>109</v>
      </c>
      <c r="C113" s="11">
        <v>44000</v>
      </c>
      <c r="D113" s="12">
        <f t="shared" si="9"/>
        <v>1529997.4794525604</v>
      </c>
      <c r="E113" s="12">
        <f t="shared" si="10"/>
        <v>27671.337832630201</v>
      </c>
      <c r="F113" s="12">
        <f t="shared" si="16"/>
        <v>8444.4826161809142</v>
      </c>
      <c r="G113" s="12">
        <f t="shared" si="16"/>
        <v>1043.7000986291027</v>
      </c>
      <c r="H113" s="9"/>
      <c r="I113" s="12">
        <f t="shared" si="12"/>
        <v>3262.9031293713088</v>
      </c>
      <c r="J113" s="12">
        <f t="shared" si="13"/>
        <v>749.08644434139353</v>
      </c>
      <c r="K113" s="12">
        <f t="shared" si="14"/>
        <v>92.58371783994761</v>
      </c>
    </row>
    <row r="114" spans="2:11" x14ac:dyDescent="0.25">
      <c r="B114" s="10">
        <v>110</v>
      </c>
      <c r="C114" s="11">
        <v>44001</v>
      </c>
      <c r="D114" s="12">
        <f t="shared" si="9"/>
        <v>1526429.0951074199</v>
      </c>
      <c r="E114" s="12">
        <f t="shared" si="10"/>
        <v>30317.344250016493</v>
      </c>
      <c r="F114" s="12">
        <f t="shared" si="16"/>
        <v>9265.3989718822759</v>
      </c>
      <c r="G114" s="12">
        <f t="shared" si="16"/>
        <v>1145.1616706820803</v>
      </c>
      <c r="H114" s="9"/>
      <c r="I114" s="12">
        <f t="shared" si="12"/>
        <v>3568.3843451406333</v>
      </c>
      <c r="J114" s="12">
        <f t="shared" si="13"/>
        <v>820.91635570136248</v>
      </c>
      <c r="K114" s="12">
        <f t="shared" si="14"/>
        <v>101.4615720529775</v>
      </c>
    </row>
    <row r="115" spans="2:11" x14ac:dyDescent="0.25">
      <c r="B115" s="10">
        <v>111</v>
      </c>
      <c r="C115" s="11">
        <v>44002</v>
      </c>
      <c r="D115" s="12">
        <f t="shared" si="9"/>
        <v>1522528.3580065651</v>
      </c>
      <c r="E115" s="12">
        <f t="shared" si="10"/>
        <v>33207.503209204013</v>
      </c>
      <c r="F115" s="12">
        <f t="shared" si="16"/>
        <v>10164.813517966099</v>
      </c>
      <c r="G115" s="12">
        <f t="shared" si="16"/>
        <v>1256.3252662654743</v>
      </c>
      <c r="H115" s="9"/>
      <c r="I115" s="12">
        <f t="shared" si="12"/>
        <v>3900.7371008547302</v>
      </c>
      <c r="J115" s="12">
        <f t="shared" si="13"/>
        <v>899.41454608382253</v>
      </c>
      <c r="K115" s="12">
        <f t="shared" si="14"/>
        <v>111.16359558339391</v>
      </c>
    </row>
    <row r="116" spans="2:11" x14ac:dyDescent="0.25">
      <c r="B116" s="10">
        <v>112</v>
      </c>
      <c r="C116" s="11">
        <v>44003</v>
      </c>
      <c r="D116" s="12">
        <f t="shared" si="9"/>
        <v>1518266.3787304512</v>
      </c>
      <c r="E116" s="12">
        <f t="shared" si="10"/>
        <v>36362.565711677904</v>
      </c>
      <c r="F116" s="12">
        <f t="shared" si="16"/>
        <v>11149.969446505818</v>
      </c>
      <c r="G116" s="12">
        <f t="shared" si="16"/>
        <v>1378.0861113658891</v>
      </c>
      <c r="H116" s="9"/>
      <c r="I116" s="12">
        <f t="shared" si="12"/>
        <v>4261.9792761140206</v>
      </c>
      <c r="J116" s="12">
        <f t="shared" si="13"/>
        <v>985.15592853971896</v>
      </c>
      <c r="K116" s="12">
        <f t="shared" si="14"/>
        <v>121.76084510041483</v>
      </c>
    </row>
    <row r="117" spans="2:11" x14ac:dyDescent="0.25">
      <c r="B117" s="10">
        <v>113</v>
      </c>
      <c r="C117" s="11">
        <v>44004</v>
      </c>
      <c r="D117" s="12">
        <f t="shared" si="9"/>
        <v>1513612.1686228411</v>
      </c>
      <c r="E117" s="12">
        <f t="shared" si="10"/>
        <v>39804.690295565306</v>
      </c>
      <c r="F117" s="12">
        <f t="shared" si="16"/>
        <v>12228.725562618929</v>
      </c>
      <c r="G117" s="12">
        <f t="shared" si="16"/>
        <v>1511.4155189753749</v>
      </c>
      <c r="H117" s="9"/>
      <c r="I117" s="12">
        <f t="shared" si="12"/>
        <v>4654.2101076099916</v>
      </c>
      <c r="J117" s="12">
        <f t="shared" si="13"/>
        <v>1078.7561161131111</v>
      </c>
      <c r="K117" s="12">
        <f t="shared" si="14"/>
        <v>133.32940760948577</v>
      </c>
    </row>
    <row r="118" spans="2:11" x14ac:dyDescent="0.25">
      <c r="B118" s="10">
        <v>114</v>
      </c>
      <c r="C118" s="11">
        <v>44005</v>
      </c>
      <c r="D118" s="12">
        <f t="shared" si="9"/>
        <v>1508532.5707406758</v>
      </c>
      <c r="E118" s="12">
        <f t="shared" si="10"/>
        <v>43557.46516787845</v>
      </c>
      <c r="F118" s="12">
        <f t="shared" ref="F118:G133" si="17">F117+J118</f>
        <v>13409.598041387366</v>
      </c>
      <c r="G118" s="12">
        <f t="shared" si="17"/>
        <v>1657.3660500591145</v>
      </c>
      <c r="H118" s="9"/>
      <c r="I118" s="12">
        <f t="shared" si="12"/>
        <v>5079.597882165328</v>
      </c>
      <c r="J118" s="12">
        <f t="shared" si="13"/>
        <v>1180.8724787684373</v>
      </c>
      <c r="K118" s="12">
        <f t="shared" si="14"/>
        <v>145.95053108373958</v>
      </c>
    </row>
    <row r="119" spans="2:11" x14ac:dyDescent="0.25">
      <c r="B119" s="10">
        <v>115</v>
      </c>
      <c r="C119" s="11">
        <v>44006</v>
      </c>
      <c r="D119" s="12">
        <f t="shared" si="9"/>
        <v>1502992.2073580737</v>
      </c>
      <c r="E119" s="12">
        <f t="shared" si="10"/>
        <v>47645.913044884721</v>
      </c>
      <c r="F119" s="12">
        <f t="shared" si="17"/>
        <v>14701.80284136776</v>
      </c>
      <c r="G119" s="12">
        <f t="shared" si="17"/>
        <v>1817.0767556746689</v>
      </c>
      <c r="H119" s="9"/>
      <c r="I119" s="12">
        <f t="shared" si="12"/>
        <v>5540.3633826022105</v>
      </c>
      <c r="J119" s="12">
        <f t="shared" si="13"/>
        <v>1292.204799980394</v>
      </c>
      <c r="K119" s="12">
        <f t="shared" si="14"/>
        <v>159.71070561555447</v>
      </c>
    </row>
    <row r="120" spans="2:11" x14ac:dyDescent="0.25">
      <c r="B120" s="10">
        <v>116</v>
      </c>
      <c r="C120" s="11">
        <v>44007</v>
      </c>
      <c r="D120" s="12">
        <f t="shared" si="9"/>
        <v>1496953.4489937525</v>
      </c>
      <c r="E120" s="12">
        <f t="shared" si="10"/>
        <v>52096.474307709854</v>
      </c>
      <c r="F120" s="12">
        <f t="shared" si="17"/>
        <v>16115.298261699339</v>
      </c>
      <c r="G120" s="12">
        <f t="shared" si="17"/>
        <v>1991.7784368392463</v>
      </c>
      <c r="H120" s="9"/>
      <c r="I120" s="12">
        <f t="shared" si="12"/>
        <v>6038.7583643212902</v>
      </c>
      <c r="J120" s="12">
        <f t="shared" si="13"/>
        <v>1413.4954203315799</v>
      </c>
      <c r="K120" s="12">
        <f t="shared" si="14"/>
        <v>174.70168116457748</v>
      </c>
    </row>
    <row r="121" spans="2:11" x14ac:dyDescent="0.25">
      <c r="B121" s="10">
        <v>117</v>
      </c>
      <c r="C121" s="11">
        <v>44008</v>
      </c>
      <c r="D121" s="12">
        <f t="shared" si="9"/>
        <v>1490376.4107051659</v>
      </c>
      <c r="E121" s="12">
        <f t="shared" si="10"/>
        <v>56936.963452706077</v>
      </c>
      <c r="F121" s="12">
        <f t="shared" si="17"/>
        <v>17660.826999494733</v>
      </c>
      <c r="G121" s="12">
        <f t="shared" si="17"/>
        <v>2182.7988426341826</v>
      </c>
      <c r="H121" s="9"/>
      <c r="I121" s="12">
        <f t="shared" si="12"/>
        <v>6577.0382885865538</v>
      </c>
      <c r="J121" s="12">
        <f t="shared" si="13"/>
        <v>1545.5287377953923</v>
      </c>
      <c r="K121" s="12">
        <f t="shared" si="14"/>
        <v>191.02040579493629</v>
      </c>
    </row>
    <row r="122" spans="2:11" x14ac:dyDescent="0.25">
      <c r="B122" s="10">
        <v>118</v>
      </c>
      <c r="C122" s="11">
        <v>44009</v>
      </c>
      <c r="D122" s="12">
        <f t="shared" si="9"/>
        <v>1483218.982202068</v>
      </c>
      <c r="E122" s="12">
        <f t="shared" si="10"/>
        <v>62196.493174047093</v>
      </c>
      <c r="F122" s="12">
        <f t="shared" si="17"/>
        <v>19349.956915258346</v>
      </c>
      <c r="G122" s="12">
        <f t="shared" si="17"/>
        <v>2391.5677086274386</v>
      </c>
      <c r="H122" s="9"/>
      <c r="I122" s="12">
        <f t="shared" si="12"/>
        <v>7157.4285030978835</v>
      </c>
      <c r="J122" s="12">
        <f t="shared" si="13"/>
        <v>1689.1299157636133</v>
      </c>
      <c r="K122" s="12">
        <f t="shared" si="14"/>
        <v>208.76886599325582</v>
      </c>
    </row>
    <row r="123" spans="2:11" x14ac:dyDescent="0.25">
      <c r="B123" s="10">
        <v>119</v>
      </c>
      <c r="C123" s="11">
        <v>44010</v>
      </c>
      <c r="D123" s="12">
        <f t="shared" si="9"/>
        <v>1475436.8991520533</v>
      </c>
      <c r="E123" s="12">
        <f t="shared" si="10"/>
        <v>67905.359784926826</v>
      </c>
      <c r="F123" s="12">
        <f t="shared" si="17"/>
        <v>21195.119546088408</v>
      </c>
      <c r="G123" s="12">
        <f t="shared" si="17"/>
        <v>2619.6215169322782</v>
      </c>
      <c r="H123" s="9"/>
      <c r="I123" s="12">
        <f t="shared" si="12"/>
        <v>7782.083050014644</v>
      </c>
      <c r="J123" s="12">
        <f t="shared" si="13"/>
        <v>1845.1626308300636</v>
      </c>
      <c r="K123" s="12">
        <f t="shared" si="14"/>
        <v>228.05380830483955</v>
      </c>
    </row>
    <row r="124" spans="2:11" x14ac:dyDescent="0.25">
      <c r="B124" s="10">
        <v>120</v>
      </c>
      <c r="C124" s="11">
        <v>44011</v>
      </c>
      <c r="D124" s="12">
        <f t="shared" si="9"/>
        <v>1466983.863845367</v>
      </c>
      <c r="E124" s="12">
        <f t="shared" si="10"/>
        <v>74094.8830987822</v>
      </c>
      <c r="F124" s="12">
        <f t="shared" si="17"/>
        <v>23209.645219707905</v>
      </c>
      <c r="G124" s="12">
        <f t="shared" si="17"/>
        <v>2868.6078361436766</v>
      </c>
      <c r="H124" s="9"/>
      <c r="I124" s="12">
        <f t="shared" si="12"/>
        <v>8453.0353066862735</v>
      </c>
      <c r="J124" s="12">
        <f t="shared" si="13"/>
        <v>2014.5256736194958</v>
      </c>
      <c r="K124" s="12">
        <f t="shared" si="14"/>
        <v>248.98631921139858</v>
      </c>
    </row>
    <row r="125" spans="2:11" x14ac:dyDescent="0.25">
      <c r="B125" s="10">
        <v>121</v>
      </c>
      <c r="C125" s="13">
        <v>44012</v>
      </c>
      <c r="D125" s="12">
        <f t="shared" si="9"/>
        <v>1457811.7241078366</v>
      </c>
      <c r="E125" s="12">
        <f t="shared" si="10"/>
        <v>80797.193399686585</v>
      </c>
      <c r="F125" s="12">
        <f t="shared" si="17"/>
        <v>25407.793418305111</v>
      </c>
      <c r="G125" s="12">
        <f t="shared" si="17"/>
        <v>3140.289074172545</v>
      </c>
      <c r="H125" s="9"/>
      <c r="I125" s="12">
        <f t="shared" si="12"/>
        <v>9172.1397375304587</v>
      </c>
      <c r="J125" s="12">
        <f t="shared" si="13"/>
        <v>2198.148198597205</v>
      </c>
      <c r="K125" s="12">
        <f t="shared" si="14"/>
        <v>271.68123802886828</v>
      </c>
    </row>
    <row r="126" spans="2:11" x14ac:dyDescent="0.25">
      <c r="B126" s="10">
        <v>122</v>
      </c>
      <c r="C126" s="11">
        <v>44013</v>
      </c>
      <c r="D126" s="12">
        <f t="shared" si="9"/>
        <v>1447870.7199365182</v>
      </c>
      <c r="E126" s="12">
        <f t="shared" si="10"/>
        <v>88044.957791015477</v>
      </c>
      <c r="F126" s="12">
        <f t="shared" si="17"/>
        <v>27804.776822495813</v>
      </c>
      <c r="G126" s="12">
        <f t="shared" si="17"/>
        <v>3436.545449971396</v>
      </c>
      <c r="H126" s="9"/>
      <c r="I126" s="12">
        <f t="shared" si="12"/>
        <v>9941.0041713184546</v>
      </c>
      <c r="J126" s="12">
        <f t="shared" si="13"/>
        <v>2396.9834041907015</v>
      </c>
      <c r="K126" s="12">
        <f t="shared" si="14"/>
        <v>296.25637579885108</v>
      </c>
    </row>
    <row r="127" spans="2:11" x14ac:dyDescent="0.25">
      <c r="B127" s="10">
        <v>123</v>
      </c>
      <c r="C127" s="11">
        <v>44014</v>
      </c>
      <c r="D127" s="12">
        <f t="shared" si="9"/>
        <v>1437109.8077037977</v>
      </c>
      <c r="E127" s="12">
        <f t="shared" si="10"/>
        <v>95871.038097368903</v>
      </c>
      <c r="F127" s="12">
        <f t="shared" si="17"/>
        <v>30416.777236962604</v>
      </c>
      <c r="G127" s="12">
        <f t="shared" si="17"/>
        <v>3759.3769618717865</v>
      </c>
      <c r="H127" s="9"/>
      <c r="I127" s="12">
        <f t="shared" si="12"/>
        <v>10760.912232720613</v>
      </c>
      <c r="J127" s="12">
        <f t="shared" si="13"/>
        <v>2612.0004144667923</v>
      </c>
      <c r="K127" s="12">
        <f t="shared" si="14"/>
        <v>322.83151190039035</v>
      </c>
    </row>
    <row r="128" spans="2:11" x14ac:dyDescent="0.25">
      <c r="B128" s="10">
        <v>124</v>
      </c>
      <c r="C128" s="11">
        <v>44015</v>
      </c>
      <c r="D128" s="12">
        <f t="shared" si="9"/>
        <v>1425477.0718364574</v>
      </c>
      <c r="E128" s="12">
        <f t="shared" si="10"/>
        <v>104308.07269479707</v>
      </c>
      <c r="F128" s="12">
        <f t="shared" si="17"/>
        <v>33260.951367184549</v>
      </c>
      <c r="G128" s="12">
        <f t="shared" si="17"/>
        <v>4110.9041015621397</v>
      </c>
      <c r="H128" s="9"/>
      <c r="I128" s="12">
        <f t="shared" si="12"/>
        <v>11632.735867340465</v>
      </c>
      <c r="J128" s="12">
        <f t="shared" si="13"/>
        <v>2844.1741302219439</v>
      </c>
      <c r="K128" s="12">
        <f t="shared" si="14"/>
        <v>351.52713969035295</v>
      </c>
    </row>
    <row r="129" spans="2:11" x14ac:dyDescent="0.25">
      <c r="B129" s="10">
        <v>125</v>
      </c>
      <c r="C129" s="11">
        <v>44016</v>
      </c>
      <c r="D129" s="12">
        <f t="shared" si="9"/>
        <v>1412920.2335141741</v>
      </c>
      <c r="E129" s="12">
        <f t="shared" si="10"/>
        <v>113387.97526058703</v>
      </c>
      <c r="F129" s="12">
        <f t="shared" si="17"/>
        <v>36355.424190463527</v>
      </c>
      <c r="G129" s="12">
        <f t="shared" si="17"/>
        <v>4493.3670347763955</v>
      </c>
      <c r="H129" s="9"/>
      <c r="I129" s="12">
        <f t="shared" si="12"/>
        <v>12556.838322283191</v>
      </c>
      <c r="J129" s="12">
        <f t="shared" si="13"/>
        <v>3094.4728232789794</v>
      </c>
      <c r="K129" s="12">
        <f t="shared" si="14"/>
        <v>382.46293321425622</v>
      </c>
    </row>
    <row r="130" spans="2:11" x14ac:dyDescent="0.25">
      <c r="B130" s="10">
        <v>126</v>
      </c>
      <c r="C130" s="11">
        <v>44017</v>
      </c>
      <c r="D130" s="12">
        <f t="shared" si="9"/>
        <v>1399387.2650201081</v>
      </c>
      <c r="E130" s="12">
        <f t="shared" si="10"/>
        <v>123141.3445793002</v>
      </c>
      <c r="F130" s="12">
        <f t="shared" si="17"/>
        <v>39719.26745652761</v>
      </c>
      <c r="G130" s="12">
        <f t="shared" si="17"/>
        <v>4909.1229440652151</v>
      </c>
      <c r="H130" s="9"/>
      <c r="I130" s="12">
        <f t="shared" si="12"/>
        <v>13532.968494066079</v>
      </c>
      <c r="J130" s="12">
        <f t="shared" si="13"/>
        <v>3363.8432660640815</v>
      </c>
      <c r="K130" s="12">
        <f t="shared" si="14"/>
        <v>415.75590928881951</v>
      </c>
    </row>
    <row r="131" spans="2:11" x14ac:dyDescent="0.25">
      <c r="B131" s="10">
        <v>127</v>
      </c>
      <c r="C131" s="11">
        <v>44018</v>
      </c>
      <c r="D131" s="12">
        <f t="shared" si="9"/>
        <v>1384827.1167778883</v>
      </c>
      <c r="E131" s="12">
        <f t="shared" si="10"/>
        <v>133596.78133554346</v>
      </c>
      <c r="F131" s="12">
        <f t="shared" si="17"/>
        <v>43372.460679046846</v>
      </c>
      <c r="G131" s="12">
        <f t="shared" si="17"/>
        <v>5360.6412075226499</v>
      </c>
      <c r="H131" s="9"/>
      <c r="I131" s="12">
        <f t="shared" si="12"/>
        <v>14560.148242219919</v>
      </c>
      <c r="J131" s="12">
        <f t="shared" si="13"/>
        <v>3653.1932225192386</v>
      </c>
      <c r="K131" s="12">
        <f t="shared" si="14"/>
        <v>451.5182634574345</v>
      </c>
    </row>
    <row r="132" spans="2:11" x14ac:dyDescent="0.25">
      <c r="B132" s="10">
        <v>128</v>
      </c>
      <c r="C132" s="11">
        <v>44019</v>
      </c>
      <c r="D132" s="12">
        <f t="shared" si="9"/>
        <v>1369190.561685713</v>
      </c>
      <c r="E132" s="12">
        <f t="shared" si="10"/>
        <v>144780.11038320058</v>
      </c>
      <c r="F132" s="12">
        <f t="shared" si="17"/>
        <v>47335.831858667967</v>
      </c>
      <c r="G132" s="12">
        <f t="shared" si="17"/>
        <v>5850.4960724196426</v>
      </c>
      <c r="H132" s="9"/>
      <c r="I132" s="12">
        <f t="shared" si="12"/>
        <v>15636.555092175242</v>
      </c>
      <c r="J132" s="12">
        <f t="shared" si="13"/>
        <v>3963.3711796211223</v>
      </c>
      <c r="K132" s="12">
        <f t="shared" si="14"/>
        <v>489.85486489699309</v>
      </c>
    </row>
    <row r="133" spans="2:11" x14ac:dyDescent="0.25">
      <c r="B133" s="10">
        <v>129</v>
      </c>
      <c r="C133" s="11">
        <v>44020</v>
      </c>
      <c r="D133" s="12">
        <f t="shared" si="9"/>
        <v>1352431.1579806537</v>
      </c>
      <c r="E133" s="12">
        <f t="shared" si="10"/>
        <v>156713.51040881994</v>
      </c>
      <c r="F133" s="12">
        <f t="shared" si="17"/>
        <v>51630.975133369582</v>
      </c>
      <c r="G133" s="12">
        <f t="shared" si="17"/>
        <v>6381.356477158045</v>
      </c>
      <c r="H133" s="9"/>
      <c r="I133" s="12">
        <f t="shared" si="12"/>
        <v>16759.403705059369</v>
      </c>
      <c r="J133" s="12">
        <f t="shared" si="13"/>
        <v>4295.143274701617</v>
      </c>
      <c r="K133" s="12">
        <f t="shared" si="14"/>
        <v>530.86040473840262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1334506.3274319759</v>
      </c>
      <c r="E134" s="12">
        <f t="shared" ref="E134:E197" si="19">E133+I134-J134-K134</f>
        <v>169414.5572772038</v>
      </c>
      <c r="F134" s="12">
        <f t="shared" ref="F134:G149" si="20">F133+J134</f>
        <v>56280.142608831244</v>
      </c>
      <c r="G134" s="12">
        <f t="shared" si="20"/>
        <v>6955.9726819903854</v>
      </c>
      <c r="H134" s="9"/>
      <c r="I134" s="12">
        <f t="shared" ref="I134:I197" si="21">E133*N$6*D133/SUM(D133:F133)*N$7</f>
        <v>17924.830548677852</v>
      </c>
      <c r="J134" s="12">
        <f t="shared" ref="J134:J197" si="22">E133*N$8/N$5</f>
        <v>4649.1674754616579</v>
      </c>
      <c r="K134" s="12">
        <f t="shared" ref="K134:K197" si="23">E133*N$9/N$5</f>
        <v>574.61620483234026</v>
      </c>
    </row>
    <row r="135" spans="2:11" x14ac:dyDescent="0.25">
      <c r="B135" s="10">
        <v>131</v>
      </c>
      <c r="C135" s="11">
        <v>44022</v>
      </c>
      <c r="D135" s="12">
        <f t="shared" si="18"/>
        <v>1315378.5401156782</v>
      </c>
      <c r="E135" s="12">
        <f t="shared" si="19"/>
        <v>182895.19268426133</v>
      </c>
      <c r="F135" s="12">
        <f t="shared" si="20"/>
        <v>61306.107808054956</v>
      </c>
      <c r="G135" s="12">
        <f t="shared" si="20"/>
        <v>7577.1593920067999</v>
      </c>
      <c r="H135" s="9"/>
      <c r="I135" s="12">
        <f t="shared" si="21"/>
        <v>19127.787316297661</v>
      </c>
      <c r="J135" s="12">
        <f t="shared" si="22"/>
        <v>5025.9651992237114</v>
      </c>
      <c r="K135" s="12">
        <f t="shared" si="23"/>
        <v>621.18671001641451</v>
      </c>
    </row>
    <row r="136" spans="2:11" x14ac:dyDescent="0.25">
      <c r="B136" s="10">
        <v>132</v>
      </c>
      <c r="C136" s="11">
        <v>44023</v>
      </c>
      <c r="D136" s="12">
        <f t="shared" si="18"/>
        <v>1295016.5903793632</v>
      </c>
      <c r="E136" s="12">
        <f t="shared" si="19"/>
        <v>197160.63599776773</v>
      </c>
      <c r="F136" s="12">
        <f t="shared" si="20"/>
        <v>66731.998524354713</v>
      </c>
      <c r="G136" s="12">
        <f t="shared" si="20"/>
        <v>8247.7750985157581</v>
      </c>
      <c r="H136" s="9"/>
      <c r="I136" s="12">
        <f t="shared" si="21"/>
        <v>20361.949736315109</v>
      </c>
      <c r="J136" s="12">
        <f t="shared" si="22"/>
        <v>5425.8907162997521</v>
      </c>
      <c r="K136" s="12">
        <f t="shared" si="23"/>
        <v>670.61570650895885</v>
      </c>
    </row>
    <row r="137" spans="2:11" x14ac:dyDescent="0.25">
      <c r="B137" s="10">
        <v>133</v>
      </c>
      <c r="C137" s="11">
        <v>44024</v>
      </c>
      <c r="D137" s="12">
        <f t="shared" si="18"/>
        <v>1273396.9409814999</v>
      </c>
      <c r="E137" s="12">
        <f t="shared" si="19"/>
        <v>212208.26419570544</v>
      </c>
      <c r="F137" s="12">
        <f t="shared" si="20"/>
        <v>72581.097392288488</v>
      </c>
      <c r="G137" s="12">
        <f t="shared" si="20"/>
        <v>8970.6974305075746</v>
      </c>
      <c r="H137" s="9"/>
      <c r="I137" s="12">
        <f t="shared" si="21"/>
        <v>21619.649397863319</v>
      </c>
      <c r="J137" s="12">
        <f t="shared" si="22"/>
        <v>5849.0988679337752</v>
      </c>
      <c r="K137" s="12">
        <f t="shared" si="23"/>
        <v>722.92233199181567</v>
      </c>
    </row>
    <row r="138" spans="2:11" x14ac:dyDescent="0.25">
      <c r="B138" s="10">
        <v>134</v>
      </c>
      <c r="C138" s="11">
        <v>44025</v>
      </c>
      <c r="D138" s="12">
        <f t="shared" si="18"/>
        <v>1250505.1040219208</v>
      </c>
      <c r="E138" s="12">
        <f t="shared" si="19"/>
        <v>228026.49234876106</v>
      </c>
      <c r="F138" s="12">
        <f t="shared" si="20"/>
        <v>78876.609230094415</v>
      </c>
      <c r="G138" s="12">
        <f t="shared" si="20"/>
        <v>9748.7943992251621</v>
      </c>
      <c r="H138" s="9"/>
      <c r="I138" s="12">
        <f t="shared" si="21"/>
        <v>22891.836959579134</v>
      </c>
      <c r="J138" s="12">
        <f t="shared" si="22"/>
        <v>6295.5118378059278</v>
      </c>
      <c r="K138" s="12">
        <f t="shared" si="23"/>
        <v>778.09696871758729</v>
      </c>
    </row>
    <row r="139" spans="2:11" x14ac:dyDescent="0.25">
      <c r="B139" s="10">
        <v>135</v>
      </c>
      <c r="C139" s="11">
        <v>44026</v>
      </c>
      <c r="D139" s="12">
        <f t="shared" si="18"/>
        <v>1226337.0185584098</v>
      </c>
      <c r="E139" s="12">
        <f t="shared" si="19"/>
        <v>244593.69473398014</v>
      </c>
      <c r="F139" s="12">
        <f t="shared" si="20"/>
        <v>85641.395169774332</v>
      </c>
      <c r="G139" s="12">
        <f t="shared" si="20"/>
        <v>10584.891537837288</v>
      </c>
      <c r="H139" s="9"/>
      <c r="I139" s="12">
        <f t="shared" si="21"/>
        <v>24168.08546351111</v>
      </c>
      <c r="J139" s="12">
        <f t="shared" si="22"/>
        <v>6764.7859396799113</v>
      </c>
      <c r="K139" s="12">
        <f t="shared" si="23"/>
        <v>836.0971386121247</v>
      </c>
    </row>
    <row r="140" spans="2:11" x14ac:dyDescent="0.25">
      <c r="B140" s="10">
        <v>136</v>
      </c>
      <c r="C140" s="11">
        <v>44027</v>
      </c>
      <c r="D140" s="12">
        <f t="shared" si="18"/>
        <v>1200900.3762749969</v>
      </c>
      <c r="E140" s="12">
        <f t="shared" si="19"/>
        <v>261877.21385959358</v>
      </c>
      <c r="F140" s="12">
        <f t="shared" si="20"/>
        <v>92897.674780215748</v>
      </c>
      <c r="G140" s="12">
        <f t="shared" si="20"/>
        <v>11481.735085195216</v>
      </c>
      <c r="H140" s="9"/>
      <c r="I140" s="12">
        <f t="shared" si="21"/>
        <v>25436.642283412777</v>
      </c>
      <c r="J140" s="12">
        <f t="shared" si="22"/>
        <v>7256.2796104414101</v>
      </c>
      <c r="K140" s="12">
        <f t="shared" si="23"/>
        <v>896.84354735792806</v>
      </c>
    </row>
    <row r="141" spans="2:11" x14ac:dyDescent="0.25">
      <c r="B141" s="10">
        <v>137</v>
      </c>
      <c r="C141" s="11">
        <v>44028</v>
      </c>
      <c r="D141" s="12">
        <f t="shared" si="18"/>
        <v>1174215.8389351072</v>
      </c>
      <c r="E141" s="12">
        <f t="shared" si="19"/>
        <v>279832.51073749689</v>
      </c>
      <c r="F141" s="12">
        <f t="shared" si="20"/>
        <v>100666.69879138369</v>
      </c>
      <c r="G141" s="12">
        <f t="shared" si="20"/>
        <v>12441.951536013727</v>
      </c>
      <c r="H141" s="9"/>
      <c r="I141" s="12">
        <f t="shared" si="21"/>
        <v>26684.537339889772</v>
      </c>
      <c r="J141" s="12">
        <f t="shared" si="22"/>
        <v>7769.0240111679423</v>
      </c>
      <c r="K141" s="12">
        <f t="shared" si="23"/>
        <v>960.21645081851068</v>
      </c>
    </row>
    <row r="142" spans="2:11" x14ac:dyDescent="0.25">
      <c r="B142" s="10">
        <v>138</v>
      </c>
      <c r="C142" s="11">
        <v>44029</v>
      </c>
      <c r="D142" s="12">
        <f t="shared" si="18"/>
        <v>1146318.0854516195</v>
      </c>
      <c r="E142" s="12">
        <f t="shared" si="19"/>
        <v>298402.51386306807</v>
      </c>
      <c r="F142" s="12">
        <f t="shared" si="20"/>
        <v>108968.39660992943</v>
      </c>
      <c r="G142" s="12">
        <f t="shared" si="20"/>
        <v>13468.00407538455</v>
      </c>
      <c r="H142" s="9"/>
      <c r="I142" s="12">
        <f t="shared" si="21"/>
        <v>27897.753483487752</v>
      </c>
      <c r="J142" s="12">
        <f t="shared" si="22"/>
        <v>8301.6978185457392</v>
      </c>
      <c r="K142" s="12">
        <f t="shared" si="23"/>
        <v>1026.0525393708228</v>
      </c>
    </row>
    <row r="143" spans="2:11" x14ac:dyDescent="0.25">
      <c r="B143" s="10">
        <v>139</v>
      </c>
      <c r="C143" s="11">
        <v>44030</v>
      </c>
      <c r="D143" s="12">
        <f t="shared" si="18"/>
        <v>1117256.6231478266</v>
      </c>
      <c r="E143" s="12">
        <f t="shared" si="19"/>
        <v>317517.22570475866</v>
      </c>
      <c r="F143" s="12">
        <f t="shared" si="20"/>
        <v>117821.00452120045</v>
      </c>
      <c r="G143" s="12">
        <f t="shared" si="20"/>
        <v>14562.146626215799</v>
      </c>
      <c r="H143" s="9"/>
      <c r="I143" s="12">
        <f t="shared" si="21"/>
        <v>29061.462303792872</v>
      </c>
      <c r="J143" s="12">
        <f t="shared" si="22"/>
        <v>8852.6079112710177</v>
      </c>
      <c r="K143" s="12">
        <f t="shared" si="23"/>
        <v>1094.1425508312504</v>
      </c>
    </row>
    <row r="144" spans="2:11" x14ac:dyDescent="0.25">
      <c r="B144" s="10">
        <v>140</v>
      </c>
      <c r="C144" s="11">
        <v>44031</v>
      </c>
      <c r="D144" s="12">
        <f t="shared" si="18"/>
        <v>1087096.298073522</v>
      </c>
      <c r="E144" s="12">
        <f t="shared" si="19"/>
        <v>337093.64325557137</v>
      </c>
      <c r="F144" s="12">
        <f t="shared" si="20"/>
        <v>127240.68221710829</v>
      </c>
      <c r="G144" s="12">
        <f t="shared" si="20"/>
        <v>15726.376453799916</v>
      </c>
      <c r="H144" s="9"/>
      <c r="I144" s="12">
        <f t="shared" si="21"/>
        <v>30160.325074304674</v>
      </c>
      <c r="J144" s="12">
        <f t="shared" si="22"/>
        <v>9419.6776959078379</v>
      </c>
      <c r="K144" s="12">
        <f t="shared" si="23"/>
        <v>1164.2298275841163</v>
      </c>
    </row>
    <row r="145" spans="2:11" x14ac:dyDescent="0.25">
      <c r="B145" s="10">
        <v>141</v>
      </c>
      <c r="C145" s="11">
        <v>44032</v>
      </c>
      <c r="D145" s="12">
        <f t="shared" si="18"/>
        <v>1055917.4438672345</v>
      </c>
      <c r="E145" s="12">
        <f t="shared" si="19"/>
        <v>357036.04268667317</v>
      </c>
      <c r="F145" s="12">
        <f t="shared" si="20"/>
        <v>137241.12696702356</v>
      </c>
      <c r="G145" s="12">
        <f t="shared" si="20"/>
        <v>16962.386479070345</v>
      </c>
      <c r="H145" s="9"/>
      <c r="I145" s="12">
        <f t="shared" si="21"/>
        <v>31178.854206287513</v>
      </c>
      <c r="J145" s="12">
        <f t="shared" si="22"/>
        <v>10000.444749915283</v>
      </c>
      <c r="K145" s="12">
        <f t="shared" si="23"/>
        <v>1236.0100252704294</v>
      </c>
    </row>
    <row r="146" spans="2:11" x14ac:dyDescent="0.25">
      <c r="B146" s="10">
        <v>142</v>
      </c>
      <c r="C146" s="11">
        <v>44033</v>
      </c>
      <c r="D146" s="12">
        <f t="shared" si="18"/>
        <v>1023815.6181608607</v>
      </c>
      <c r="E146" s="12">
        <f t="shared" si="19"/>
        <v>377236.66697015782</v>
      </c>
      <c r="F146" s="12">
        <f t="shared" si="20"/>
        <v>147833.19623339488</v>
      </c>
      <c r="G146" s="12">
        <f t="shared" si="20"/>
        <v>18271.518635588149</v>
      </c>
      <c r="H146" s="9"/>
      <c r="I146" s="12">
        <f t="shared" si="21"/>
        <v>32101.825706373773</v>
      </c>
      <c r="J146" s="12">
        <f t="shared" si="22"/>
        <v>10592.069266371303</v>
      </c>
      <c r="K146" s="12">
        <f t="shared" si="23"/>
        <v>1309.132156517803</v>
      </c>
    </row>
    <row r="147" spans="2:11" x14ac:dyDescent="0.25">
      <c r="B147" s="10">
        <v>143</v>
      </c>
      <c r="C147" s="11">
        <v>44034</v>
      </c>
      <c r="D147" s="12">
        <f t="shared" si="18"/>
        <v>990900.89006994083</v>
      </c>
      <c r="E147" s="12">
        <f t="shared" si="19"/>
        <v>397576.83949540585</v>
      </c>
      <c r="F147" s="12">
        <f t="shared" si="20"/>
        <v>159024.55068684288</v>
      </c>
      <c r="G147" s="12">
        <f t="shared" si="20"/>
        <v>19654.719747812062</v>
      </c>
      <c r="H147" s="9"/>
      <c r="I147" s="12">
        <f t="shared" si="21"/>
        <v>32914.728090919947</v>
      </c>
      <c r="J147" s="12">
        <f t="shared" si="22"/>
        <v>11191.354453448013</v>
      </c>
      <c r="K147" s="12">
        <f t="shared" si="23"/>
        <v>1383.2011122239132</v>
      </c>
    </row>
    <row r="148" spans="2:11" x14ac:dyDescent="0.25">
      <c r="B148" s="10">
        <v>144</v>
      </c>
      <c r="C148" s="11">
        <v>44035</v>
      </c>
      <c r="D148" s="12">
        <f t="shared" si="18"/>
        <v>957296.66157322121</v>
      </c>
      <c r="E148" s="12">
        <f t="shared" si="19"/>
        <v>417928.50667561195</v>
      </c>
      <c r="F148" s="12">
        <f t="shared" si="20"/>
        <v>170819.33025853991</v>
      </c>
      <c r="G148" s="12">
        <f t="shared" si="20"/>
        <v>21112.501492628551</v>
      </c>
      <c r="H148" s="9"/>
      <c r="I148" s="12">
        <f t="shared" si="21"/>
        <v>33604.228496719676</v>
      </c>
      <c r="J148" s="12">
        <f t="shared" si="22"/>
        <v>11794.779571697038</v>
      </c>
      <c r="K148" s="12">
        <f t="shared" si="23"/>
        <v>1457.7817448164894</v>
      </c>
    </row>
    <row r="149" spans="2:11" x14ac:dyDescent="0.25">
      <c r="B149" s="10">
        <v>145</v>
      </c>
      <c r="C149" s="11">
        <v>44036</v>
      </c>
      <c r="D149" s="12">
        <f t="shared" si="18"/>
        <v>923138.02866995765</v>
      </c>
      <c r="E149" s="12">
        <f t="shared" si="19"/>
        <v>438156.18935635511</v>
      </c>
      <c r="F149" s="12">
        <f t="shared" si="20"/>
        <v>183217.87595658307</v>
      </c>
      <c r="G149" s="12">
        <f t="shared" si="20"/>
        <v>22644.906017105797</v>
      </c>
      <c r="H149" s="9"/>
      <c r="I149" s="12">
        <f t="shared" si="21"/>
        <v>34158.632903263548</v>
      </c>
      <c r="J149" s="12">
        <f t="shared" si="22"/>
        <v>12398.545698043154</v>
      </c>
      <c r="K149" s="12">
        <f t="shared" si="23"/>
        <v>1532.4045244772453</v>
      </c>
    </row>
    <row r="150" spans="2:11" x14ac:dyDescent="0.25">
      <c r="B150" s="10">
        <v>146</v>
      </c>
      <c r="C150" s="11">
        <v>44037</v>
      </c>
      <c r="D150" s="12">
        <f t="shared" si="18"/>
        <v>888569.71366242832</v>
      </c>
      <c r="E150" s="12">
        <f t="shared" si="19"/>
        <v>458119.29805200605</v>
      </c>
      <c r="F150" s="12">
        <f t="shared" ref="F150:G165" si="24">F149+J150</f>
        <v>196216.50957415494</v>
      </c>
      <c r="G150" s="12">
        <f t="shared" si="24"/>
        <v>24251.478711412434</v>
      </c>
      <c r="H150" s="9"/>
      <c r="I150" s="12">
        <f t="shared" si="21"/>
        <v>34568.315007529374</v>
      </c>
      <c r="J150" s="12">
        <f t="shared" si="22"/>
        <v>12998.633617571868</v>
      </c>
      <c r="K150" s="12">
        <f t="shared" si="23"/>
        <v>1606.5726943066368</v>
      </c>
    </row>
    <row r="151" spans="2:11" x14ac:dyDescent="0.25">
      <c r="B151" s="10">
        <v>147</v>
      </c>
      <c r="C151" s="11">
        <v>44038</v>
      </c>
      <c r="D151" s="12">
        <f t="shared" si="18"/>
        <v>853743.6258173089</v>
      </c>
      <c r="E151" s="12">
        <f t="shared" si="19"/>
        <v>477674.74262872519</v>
      </c>
      <c r="F151" s="12">
        <f t="shared" si="24"/>
        <v>209807.38208303112</v>
      </c>
      <c r="G151" s="12">
        <f t="shared" si="24"/>
        <v>25931.249470936458</v>
      </c>
      <c r="H151" s="9"/>
      <c r="I151" s="12">
        <f t="shared" si="21"/>
        <v>34826.087845119357</v>
      </c>
      <c r="J151" s="12">
        <f t="shared" si="22"/>
        <v>13590.872508876178</v>
      </c>
      <c r="K151" s="12">
        <f t="shared" si="23"/>
        <v>1679.7707595240238</v>
      </c>
    </row>
    <row r="152" spans="2:11" x14ac:dyDescent="0.25">
      <c r="B152" s="10">
        <v>148</v>
      </c>
      <c r="C152" s="11">
        <v>44039</v>
      </c>
      <c r="D152" s="12">
        <f t="shared" si="18"/>
        <v>818816.13178192626</v>
      </c>
      <c r="E152" s="12">
        <f t="shared" si="19"/>
        <v>496679.74524315039</v>
      </c>
      <c r="F152" s="12">
        <f t="shared" si="24"/>
        <v>223978.3994476833</v>
      </c>
      <c r="G152" s="12">
        <f t="shared" si="24"/>
        <v>27682.723527241786</v>
      </c>
      <c r="H152" s="9"/>
      <c r="I152" s="12">
        <f t="shared" si="21"/>
        <v>34927.494035382668</v>
      </c>
      <c r="J152" s="12">
        <f t="shared" si="22"/>
        <v>14171.01736465218</v>
      </c>
      <c r="K152" s="12">
        <f t="shared" si="23"/>
        <v>1751.4740563053272</v>
      </c>
    </row>
    <row r="153" spans="2:11" x14ac:dyDescent="0.25">
      <c r="B153" s="10">
        <v>149</v>
      </c>
      <c r="C153" s="11">
        <v>44040</v>
      </c>
      <c r="D153" s="12">
        <f t="shared" si="18"/>
        <v>783945.13718243025</v>
      </c>
      <c r="E153" s="12">
        <f t="shared" si="19"/>
        <v>514994.74833454139</v>
      </c>
      <c r="F153" s="12">
        <f t="shared" si="24"/>
        <v>238713.23188989676</v>
      </c>
      <c r="G153" s="12">
        <f t="shared" si="24"/>
        <v>29503.882593133338</v>
      </c>
      <c r="H153" s="9"/>
      <c r="I153" s="12">
        <f t="shared" si="21"/>
        <v>34870.994599496</v>
      </c>
      <c r="J153" s="12">
        <f t="shared" si="22"/>
        <v>14734.832442213459</v>
      </c>
      <c r="K153" s="12">
        <f t="shared" si="23"/>
        <v>1821.1590658915529</v>
      </c>
    </row>
    <row r="154" spans="2:11" x14ac:dyDescent="0.25">
      <c r="B154" s="10">
        <v>150</v>
      </c>
      <c r="C154" s="11">
        <v>44041</v>
      </c>
      <c r="D154" s="12">
        <f t="shared" si="18"/>
        <v>749287.09475657321</v>
      </c>
      <c r="E154" s="12">
        <f t="shared" si="19"/>
        <v>532486.29914924712</v>
      </c>
      <c r="F154" s="12">
        <f t="shared" si="24"/>
        <v>253991.40942382149</v>
      </c>
      <c r="G154" s="12">
        <f t="shared" si="24"/>
        <v>31392.19667035999</v>
      </c>
      <c r="H154" s="9"/>
      <c r="I154" s="12">
        <f t="shared" si="21"/>
        <v>34658.042425857064</v>
      </c>
      <c r="J154" s="12">
        <f t="shared" si="22"/>
        <v>15278.177533924727</v>
      </c>
      <c r="K154" s="12">
        <f t="shared" si="23"/>
        <v>1888.3140772266534</v>
      </c>
    </row>
    <row r="155" spans="2:11" x14ac:dyDescent="0.25">
      <c r="B155" s="10">
        <v>151</v>
      </c>
      <c r="C155" s="11">
        <v>44042</v>
      </c>
      <c r="D155" s="12">
        <f t="shared" si="18"/>
        <v>714994.06064006698</v>
      </c>
      <c r="E155" s="12">
        <f t="shared" si="19"/>
        <v>549029.78996077843</v>
      </c>
      <c r="F155" s="12">
        <f t="shared" si="24"/>
        <v>269788.50296524918</v>
      </c>
      <c r="G155" s="12">
        <f t="shared" si="24"/>
        <v>33344.646433907234</v>
      </c>
      <c r="H155" s="9"/>
      <c r="I155" s="12">
        <f t="shared" si="21"/>
        <v>34293.034116506235</v>
      </c>
      <c r="J155" s="12">
        <f t="shared" si="22"/>
        <v>15797.093541427663</v>
      </c>
      <c r="K155" s="12">
        <f t="shared" si="23"/>
        <v>1952.449763547241</v>
      </c>
    </row>
    <row r="156" spans="2:11" x14ac:dyDescent="0.25">
      <c r="B156" s="10">
        <v>152</v>
      </c>
      <c r="C156" s="13">
        <v>44043</v>
      </c>
      <c r="D156" s="12">
        <f t="shared" si="18"/>
        <v>681210.91825036495</v>
      </c>
      <c r="E156" s="12">
        <f t="shared" si="19"/>
        <v>564511.93935178791</v>
      </c>
      <c r="F156" s="12">
        <f t="shared" si="24"/>
        <v>286076.38673408562</v>
      </c>
      <c r="G156" s="12">
        <f t="shared" si="24"/>
        <v>35357.755663763426</v>
      </c>
      <c r="H156" s="9"/>
      <c r="I156" s="12">
        <f t="shared" si="21"/>
        <v>33783.142389702087</v>
      </c>
      <c r="J156" s="12">
        <f t="shared" si="22"/>
        <v>16287.883768836424</v>
      </c>
      <c r="K156" s="12">
        <f t="shared" si="23"/>
        <v>2013.1092298561894</v>
      </c>
    </row>
    <row r="157" spans="2:11" x14ac:dyDescent="0.25">
      <c r="B157" s="10">
        <v>153</v>
      </c>
      <c r="C157" s="21">
        <v>44044</v>
      </c>
      <c r="D157" s="12">
        <f t="shared" si="18"/>
        <v>648072.87869667634</v>
      </c>
      <c r="E157" s="12">
        <f t="shared" si="19"/>
        <v>578832.91426041687</v>
      </c>
      <c r="F157" s="12">
        <f t="shared" si="24"/>
        <v>302823.57426818868</v>
      </c>
      <c r="G157" s="12">
        <f t="shared" si="24"/>
        <v>37427.632774719983</v>
      </c>
      <c r="H157" s="9"/>
      <c r="I157" s="12">
        <f t="shared" si="21"/>
        <v>33138.039553688614</v>
      </c>
      <c r="J157" s="12">
        <f t="shared" si="22"/>
        <v>16747.187534103039</v>
      </c>
      <c r="K157" s="12">
        <f t="shared" si="23"/>
        <v>2069.8771109565578</v>
      </c>
    </row>
    <row r="158" spans="2:11" x14ac:dyDescent="0.25">
      <c r="B158" s="10">
        <v>154</v>
      </c>
      <c r="C158" s="21">
        <v>44045</v>
      </c>
      <c r="D158" s="12">
        <f t="shared" si="18"/>
        <v>615703.34877802012</v>
      </c>
      <c r="E158" s="12">
        <f t="shared" si="19"/>
        <v>591908.01370372577</v>
      </c>
      <c r="F158" s="12">
        <f t="shared" si="24"/>
        <v>319995.61739124771</v>
      </c>
      <c r="G158" s="12">
        <f t="shared" si="24"/>
        <v>39550.020127008182</v>
      </c>
      <c r="H158" s="9"/>
      <c r="I158" s="12">
        <f t="shared" si="21"/>
        <v>32369.529918656212</v>
      </c>
      <c r="J158" s="12">
        <f t="shared" si="22"/>
        <v>17172.043123059033</v>
      </c>
      <c r="K158" s="12">
        <f t="shared" si="23"/>
        <v>2122.3873522881972</v>
      </c>
    </row>
    <row r="159" spans="2:11" x14ac:dyDescent="0.25">
      <c r="B159" s="10">
        <v>155</v>
      </c>
      <c r="C159" s="21">
        <v>44046</v>
      </c>
      <c r="D159" s="12">
        <f t="shared" si="18"/>
        <v>584212.23415691359</v>
      </c>
      <c r="E159" s="12">
        <f t="shared" si="19"/>
        <v>603668.86120137479</v>
      </c>
      <c r="F159" s="12">
        <f t="shared" si="24"/>
        <v>337555.55513112491</v>
      </c>
      <c r="G159" s="12">
        <f t="shared" si="24"/>
        <v>41720.349510588509</v>
      </c>
      <c r="H159" s="9"/>
      <c r="I159" s="12">
        <f t="shared" si="21"/>
        <v>31491.114621106506</v>
      </c>
      <c r="J159" s="12">
        <f t="shared" si="22"/>
        <v>17559.937739877198</v>
      </c>
      <c r="K159" s="12">
        <f t="shared" si="23"/>
        <v>2170.3293835803297</v>
      </c>
    </row>
    <row r="160" spans="2:11" x14ac:dyDescent="0.25">
      <c r="B160" s="10">
        <v>156</v>
      </c>
      <c r="C160" s="21">
        <v>44047</v>
      </c>
      <c r="D160" s="12">
        <f t="shared" si="18"/>
        <v>553694.7184767999</v>
      </c>
      <c r="E160" s="12">
        <f t="shared" si="19"/>
        <v>614064.08150810935</v>
      </c>
      <c r="F160" s="12">
        <f t="shared" si="24"/>
        <v>355464.39801343239</v>
      </c>
      <c r="G160" s="12">
        <f t="shared" si="24"/>
        <v>43933.802001660217</v>
      </c>
      <c r="H160" s="9"/>
      <c r="I160" s="12">
        <f t="shared" si="21"/>
        <v>30517.515680113687</v>
      </c>
      <c r="J160" s="12">
        <f t="shared" si="22"/>
        <v>17908.842882307454</v>
      </c>
      <c r="K160" s="12">
        <f t="shared" si="23"/>
        <v>2213.4524910717096</v>
      </c>
    </row>
    <row r="161" spans="2:11" x14ac:dyDescent="0.25">
      <c r="B161" s="10">
        <v>157</v>
      </c>
      <c r="C161" s="21">
        <v>44048</v>
      </c>
      <c r="D161" s="12">
        <f t="shared" si="18"/>
        <v>524230.53149992938</v>
      </c>
      <c r="E161" s="12">
        <f t="shared" si="19"/>
        <v>623059.46576804295</v>
      </c>
      <c r="F161" s="12">
        <f t="shared" si="24"/>
        <v>373681.6324315063</v>
      </c>
      <c r="G161" s="12">
        <f t="shared" si="24"/>
        <v>46185.370300523289</v>
      </c>
      <c r="H161" s="9"/>
      <c r="I161" s="12">
        <f t="shared" si="21"/>
        <v>29464.186976870547</v>
      </c>
      <c r="J161" s="12">
        <f t="shared" si="22"/>
        <v>18217.234418073909</v>
      </c>
      <c r="K161" s="12">
        <f t="shared" si="23"/>
        <v>2251.5682988630697</v>
      </c>
    </row>
    <row r="162" spans="2:11" x14ac:dyDescent="0.25">
      <c r="B162" s="10">
        <v>158</v>
      </c>
      <c r="C162" s="21">
        <v>44049</v>
      </c>
      <c r="D162" s="12">
        <f t="shared" si="18"/>
        <v>495883.69314716948</v>
      </c>
      <c r="E162" s="12">
        <f t="shared" si="19"/>
        <v>630637.65526186815</v>
      </c>
      <c r="F162" s="12">
        <f t="shared" si="24"/>
        <v>392165.72991595825</v>
      </c>
      <c r="G162" s="12">
        <f t="shared" si="24"/>
        <v>48469.921675006117</v>
      </c>
      <c r="H162" s="9"/>
      <c r="I162" s="12">
        <f t="shared" si="21"/>
        <v>28346.8383527599</v>
      </c>
      <c r="J162" s="12">
        <f t="shared" si="22"/>
        <v>18484.097484451941</v>
      </c>
      <c r="K162" s="12">
        <f t="shared" si="23"/>
        <v>2284.5513744828263</v>
      </c>
    </row>
    <row r="163" spans="2:11" x14ac:dyDescent="0.25">
      <c r="B163" s="10">
        <v>159</v>
      </c>
      <c r="C163" s="21">
        <v>44050</v>
      </c>
      <c r="D163" s="12">
        <f t="shared" si="18"/>
        <v>468702.69761032285</v>
      </c>
      <c r="E163" s="12">
        <f t="shared" si="19"/>
        <v>636797.39562331908</v>
      </c>
      <c r="F163" s="12">
        <f t="shared" si="24"/>
        <v>410874.64702206035</v>
      </c>
      <c r="G163" s="12">
        <f t="shared" si="24"/>
        <v>50782.259744299634</v>
      </c>
      <c r="H163" s="9"/>
      <c r="I163" s="12">
        <f t="shared" si="21"/>
        <v>27180.995536846607</v>
      </c>
      <c r="J163" s="12">
        <f t="shared" si="22"/>
        <v>18708.917106102086</v>
      </c>
      <c r="K163" s="12">
        <f t="shared" si="23"/>
        <v>2312.3380692935184</v>
      </c>
    </row>
    <row r="164" spans="2:11" x14ac:dyDescent="0.25">
      <c r="B164" s="10">
        <v>160</v>
      </c>
      <c r="C164" s="21">
        <v>44051</v>
      </c>
      <c r="D164" s="12">
        <f t="shared" si="18"/>
        <v>442721.08389756718</v>
      </c>
      <c r="E164" s="12">
        <f t="shared" si="19"/>
        <v>641552.42948196409</v>
      </c>
      <c r="F164" s="12">
        <f t="shared" si="24"/>
        <v>429766.30309221882</v>
      </c>
      <c r="G164" s="12">
        <f t="shared" si="24"/>
        <v>53117.183528251808</v>
      </c>
      <c r="H164" s="9"/>
      <c r="I164" s="12">
        <f t="shared" si="21"/>
        <v>25981.613712755658</v>
      </c>
      <c r="J164" s="12">
        <f t="shared" si="22"/>
        <v>18891.656070158464</v>
      </c>
      <c r="K164" s="12">
        <f t="shared" si="23"/>
        <v>2334.923783952172</v>
      </c>
    </row>
    <row r="165" spans="2:11" x14ac:dyDescent="0.25">
      <c r="B165" s="10">
        <v>161</v>
      </c>
      <c r="C165" s="21">
        <v>44052</v>
      </c>
      <c r="D165" s="12">
        <f t="shared" si="18"/>
        <v>417958.32701991627</v>
      </c>
      <c r="E165" s="12">
        <f t="shared" si="19"/>
        <v>644930.10537688294</v>
      </c>
      <c r="F165" s="12">
        <f t="shared" si="24"/>
        <v>448799.02516685042</v>
      </c>
      <c r="G165" s="12">
        <f t="shared" si="24"/>
        <v>55469.542436352342</v>
      </c>
      <c r="H165" s="9"/>
      <c r="I165" s="12">
        <f t="shared" si="21"/>
        <v>24762.75687765094</v>
      </c>
      <c r="J165" s="12">
        <f t="shared" si="22"/>
        <v>19032.722074631598</v>
      </c>
      <c r="K165" s="12">
        <f t="shared" si="23"/>
        <v>2352.3589081005371</v>
      </c>
    </row>
    <row r="166" spans="2:11" x14ac:dyDescent="0.25">
      <c r="B166" s="10">
        <v>162</v>
      </c>
      <c r="C166" s="21">
        <v>44053</v>
      </c>
      <c r="D166" s="12">
        <f t="shared" si="18"/>
        <v>394420.97764045227</v>
      </c>
      <c r="E166" s="12">
        <f t="shared" si="19"/>
        <v>646969.78457711742</v>
      </c>
      <c r="F166" s="12">
        <f t="shared" ref="F166:G181" si="25">F165+J166</f>
        <v>467931.95162636461</v>
      </c>
      <c r="G166" s="12">
        <f t="shared" si="25"/>
        <v>57834.286156067581</v>
      </c>
      <c r="H166" s="9"/>
      <c r="I166" s="12">
        <f t="shared" si="21"/>
        <v>23537.349379463969</v>
      </c>
      <c r="J166" s="12">
        <f t="shared" si="22"/>
        <v>19132.92645951419</v>
      </c>
      <c r="K166" s="12">
        <f t="shared" si="23"/>
        <v>2364.7437197152394</v>
      </c>
    </row>
    <row r="167" spans="2:11" x14ac:dyDescent="0.25">
      <c r="B167" s="10">
        <v>163</v>
      </c>
      <c r="C167" s="21">
        <v>44054</v>
      </c>
      <c r="D167" s="12">
        <f t="shared" si="18"/>
        <v>372103.97694689978</v>
      </c>
      <c r="E167" s="12">
        <f t="shared" si="19"/>
        <v>647721.12578476605</v>
      </c>
      <c r="F167" s="12">
        <f t="shared" si="25"/>
        <v>487125.38856881909</v>
      </c>
      <c r="G167" s="12">
        <f t="shared" si="25"/>
        <v>60206.508699517013</v>
      </c>
      <c r="H167" s="9"/>
      <c r="I167" s="12">
        <f t="shared" si="21"/>
        <v>22317.000693552491</v>
      </c>
      <c r="J167" s="12">
        <f t="shared" si="22"/>
        <v>19193.436942454482</v>
      </c>
      <c r="K167" s="12">
        <f t="shared" si="23"/>
        <v>2372.2225434494326</v>
      </c>
    </row>
    <row r="168" spans="2:11" x14ac:dyDescent="0.25">
      <c r="B168" s="10">
        <v>164</v>
      </c>
      <c r="C168" s="21">
        <v>44055</v>
      </c>
      <c r="D168" s="12">
        <f t="shared" si="18"/>
        <v>350992.07692842418</v>
      </c>
      <c r="E168" s="12">
        <f t="shared" si="19"/>
        <v>647242.32161041617</v>
      </c>
      <c r="F168" s="12">
        <f t="shared" si="25"/>
        <v>506341.11530043383</v>
      </c>
      <c r="G168" s="12">
        <f t="shared" si="25"/>
        <v>62581.486160727822</v>
      </c>
      <c r="H168" s="9"/>
      <c r="I168" s="12">
        <f t="shared" si="21"/>
        <v>21111.900018475626</v>
      </c>
      <c r="J168" s="12">
        <f t="shared" si="22"/>
        <v>19215.726731614726</v>
      </c>
      <c r="K168" s="12">
        <f t="shared" si="23"/>
        <v>2374.9774612108108</v>
      </c>
    </row>
    <row r="169" spans="2:11" x14ac:dyDescent="0.25">
      <c r="B169" s="10">
        <v>165</v>
      </c>
      <c r="C169" s="21">
        <v>44056</v>
      </c>
      <c r="D169" s="12">
        <f t="shared" si="18"/>
        <v>331061.30306324392</v>
      </c>
      <c r="E169" s="12">
        <f t="shared" si="19"/>
        <v>645598.35142191593</v>
      </c>
      <c r="F169" s="12">
        <f t="shared" si="25"/>
        <v>525542.63750820956</v>
      </c>
      <c r="G169" s="12">
        <f t="shared" si="25"/>
        <v>64954.708006632682</v>
      </c>
      <c r="H169" s="9"/>
      <c r="I169" s="12">
        <f t="shared" si="21"/>
        <v>19930.773865180276</v>
      </c>
      <c r="J169" s="12">
        <f t="shared" si="22"/>
        <v>19201.522207775677</v>
      </c>
      <c r="K169" s="12">
        <f t="shared" si="23"/>
        <v>2373.2218459048613</v>
      </c>
    </row>
    <row r="170" spans="2:11" x14ac:dyDescent="0.25">
      <c r="B170" s="10">
        <v>166</v>
      </c>
      <c r="C170" s="21">
        <v>44057</v>
      </c>
      <c r="D170" s="12">
        <f t="shared" si="18"/>
        <v>312280.405506793</v>
      </c>
      <c r="E170" s="12">
        <f t="shared" si="19"/>
        <v>642859.30393096968</v>
      </c>
      <c r="F170" s="12">
        <f t="shared" si="25"/>
        <v>544695.38860039308</v>
      </c>
      <c r="G170" s="12">
        <f t="shared" si="25"/>
        <v>67321.901961846379</v>
      </c>
      <c r="H170" s="9"/>
      <c r="I170" s="12">
        <f t="shared" si="21"/>
        <v>18780.897556450924</v>
      </c>
      <c r="J170" s="12">
        <f t="shared" si="22"/>
        <v>19152.751092183506</v>
      </c>
      <c r="K170" s="12">
        <f t="shared" si="23"/>
        <v>2367.1939552136942</v>
      </c>
    </row>
    <row r="171" spans="2:11" x14ac:dyDescent="0.25">
      <c r="B171" s="10">
        <v>167</v>
      </c>
      <c r="C171" s="21">
        <v>44058</v>
      </c>
      <c r="D171" s="12">
        <f t="shared" si="18"/>
        <v>294612.25512286607</v>
      </c>
      <c r="E171" s="12">
        <f t="shared" si="19"/>
        <v>639098.81085053098</v>
      </c>
      <c r="F171" s="12">
        <f t="shared" si="25"/>
        <v>563766.88128367846</v>
      </c>
      <c r="G171" s="12">
        <f t="shared" si="25"/>
        <v>69679.052742926608</v>
      </c>
      <c r="H171" s="9"/>
      <c r="I171" s="12">
        <f t="shared" si="21"/>
        <v>17668.150383926903</v>
      </c>
      <c r="J171" s="12">
        <f t="shared" si="22"/>
        <v>19071.492683285433</v>
      </c>
      <c r="K171" s="12">
        <f t="shared" si="23"/>
        <v>2357.1507810802241</v>
      </c>
    </row>
    <row r="172" spans="2:11" x14ac:dyDescent="0.25">
      <c r="B172" s="10">
        <v>168</v>
      </c>
      <c r="C172" s="21">
        <v>44059</v>
      </c>
      <c r="D172" s="12">
        <f t="shared" si="18"/>
        <v>278015.15118702594</v>
      </c>
      <c r="E172" s="12">
        <f t="shared" si="19"/>
        <v>634392.62109135347</v>
      </c>
      <c r="F172" s="12">
        <f t="shared" si="25"/>
        <v>582726.81267224427</v>
      </c>
      <c r="G172" s="12">
        <f t="shared" si="25"/>
        <v>72022.415049378556</v>
      </c>
      <c r="H172" s="9"/>
      <c r="I172" s="12">
        <f t="shared" si="21"/>
        <v>16597.103935840154</v>
      </c>
      <c r="J172" s="12">
        <f t="shared" si="22"/>
        <v>18959.93138856575</v>
      </c>
      <c r="K172" s="12">
        <f t="shared" si="23"/>
        <v>2343.3623064519488</v>
      </c>
    </row>
    <row r="173" spans="2:11" x14ac:dyDescent="0.25">
      <c r="B173" s="10">
        <v>169</v>
      </c>
      <c r="C173" s="21">
        <v>44060</v>
      </c>
      <c r="D173" s="12">
        <f t="shared" si="18"/>
        <v>262444.01758094848</v>
      </c>
      <c r="E173" s="12">
        <f t="shared" si="19"/>
        <v>628817.33399438579</v>
      </c>
      <c r="F173" s="12">
        <f t="shared" si="25"/>
        <v>601547.12709795439</v>
      </c>
      <c r="G173" s="12">
        <f t="shared" si="25"/>
        <v>74348.521326713526</v>
      </c>
      <c r="H173" s="9"/>
      <c r="I173" s="12">
        <f t="shared" si="21"/>
        <v>15571.133606077448</v>
      </c>
      <c r="J173" s="12">
        <f t="shared" si="22"/>
        <v>18820.314425710148</v>
      </c>
      <c r="K173" s="12">
        <f t="shared" si="23"/>
        <v>2326.1062773349645</v>
      </c>
    </row>
    <row r="174" spans="2:11" x14ac:dyDescent="0.25">
      <c r="B174" s="10">
        <v>170</v>
      </c>
      <c r="C174" s="21">
        <v>44061</v>
      </c>
      <c r="D174" s="12">
        <f t="shared" si="18"/>
        <v>247851.4732755867</v>
      </c>
      <c r="E174" s="12">
        <f t="shared" si="19"/>
        <v>622449.3004999347</v>
      </c>
      <c r="F174" s="12">
        <f t="shared" si="25"/>
        <v>620202.04133978789</v>
      </c>
      <c r="G174" s="12">
        <f t="shared" si="25"/>
        <v>76654.18488469295</v>
      </c>
      <c r="H174" s="9"/>
      <c r="I174" s="12">
        <f t="shared" si="21"/>
        <v>14592.544305361767</v>
      </c>
      <c r="J174" s="12">
        <f t="shared" si="22"/>
        <v>18654.914241833441</v>
      </c>
      <c r="K174" s="12">
        <f t="shared" si="23"/>
        <v>2305.6635579794165</v>
      </c>
    </row>
    <row r="175" spans="2:11" x14ac:dyDescent="0.25">
      <c r="B175" s="10">
        <v>171</v>
      </c>
      <c r="C175" s="21">
        <v>44062</v>
      </c>
      <c r="D175" s="12">
        <f t="shared" si="18"/>
        <v>234188.77056365937</v>
      </c>
      <c r="E175" s="12">
        <f t="shared" si="19"/>
        <v>615363.6931951975</v>
      </c>
      <c r="F175" s="12">
        <f t="shared" si="25"/>
        <v>638668.0372546193</v>
      </c>
      <c r="G175" s="12">
        <f t="shared" si="25"/>
        <v>78936.498986526043</v>
      </c>
      <c r="H175" s="9"/>
      <c r="I175" s="12">
        <f t="shared" si="21"/>
        <v>13662.702711927341</v>
      </c>
      <c r="J175" s="12">
        <f t="shared" si="22"/>
        <v>18465.995914831394</v>
      </c>
      <c r="K175" s="12">
        <f t="shared" si="23"/>
        <v>2282.3141018330957</v>
      </c>
    </row>
    <row r="176" spans="2:11" x14ac:dyDescent="0.25">
      <c r="B176" s="10">
        <v>172</v>
      </c>
      <c r="C176" s="21">
        <v>44063</v>
      </c>
      <c r="D176" s="12">
        <f t="shared" si="18"/>
        <v>221406.60071771257</v>
      </c>
      <c r="E176" s="12">
        <f t="shared" si="19"/>
        <v>607633.73993463768</v>
      </c>
      <c r="F176" s="12">
        <f t="shared" si="25"/>
        <v>656923.8268194102</v>
      </c>
      <c r="G176" s="12">
        <f t="shared" si="25"/>
        <v>81192.832528241765</v>
      </c>
      <c r="H176" s="9"/>
      <c r="I176" s="12">
        <f t="shared" si="21"/>
        <v>12782.169845946801</v>
      </c>
      <c r="J176" s="12">
        <f t="shared" si="22"/>
        <v>18255.789564790855</v>
      </c>
      <c r="K176" s="12">
        <f t="shared" si="23"/>
        <v>2256.3335417157264</v>
      </c>
    </row>
    <row r="177" spans="2:11" x14ac:dyDescent="0.25">
      <c r="B177" s="10">
        <v>173</v>
      </c>
      <c r="C177" s="21">
        <v>44064</v>
      </c>
      <c r="D177" s="12">
        <f t="shared" si="18"/>
        <v>209455.77152568931</v>
      </c>
      <c r="E177" s="12">
        <f t="shared" si="19"/>
        <v>599330.11112883966</v>
      </c>
      <c r="F177" s="12">
        <f t="shared" si="25"/>
        <v>674950.29443747108</v>
      </c>
      <c r="G177" s="12">
        <f t="shared" si="25"/>
        <v>83420.822908002097</v>
      </c>
      <c r="H177" s="9"/>
      <c r="I177" s="12">
        <f t="shared" si="21"/>
        <v>11950.829192023271</v>
      </c>
      <c r="J177" s="12">
        <f t="shared" si="22"/>
        <v>18026.467618060917</v>
      </c>
      <c r="K177" s="12">
        <f t="shared" si="23"/>
        <v>2227.9903797603401</v>
      </c>
    </row>
    <row r="178" spans="2:11" x14ac:dyDescent="0.25">
      <c r="B178" s="10">
        <v>174</v>
      </c>
      <c r="C178" s="21">
        <v>44065</v>
      </c>
      <c r="D178" s="12">
        <f t="shared" si="18"/>
        <v>198287.76459511384</v>
      </c>
      <c r="E178" s="12">
        <f t="shared" si="19"/>
        <v>590520.44768845383</v>
      </c>
      <c r="F178" s="12">
        <f t="shared" si="25"/>
        <v>692730.42106762668</v>
      </c>
      <c r="G178" s="12">
        <f t="shared" si="25"/>
        <v>85618.366648807845</v>
      </c>
      <c r="H178" s="9"/>
      <c r="I178" s="12">
        <f t="shared" si="21"/>
        <v>11168.006930575468</v>
      </c>
      <c r="J178" s="12">
        <f t="shared" si="22"/>
        <v>17780.126630155577</v>
      </c>
      <c r="K178" s="12">
        <f t="shared" si="23"/>
        <v>2197.5437408057473</v>
      </c>
    </row>
    <row r="179" spans="2:11" x14ac:dyDescent="0.25">
      <c r="B179" s="10">
        <v>175</v>
      </c>
      <c r="C179" s="21">
        <v>44066</v>
      </c>
      <c r="D179" s="12">
        <f t="shared" si="18"/>
        <v>187855.18258295362</v>
      </c>
      <c r="E179" s="12">
        <f t="shared" si="19"/>
        <v>581269.01477766561</v>
      </c>
      <c r="F179" s="12">
        <f t="shared" si="25"/>
        <v>710249.19434905075</v>
      </c>
      <c r="G179" s="12">
        <f t="shared" si="25"/>
        <v>87783.60829033218</v>
      </c>
      <c r="H179" s="9"/>
      <c r="I179" s="12">
        <f t="shared" si="21"/>
        <v>10432.582012160228</v>
      </c>
      <c r="J179" s="12">
        <f t="shared" si="22"/>
        <v>17518.773281424128</v>
      </c>
      <c r="K179" s="12">
        <f t="shared" si="23"/>
        <v>2165.2416415243329</v>
      </c>
    </row>
    <row r="180" spans="2:11" x14ac:dyDescent="0.25">
      <c r="B180" s="10">
        <v>176</v>
      </c>
      <c r="C180" s="21">
        <v>44067</v>
      </c>
      <c r="D180" s="12">
        <f t="shared" si="18"/>
        <v>178112.09779334711</v>
      </c>
      <c r="E180" s="12">
        <f t="shared" si="19"/>
        <v>571636.46574134985</v>
      </c>
      <c r="F180" s="12">
        <f t="shared" si="25"/>
        <v>727493.50845412153</v>
      </c>
      <c r="G180" s="12">
        <f t="shared" si="25"/>
        <v>89914.928011183627</v>
      </c>
      <c r="H180" s="9"/>
      <c r="I180" s="12">
        <f t="shared" si="21"/>
        <v>9743.0847896065225</v>
      </c>
      <c r="J180" s="12">
        <f t="shared" si="22"/>
        <v>17244.314105070745</v>
      </c>
      <c r="K180" s="12">
        <f t="shared" si="23"/>
        <v>2131.3197208514425</v>
      </c>
    </row>
    <row r="181" spans="2:11" x14ac:dyDescent="0.25">
      <c r="B181" s="10">
        <v>177</v>
      </c>
      <c r="C181" s="21">
        <v>44068</v>
      </c>
      <c r="D181" s="12">
        <f t="shared" si="18"/>
        <v>169014.31408781634</v>
      </c>
      <c r="E181" s="12">
        <f t="shared" si="19"/>
        <v>561679.70058883564</v>
      </c>
      <c r="F181" s="12">
        <f t="shared" si="25"/>
        <v>744452.05693778163</v>
      </c>
      <c r="G181" s="12">
        <f t="shared" si="25"/>
        <v>92010.928385568579</v>
      </c>
      <c r="H181" s="9"/>
      <c r="I181" s="12">
        <f t="shared" si="21"/>
        <v>9097.7837055307755</v>
      </c>
      <c r="J181" s="12">
        <f t="shared" si="22"/>
        <v>16958.548483660044</v>
      </c>
      <c r="K181" s="12">
        <f t="shared" si="23"/>
        <v>2096.0003743849511</v>
      </c>
    </row>
    <row r="182" spans="2:11" x14ac:dyDescent="0.25">
      <c r="B182" s="10">
        <v>178</v>
      </c>
      <c r="C182" s="21">
        <v>44069</v>
      </c>
      <c r="D182" s="12">
        <f t="shared" si="18"/>
        <v>160519.55396001469</v>
      </c>
      <c r="E182" s="12">
        <f t="shared" si="19"/>
        <v>551451.80403034273</v>
      </c>
      <c r="F182" s="12">
        <f t="shared" ref="F182:G197" si="26">F181+J182</f>
        <v>761115.22138858377</v>
      </c>
      <c r="G182" s="12">
        <f t="shared" si="26"/>
        <v>94070.420621060985</v>
      </c>
      <c r="H182" s="9"/>
      <c r="I182" s="12">
        <f t="shared" si="21"/>
        <v>8494.7601278016446</v>
      </c>
      <c r="J182" s="12">
        <f t="shared" si="22"/>
        <v>16663.164450802124</v>
      </c>
      <c r="K182" s="12">
        <f t="shared" si="23"/>
        <v>2059.4922354923992</v>
      </c>
    </row>
    <row r="183" spans="2:11" x14ac:dyDescent="0.25">
      <c r="B183" s="10">
        <v>179</v>
      </c>
      <c r="C183" s="21">
        <v>44070</v>
      </c>
      <c r="D183" s="12">
        <f t="shared" si="18"/>
        <v>152587.58210680936</v>
      </c>
      <c r="E183" s="12">
        <f t="shared" si="19"/>
        <v>541002.04908253672</v>
      </c>
      <c r="F183" s="12">
        <f t="shared" si="26"/>
        <v>777474.9582414839</v>
      </c>
      <c r="G183" s="12">
        <f t="shared" si="26"/>
        <v>96092.410569172236</v>
      </c>
      <c r="H183" s="9"/>
      <c r="I183" s="12">
        <f t="shared" si="21"/>
        <v>7931.9718532053294</v>
      </c>
      <c r="J183" s="12">
        <f t="shared" si="22"/>
        <v>16359.736852900165</v>
      </c>
      <c r="K183" s="12">
        <f t="shared" si="23"/>
        <v>2021.9899481112584</v>
      </c>
    </row>
    <row r="184" spans="2:11" x14ac:dyDescent="0.25">
      <c r="B184" s="10">
        <v>180</v>
      </c>
      <c r="C184" s="21">
        <v>44071</v>
      </c>
      <c r="D184" s="12">
        <f t="shared" si="18"/>
        <v>145180.27602152858</v>
      </c>
      <c r="E184" s="12">
        <f t="shared" si="19"/>
        <v>530375.95353173278</v>
      </c>
      <c r="F184" s="12">
        <f t="shared" si="26"/>
        <v>793524.6856975992</v>
      </c>
      <c r="G184" s="12">
        <f t="shared" si="26"/>
        <v>98076.084749141533</v>
      </c>
      <c r="H184" s="9"/>
      <c r="I184" s="12">
        <f t="shared" si="21"/>
        <v>7407.3060852807712</v>
      </c>
      <c r="J184" s="12">
        <f t="shared" si="22"/>
        <v>16049.727456115254</v>
      </c>
      <c r="K184" s="12">
        <f t="shared" si="23"/>
        <v>1983.6741799693032</v>
      </c>
    </row>
    <row r="185" spans="2:11" x14ac:dyDescent="0.25">
      <c r="B185" s="10">
        <v>181</v>
      </c>
      <c r="C185" s="21">
        <v>44072</v>
      </c>
      <c r="D185" s="12">
        <f t="shared" si="18"/>
        <v>138261.65315882425</v>
      </c>
      <c r="E185" s="12">
        <f t="shared" si="19"/>
        <v>519615.3779433794</v>
      </c>
      <c r="F185" s="12">
        <f t="shared" si="26"/>
        <v>809259.17231904063</v>
      </c>
      <c r="G185" s="12">
        <f t="shared" si="26"/>
        <v>100020.79657875789</v>
      </c>
      <c r="H185" s="9"/>
      <c r="I185" s="12">
        <f t="shared" si="21"/>
        <v>6918.6228627043429</v>
      </c>
      <c r="J185" s="12">
        <f t="shared" si="22"/>
        <v>15734.486621441405</v>
      </c>
      <c r="K185" s="12">
        <f t="shared" si="23"/>
        <v>1944.7118296163551</v>
      </c>
    </row>
    <row r="186" spans="2:11" x14ac:dyDescent="0.25">
      <c r="B186" s="10">
        <v>182</v>
      </c>
      <c r="C186" s="21">
        <v>44073</v>
      </c>
      <c r="D186" s="12">
        <f t="shared" si="18"/>
        <v>131797.8631636186</v>
      </c>
      <c r="E186" s="12">
        <f t="shared" si="19"/>
        <v>508758.65534047241</v>
      </c>
      <c r="F186" s="12">
        <f t="shared" si="26"/>
        <v>824674.42853136093</v>
      </c>
      <c r="G186" s="12">
        <f t="shared" si="26"/>
        <v>101926.05296455028</v>
      </c>
      <c r="H186" s="9"/>
      <c r="I186" s="12">
        <f t="shared" si="21"/>
        <v>6463.7899952056596</v>
      </c>
      <c r="J186" s="12">
        <f t="shared" si="22"/>
        <v>15415.256212320255</v>
      </c>
      <c r="K186" s="12">
        <f t="shared" si="23"/>
        <v>1905.2563857923928</v>
      </c>
    </row>
    <row r="187" spans="2:11" x14ac:dyDescent="0.25">
      <c r="B187" s="10">
        <v>183</v>
      </c>
      <c r="C187" s="13">
        <v>44074</v>
      </c>
      <c r="D187" s="12">
        <f t="shared" si="18"/>
        <v>125757.15258596472</v>
      </c>
      <c r="E187" s="12">
        <f t="shared" si="19"/>
        <v>497840.74407344387</v>
      </c>
      <c r="F187" s="12">
        <f t="shared" si="26"/>
        <v>839767.60197312827</v>
      </c>
      <c r="G187" s="12">
        <f t="shared" si="26"/>
        <v>103791.50136746535</v>
      </c>
      <c r="H187" s="9"/>
      <c r="I187" s="12">
        <f t="shared" si="21"/>
        <v>6040.7105776538783</v>
      </c>
      <c r="J187" s="12">
        <f t="shared" si="22"/>
        <v>15093.173441767347</v>
      </c>
      <c r="K187" s="12">
        <f t="shared" si="23"/>
        <v>1865.4484029150672</v>
      </c>
    </row>
    <row r="188" spans="2:11" x14ac:dyDescent="0.25">
      <c r="B188" s="10">
        <v>184</v>
      </c>
      <c r="C188" s="21">
        <v>44075</v>
      </c>
      <c r="D188" s="12">
        <f t="shared" si="18"/>
        <v>120109.80846678978</v>
      </c>
      <c r="E188" s="12">
        <f t="shared" si="19"/>
        <v>486893.396723504</v>
      </c>
      <c r="F188" s="12">
        <f t="shared" si="26"/>
        <v>854536.87738064048</v>
      </c>
      <c r="G188" s="12">
        <f t="shared" si="26"/>
        <v>105616.91742906798</v>
      </c>
      <c r="H188" s="9"/>
      <c r="I188" s="12">
        <f t="shared" si="21"/>
        <v>5647.3441191749444</v>
      </c>
      <c r="J188" s="12">
        <f t="shared" si="22"/>
        <v>14769.275407512167</v>
      </c>
      <c r="K188" s="12">
        <f t="shared" si="23"/>
        <v>1825.416061602629</v>
      </c>
    </row>
    <row r="189" spans="2:11" x14ac:dyDescent="0.25">
      <c r="B189" s="10">
        <v>185</v>
      </c>
      <c r="C189" s="21">
        <v>44076</v>
      </c>
      <c r="D189" s="12">
        <f t="shared" si="18"/>
        <v>114828.08620788596</v>
      </c>
      <c r="E189" s="12">
        <f t="shared" si="19"/>
        <v>475945.33909162437</v>
      </c>
      <c r="F189" s="12">
        <f t="shared" si="26"/>
        <v>868981.38148343773</v>
      </c>
      <c r="G189" s="12">
        <f t="shared" si="26"/>
        <v>107402.19321705417</v>
      </c>
      <c r="H189" s="9"/>
      <c r="I189" s="12">
        <f t="shared" si="21"/>
        <v>5281.7222589038183</v>
      </c>
      <c r="J189" s="12">
        <f t="shared" si="22"/>
        <v>14444.504102797284</v>
      </c>
      <c r="K189" s="12">
        <f t="shared" si="23"/>
        <v>1785.2757879861829</v>
      </c>
    </row>
    <row r="190" spans="2:11" x14ac:dyDescent="0.25">
      <c r="B190" s="10">
        <v>186</v>
      </c>
      <c r="C190" s="21">
        <v>44077</v>
      </c>
      <c r="D190" s="12">
        <f t="shared" si="18"/>
        <v>109886.12625207493</v>
      </c>
      <c r="E190" s="12">
        <f t="shared" si="19"/>
        <v>465022.45441104792</v>
      </c>
      <c r="F190" s="12">
        <f t="shared" si="26"/>
        <v>883101.09320982255</v>
      </c>
      <c r="G190" s="12">
        <f t="shared" si="26"/>
        <v>109147.32612705679</v>
      </c>
      <c r="H190" s="9"/>
      <c r="I190" s="12">
        <f t="shared" si="21"/>
        <v>4941.9599558110331</v>
      </c>
      <c r="J190" s="12">
        <f t="shared" si="22"/>
        <v>14119.711726384854</v>
      </c>
      <c r="K190" s="12">
        <f t="shared" si="23"/>
        <v>1745.1329100026242</v>
      </c>
    </row>
    <row r="191" spans="2:11" x14ac:dyDescent="0.25">
      <c r="B191" s="10">
        <v>187</v>
      </c>
      <c r="C191" s="21">
        <v>44078</v>
      </c>
      <c r="D191" s="12">
        <f t="shared" si="18"/>
        <v>105259.86330557216</v>
      </c>
      <c r="E191" s="12">
        <f t="shared" si="19"/>
        <v>454147.9688771824</v>
      </c>
      <c r="F191" s="12">
        <f t="shared" si="26"/>
        <v>896896.7593573503</v>
      </c>
      <c r="G191" s="12">
        <f t="shared" si="26"/>
        <v>110852.4084598973</v>
      </c>
      <c r="H191" s="9"/>
      <c r="I191" s="12">
        <f t="shared" si="21"/>
        <v>4626.2629465027785</v>
      </c>
      <c r="J191" s="12">
        <f t="shared" si="22"/>
        <v>13795.666147527752</v>
      </c>
      <c r="K191" s="12">
        <f t="shared" si="23"/>
        <v>1705.0823328405104</v>
      </c>
    </row>
    <row r="192" spans="2:11" x14ac:dyDescent="0.25">
      <c r="B192" s="10">
        <v>188</v>
      </c>
      <c r="C192" s="21">
        <v>44079</v>
      </c>
      <c r="D192" s="12">
        <f t="shared" si="18"/>
        <v>100926.93113664803</v>
      </c>
      <c r="E192" s="12">
        <f t="shared" si="19"/>
        <v>443342.63541686715</v>
      </c>
      <c r="F192" s="12">
        <f t="shared" si="26"/>
        <v>910369.81576737342</v>
      </c>
      <c r="G192" s="12">
        <f t="shared" si="26"/>
        <v>112517.61767911364</v>
      </c>
      <c r="H192" s="9"/>
      <c r="I192" s="12">
        <f t="shared" si="21"/>
        <v>4332.9321689241333</v>
      </c>
      <c r="J192" s="12">
        <f t="shared" si="22"/>
        <v>13473.056410023077</v>
      </c>
      <c r="K192" s="12">
        <f t="shared" si="23"/>
        <v>1665.2092192163368</v>
      </c>
    </row>
    <row r="193" spans="2:11" x14ac:dyDescent="0.25">
      <c r="B193" s="10">
        <v>189</v>
      </c>
      <c r="C193" s="21">
        <v>44080</v>
      </c>
      <c r="D193" s="12">
        <f t="shared" si="18"/>
        <v>96866.565380324813</v>
      </c>
      <c r="E193" s="12">
        <f t="shared" si="19"/>
        <v>432624.91332596145</v>
      </c>
      <c r="F193" s="12">
        <f t="shared" si="26"/>
        <v>923522.31395140709</v>
      </c>
      <c r="G193" s="12">
        <f t="shared" si="26"/>
        <v>114143.20734230881</v>
      </c>
      <c r="H193" s="9"/>
      <c r="I193" s="12">
        <f t="shared" si="21"/>
        <v>4060.3657563232109</v>
      </c>
      <c r="J193" s="12">
        <f t="shared" si="22"/>
        <v>13152.498184033724</v>
      </c>
      <c r="K193" s="12">
        <f t="shared" si="23"/>
        <v>1625.5896631951809</v>
      </c>
    </row>
    <row r="194" spans="2:11" x14ac:dyDescent="0.25">
      <c r="B194" s="10">
        <v>190</v>
      </c>
      <c r="C194" s="21">
        <v>44081</v>
      </c>
      <c r="D194" s="12">
        <f t="shared" si="18"/>
        <v>93059.506262513023</v>
      </c>
      <c r="E194" s="12">
        <f t="shared" si="19"/>
        <v>422011.14199957449</v>
      </c>
      <c r="F194" s="12">
        <f t="shared" si="26"/>
        <v>936356.8530467439</v>
      </c>
      <c r="G194" s="12">
        <f t="shared" si="26"/>
        <v>115729.49869117068</v>
      </c>
      <c r="H194" s="9"/>
      <c r="I194" s="12">
        <f t="shared" si="21"/>
        <v>3807.0591178117838</v>
      </c>
      <c r="J194" s="12">
        <f t="shared" si="22"/>
        <v>12834.539095336855</v>
      </c>
      <c r="K194" s="12">
        <f t="shared" si="23"/>
        <v>1586.2913488618601</v>
      </c>
    </row>
    <row r="195" spans="2:11" x14ac:dyDescent="0.25">
      <c r="B195" s="10">
        <v>191</v>
      </c>
      <c r="C195" s="21">
        <v>44082</v>
      </c>
      <c r="D195" s="12">
        <f t="shared" si="18"/>
        <v>89487.90272125612</v>
      </c>
      <c r="E195" s="12">
        <f t="shared" si="19"/>
        <v>411515.70747417893</v>
      </c>
      <c r="F195" s="12">
        <f t="shared" si="26"/>
        <v>948876.51692606462</v>
      </c>
      <c r="G195" s="12">
        <f t="shared" si="26"/>
        <v>117276.87287850246</v>
      </c>
      <c r="H195" s="9"/>
      <c r="I195" s="12">
        <f t="shared" si="21"/>
        <v>3571.6035412569008</v>
      </c>
      <c r="J195" s="12">
        <f t="shared" si="22"/>
        <v>12519.663879320708</v>
      </c>
      <c r="K195" s="12">
        <f t="shared" si="23"/>
        <v>1547.3741873317745</v>
      </c>
    </row>
    <row r="196" spans="2:11" x14ac:dyDescent="0.25">
      <c r="B196" s="10">
        <v>192</v>
      </c>
      <c r="C196" s="21">
        <v>44083</v>
      </c>
      <c r="D196" s="12">
        <f t="shared" si="18"/>
        <v>86135.219039273725</v>
      </c>
      <c r="E196" s="12">
        <f t="shared" si="19"/>
        <v>401151.20090702199</v>
      </c>
      <c r="F196" s="12">
        <f t="shared" si="26"/>
        <v>961084.81624779862</v>
      </c>
      <c r="G196" s="12">
        <f t="shared" si="26"/>
        <v>118785.76380590779</v>
      </c>
      <c r="H196" s="9"/>
      <c r="I196" s="12">
        <f t="shared" si="21"/>
        <v>3352.6836819823898</v>
      </c>
      <c r="J196" s="12">
        <f t="shared" si="22"/>
        <v>12208.299321733974</v>
      </c>
      <c r="K196" s="12">
        <f t="shared" si="23"/>
        <v>1508.8909274053242</v>
      </c>
    </row>
    <row r="197" spans="2:11" x14ac:dyDescent="0.25">
      <c r="B197" s="10">
        <v>193</v>
      </c>
      <c r="C197" s="21">
        <v>44084</v>
      </c>
      <c r="D197" s="12">
        <f t="shared" si="18"/>
        <v>82986.14480217392</v>
      </c>
      <c r="E197" s="12">
        <f t="shared" si="19"/>
        <v>390928.56844722107</v>
      </c>
      <c r="F197" s="12">
        <f t="shared" si="26"/>
        <v>972985.63520804024</v>
      </c>
      <c r="G197" s="12">
        <f t="shared" si="26"/>
        <v>120256.65154256686</v>
      </c>
      <c r="H197" s="9"/>
      <c r="I197" s="12">
        <f t="shared" si="21"/>
        <v>3149.0742370998014</v>
      </c>
      <c r="J197" s="12">
        <f t="shared" si="22"/>
        <v>11900.818960241651</v>
      </c>
      <c r="K197" s="12">
        <f t="shared" si="23"/>
        <v>1470.8877366590821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80026.508752156267</v>
      </c>
      <c r="E198" s="12">
        <f t="shared" ref="E198:E204" si="28">E197+I198-J198-K198</f>
        <v>380857.25221566466</v>
      </c>
      <c r="F198" s="12">
        <f t="shared" ref="F198:G204" si="29">F197+J198</f>
        <v>984583.18273864116</v>
      </c>
      <c r="G198" s="12">
        <f t="shared" si="29"/>
        <v>121690.05629354001</v>
      </c>
      <c r="H198" s="9"/>
      <c r="I198" s="12">
        <f t="shared" ref="I198:I204" si="30">E197*N$6*D197/SUM(D197:F197)*N$7</f>
        <v>2959.6360500176534</v>
      </c>
      <c r="J198" s="12">
        <f t="shared" ref="J198:J204" si="31">E197*N$8/N$5</f>
        <v>11597.54753060089</v>
      </c>
      <c r="K198" s="12">
        <f t="shared" ref="K198:K204" si="32">E197*N$9/N$5</f>
        <v>1433.4047509731452</v>
      </c>
    </row>
    <row r="199" spans="2:11" x14ac:dyDescent="0.25">
      <c r="B199" s="10">
        <v>195</v>
      </c>
      <c r="C199" s="21">
        <v>44086</v>
      </c>
      <c r="D199" s="12">
        <f t="shared" si="27"/>
        <v>77243.196909861232</v>
      </c>
      <c r="E199" s="12">
        <f t="shared" si="28"/>
        <v>370945.32231743756</v>
      </c>
      <c r="F199" s="12">
        <f t="shared" si="29"/>
        <v>995881.94788770587</v>
      </c>
      <c r="G199" s="12">
        <f t="shared" si="29"/>
        <v>123086.53288499745</v>
      </c>
      <c r="H199" s="9"/>
      <c r="I199" s="12">
        <f t="shared" si="30"/>
        <v>2783.3118422950288</v>
      </c>
      <c r="J199" s="12">
        <f t="shared" si="31"/>
        <v>11298.765149064717</v>
      </c>
      <c r="K199" s="12">
        <f t="shared" si="32"/>
        <v>1396.4765914574384</v>
      </c>
    </row>
    <row r="200" spans="2:11" x14ac:dyDescent="0.25">
      <c r="B200" s="10">
        <v>196</v>
      </c>
      <c r="C200" s="21">
        <v>44087</v>
      </c>
      <c r="D200" s="12">
        <f t="shared" si="27"/>
        <v>74624.075180020867</v>
      </c>
      <c r="E200" s="12">
        <f t="shared" si="28"/>
        <v>361199.59997003002</v>
      </c>
      <c r="F200" s="12">
        <f t="shared" si="29"/>
        <v>1006886.6591164565</v>
      </c>
      <c r="G200" s="12">
        <f t="shared" si="29"/>
        <v>124446.66573349472</v>
      </c>
      <c r="H200" s="9"/>
      <c r="I200" s="12">
        <f t="shared" si="30"/>
        <v>2619.121729840359</v>
      </c>
      <c r="J200" s="12">
        <f t="shared" si="31"/>
        <v>11004.711228750646</v>
      </c>
      <c r="K200" s="12">
        <f t="shared" si="32"/>
        <v>1360.1328484972723</v>
      </c>
    </row>
    <row r="201" spans="2:11" x14ac:dyDescent="0.25">
      <c r="B201" s="10">
        <v>197</v>
      </c>
      <c r="C201" s="21">
        <v>44088</v>
      </c>
      <c r="D201" s="12">
        <f t="shared" si="27"/>
        <v>72157.916533264084</v>
      </c>
      <c r="E201" s="12">
        <f t="shared" si="28"/>
        <v>351625.77195111912</v>
      </c>
      <c r="F201" s="12">
        <f t="shared" si="29"/>
        <v>1017602.2472489007</v>
      </c>
      <c r="G201" s="12">
        <f t="shared" si="29"/>
        <v>125771.06426671817</v>
      </c>
      <c r="H201" s="9"/>
      <c r="I201" s="12">
        <f t="shared" si="30"/>
        <v>2466.1586467567868</v>
      </c>
      <c r="J201" s="12">
        <f t="shared" si="31"/>
        <v>10715.588132444222</v>
      </c>
      <c r="K201" s="12">
        <f t="shared" si="32"/>
        <v>1324.3985332234445</v>
      </c>
    </row>
    <row r="202" spans="2:11" x14ac:dyDescent="0.25">
      <c r="B202" s="10">
        <v>198</v>
      </c>
      <c r="C202" s="21">
        <v>44089</v>
      </c>
      <c r="D202" s="12">
        <f t="shared" si="27"/>
        <v>69834.33276113293</v>
      </c>
      <c r="E202" s="12">
        <f t="shared" si="28"/>
        <v>342228.49665821291</v>
      </c>
      <c r="F202" s="12">
        <f t="shared" si="29"/>
        <v>1028033.8118167839</v>
      </c>
      <c r="G202" s="12">
        <f t="shared" si="29"/>
        <v>127060.35876387227</v>
      </c>
      <c r="H202" s="9"/>
      <c r="I202" s="12">
        <f t="shared" si="30"/>
        <v>2323.5837721311491</v>
      </c>
      <c r="J202" s="12">
        <f t="shared" si="31"/>
        <v>10431.564567883201</v>
      </c>
      <c r="K202" s="12">
        <f t="shared" si="32"/>
        <v>1289.2944971541046</v>
      </c>
    </row>
    <row r="203" spans="2:11" x14ac:dyDescent="0.25">
      <c r="B203" s="10">
        <v>199</v>
      </c>
      <c r="C203" s="21">
        <v>44090</v>
      </c>
      <c r="D203" s="12">
        <f t="shared" si="27"/>
        <v>67643.71072912791</v>
      </c>
      <c r="E203" s="12">
        <f t="shared" si="28"/>
        <v>333011.50213494414</v>
      </c>
      <c r="F203" s="12">
        <f t="shared" si="29"/>
        <v>1038186.5905509775</v>
      </c>
      <c r="G203" s="12">
        <f t="shared" si="29"/>
        <v>128315.19658495238</v>
      </c>
      <c r="H203" s="9"/>
      <c r="I203" s="12">
        <f t="shared" si="30"/>
        <v>2190.6220320050184</v>
      </c>
      <c r="J203" s="12">
        <f t="shared" si="31"/>
        <v>10152.778734193649</v>
      </c>
      <c r="K203" s="12">
        <f t="shared" si="32"/>
        <v>1254.8378210801152</v>
      </c>
    </row>
    <row r="204" spans="2:11" x14ac:dyDescent="0.25">
      <c r="B204" s="20">
        <v>200</v>
      </c>
      <c r="C204" s="21">
        <v>44091</v>
      </c>
      <c r="D204" s="12">
        <f t="shared" si="27"/>
        <v>65577.152999176018</v>
      </c>
      <c r="E204" s="12">
        <f t="shared" si="28"/>
        <v>323977.6764603979</v>
      </c>
      <c r="F204" s="12">
        <f t="shared" si="29"/>
        <v>1048065.9317809809</v>
      </c>
      <c r="G204" s="12">
        <f t="shared" si="29"/>
        <v>129536.23875944718</v>
      </c>
      <c r="H204" s="9"/>
      <c r="I204" s="12">
        <f t="shared" si="30"/>
        <v>2066.5577299518877</v>
      </c>
      <c r="J204" s="12">
        <f t="shared" si="31"/>
        <v>9879.3412300033415</v>
      </c>
      <c r="K204" s="12">
        <f t="shared" si="32"/>
        <v>1221.0421744947962</v>
      </c>
    </row>
    <row r="205" spans="2:11" x14ac:dyDescent="0.25">
      <c r="B205" s="19"/>
      <c r="C205" s="1"/>
      <c r="E205" s="12">
        <f>MAX(E4:E204)</f>
        <v>647721.12578476605</v>
      </c>
      <c r="I205" s="12">
        <f>MAX(I4:I204)</f>
        <v>34927.494035382668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0067D-AA16-4A68-83B9-72954A3BA6B7}">
  <sheetPr codeName="Hoja8"/>
  <dimension ref="B2:N762"/>
  <sheetViews>
    <sheetView showGridLines="0" topLeftCell="B190" workbookViewId="0">
      <selection activeCell="I205" sqref="I205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4" t="s">
        <v>26</v>
      </c>
      <c r="E2" s="35"/>
      <c r="F2" s="35"/>
      <c r="G2" s="36"/>
      <c r="I2" s="34" t="s">
        <v>27</v>
      </c>
      <c r="J2" s="35"/>
      <c r="K2" s="36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192788</v>
      </c>
    </row>
    <row r="4" spans="2:14" x14ac:dyDescent="0.25">
      <c r="B4" s="10">
        <v>0</v>
      </c>
      <c r="C4" s="11">
        <v>43891</v>
      </c>
      <c r="D4" s="12">
        <f>N3</f>
        <v>192788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192787.86800068468</v>
      </c>
      <c r="E5" s="12">
        <f>E4+I5-J5-K5</f>
        <v>1.0986659819802995</v>
      </c>
      <c r="F5" s="12">
        <f>F4+J5</f>
        <v>2.9666666666666664E-2</v>
      </c>
      <c r="G5" s="12">
        <f>G4+K5</f>
        <v>3.6666666666666701E-3</v>
      </c>
      <c r="H5" s="9"/>
      <c r="I5" s="12">
        <f>E4*N$6*D4/SUM(D4:F4)*N$7</f>
        <v>0.13199931531363304</v>
      </c>
      <c r="J5" s="12">
        <f>E4*N$8/N$5</f>
        <v>2.9666666666666664E-2</v>
      </c>
      <c r="K5" s="12">
        <f>E4*N$9/N$5</f>
        <v>3.6666666666666701E-3</v>
      </c>
      <c r="M5" s="2" t="s">
        <v>7</v>
      </c>
      <c r="N5" s="18">
        <f>Datos!G3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192787.72297762384</v>
      </c>
      <c r="E6" s="12">
        <f t="shared" ref="E6:E69" si="1">E5+I6-J6-K6</f>
        <v>1.2070668434235603</v>
      </c>
      <c r="F6" s="12">
        <f t="shared" ref="F6:G21" si="2">F5+J6</f>
        <v>6.2260424132082215E-2</v>
      </c>
      <c r="G6" s="12">
        <f t="shared" si="2"/>
        <v>7.6951086005944379E-3</v>
      </c>
      <c r="H6" s="9"/>
      <c r="I6" s="12">
        <f t="shared" ref="I6:I69" si="3">E5*N$6*D5/SUM(D5:F5)*N$7</f>
        <v>0.14502306084260422</v>
      </c>
      <c r="J6" s="12">
        <f t="shared" ref="J6:J69" si="4">E5*N$8/N$5</f>
        <v>3.2593757465415547E-2</v>
      </c>
      <c r="K6" s="12">
        <f t="shared" ref="K6:K69" si="5">E5*N$9/N$5</f>
        <v>4.0284419339277682E-3</v>
      </c>
      <c r="M6" s="2" t="s">
        <v>8</v>
      </c>
      <c r="N6" s="3">
        <f>Datos!G4</f>
        <v>2</v>
      </c>
    </row>
    <row r="7" spans="2:14" x14ac:dyDescent="0.25">
      <c r="B7" s="10">
        <v>3</v>
      </c>
      <c r="C7" s="11">
        <v>43894</v>
      </c>
      <c r="D7" s="12">
        <f t="shared" si="0"/>
        <v>192787.56364584956</v>
      </c>
      <c r="E7" s="12">
        <f t="shared" si="1"/>
        <v>1.3261630562569553</v>
      </c>
      <c r="F7" s="12">
        <f t="shared" si="2"/>
        <v>9.8070073820314491E-2</v>
      </c>
      <c r="G7" s="12">
        <f t="shared" si="2"/>
        <v>1.2121020359814163E-2</v>
      </c>
      <c r="H7" s="9"/>
      <c r="I7" s="12">
        <f t="shared" si="3"/>
        <v>0.15933177428084716</v>
      </c>
      <c r="J7" s="12">
        <f t="shared" si="4"/>
        <v>3.5809649688232283E-2</v>
      </c>
      <c r="K7" s="12">
        <f t="shared" si="5"/>
        <v>4.4259117592197247E-3</v>
      </c>
      <c r="M7" s="2" t="s">
        <v>9</v>
      </c>
      <c r="N7" s="4">
        <f>Datos!G5</f>
        <v>6.6000000000000003E-2</v>
      </c>
    </row>
    <row r="8" spans="2:14" x14ac:dyDescent="0.25">
      <c r="B8" s="10">
        <v>4</v>
      </c>
      <c r="C8" s="11">
        <v>43895</v>
      </c>
      <c r="D8" s="12">
        <f t="shared" si="0"/>
        <v>192787.38859361934</v>
      </c>
      <c r="E8" s="12">
        <f t="shared" si="1"/>
        <v>1.457009851262334</v>
      </c>
      <c r="F8" s="12">
        <f t="shared" si="2"/>
        <v>0.13741291115593751</v>
      </c>
      <c r="G8" s="12">
        <f t="shared" si="2"/>
        <v>1.6983618232756337E-2</v>
      </c>
      <c r="H8" s="9"/>
      <c r="I8" s="12">
        <f t="shared" si="3"/>
        <v>0.175052230213944</v>
      </c>
      <c r="J8" s="12">
        <f t="shared" si="4"/>
        <v>3.9342837335623007E-2</v>
      </c>
      <c r="K8" s="12">
        <f t="shared" si="5"/>
        <v>4.862597872942174E-3</v>
      </c>
      <c r="M8" s="2" t="s">
        <v>10</v>
      </c>
      <c r="N8" s="5">
        <f>Datos!G6</f>
        <v>0.8899999999999999</v>
      </c>
    </row>
    <row r="9" spans="2:14" x14ac:dyDescent="0.25">
      <c r="B9" s="10">
        <v>5</v>
      </c>
      <c r="C9" s="11">
        <v>43896</v>
      </c>
      <c r="D9" s="12">
        <f t="shared" si="0"/>
        <v>192787.19626990956</v>
      </c>
      <c r="E9" s="12">
        <f t="shared" si="1"/>
        <v>1.6007665659989163</v>
      </c>
      <c r="F9" s="12">
        <f t="shared" si="2"/>
        <v>0.18063753674338676</v>
      </c>
      <c r="G9" s="12">
        <f t="shared" si="2"/>
        <v>2.2325987687384898E-2</v>
      </c>
      <c r="H9" s="9"/>
      <c r="I9" s="12">
        <f t="shared" si="3"/>
        <v>0.19232370977866034</v>
      </c>
      <c r="J9" s="12">
        <f t="shared" si="4"/>
        <v>4.3224625587449238E-2</v>
      </c>
      <c r="K9" s="12">
        <f t="shared" si="5"/>
        <v>5.3423694546285618E-3</v>
      </c>
      <c r="M9" s="2" t="s">
        <v>11</v>
      </c>
      <c r="N9" s="5">
        <f>Datos!G7</f>
        <v>0.1100000000000001</v>
      </c>
    </row>
    <row r="10" spans="2:14" x14ac:dyDescent="0.25">
      <c r="B10" s="10">
        <v>6</v>
      </c>
      <c r="C10" s="11">
        <v>43897</v>
      </c>
      <c r="D10" s="12">
        <f t="shared" si="0"/>
        <v>192786.98497067532</v>
      </c>
      <c r="E10" s="12">
        <f t="shared" si="1"/>
        <v>1.758706914717302</v>
      </c>
      <c r="F10" s="12">
        <f t="shared" si="2"/>
        <v>0.22812694486802126</v>
      </c>
      <c r="G10" s="12">
        <f t="shared" si="2"/>
        <v>2.8195465096047596E-2</v>
      </c>
      <c r="H10" s="9"/>
      <c r="I10" s="12">
        <f t="shared" si="3"/>
        <v>0.21129923425168284</v>
      </c>
      <c r="J10" s="12">
        <f t="shared" si="4"/>
        <v>4.7489408124634515E-2</v>
      </c>
      <c r="K10" s="12">
        <f t="shared" si="5"/>
        <v>5.869477408662698E-3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192786.75282375506</v>
      </c>
      <c r="E11" s="12">
        <f t="shared" si="1"/>
        <v>1.9322302711646044</v>
      </c>
      <c r="F11" s="12">
        <f t="shared" si="2"/>
        <v>0.28030191667130122</v>
      </c>
      <c r="G11" s="12">
        <f t="shared" si="2"/>
        <v>3.4644057116677708E-2</v>
      </c>
      <c r="H11" s="9"/>
      <c r="I11" s="12">
        <f t="shared" si="3"/>
        <v>0.2321469202712125</v>
      </c>
      <c r="J11" s="12">
        <f t="shared" si="4"/>
        <v>5.217497180327995E-2</v>
      </c>
      <c r="K11" s="12">
        <f t="shared" si="5"/>
        <v>6.4485920206301126E-3</v>
      </c>
      <c r="M11" s="2" t="s">
        <v>12</v>
      </c>
      <c r="N11" s="7">
        <v>231480</v>
      </c>
    </row>
    <row r="12" spans="2:14" x14ac:dyDescent="0.25">
      <c r="B12" s="10">
        <v>8</v>
      </c>
      <c r="C12" s="11">
        <v>43899</v>
      </c>
      <c r="D12" s="12">
        <f t="shared" si="0"/>
        <v>192786.49777228638</v>
      </c>
      <c r="E12" s="12">
        <f t="shared" si="1"/>
        <v>2.1228740641347952</v>
      </c>
      <c r="F12" s="12">
        <f t="shared" si="2"/>
        <v>0.33762474804918446</v>
      </c>
      <c r="G12" s="12">
        <f t="shared" si="2"/>
        <v>4.1728901444281263E-2</v>
      </c>
      <c r="H12" s="9"/>
      <c r="I12" s="12">
        <f t="shared" si="3"/>
        <v>0.25505146867567774</v>
      </c>
      <c r="J12" s="12">
        <f t="shared" si="4"/>
        <v>5.7322831377883264E-2</v>
      </c>
      <c r="K12" s="12">
        <f t="shared" si="5"/>
        <v>7.0848443276035561E-3</v>
      </c>
      <c r="M12" s="2" t="s">
        <v>13</v>
      </c>
      <c r="N12" s="7">
        <f>SUM(J5:J204)</f>
        <v>148686.15096252502</v>
      </c>
    </row>
    <row r="13" spans="2:14" x14ac:dyDescent="0.25">
      <c r="B13" s="10">
        <v>9</v>
      </c>
      <c r="C13" s="11">
        <v>43900</v>
      </c>
      <c r="D13" s="12">
        <f t="shared" si="0"/>
        <v>192786.21755648626</v>
      </c>
      <c r="E13" s="12">
        <f t="shared" si="1"/>
        <v>2.332327395453087</v>
      </c>
      <c r="F13" s="12">
        <f t="shared" si="2"/>
        <v>0.40060334528518338</v>
      </c>
      <c r="G13" s="12">
        <f t="shared" si="2"/>
        <v>4.951277301277552E-2</v>
      </c>
      <c r="H13" s="9"/>
      <c r="I13" s="12">
        <f t="shared" si="3"/>
        <v>0.28021580012278491</v>
      </c>
      <c r="J13" s="12">
        <f t="shared" si="4"/>
        <v>6.2978597235998912E-2</v>
      </c>
      <c r="K13" s="12">
        <f t="shared" si="5"/>
        <v>7.7838715684942555E-3</v>
      </c>
      <c r="M13" s="2" t="s">
        <v>14</v>
      </c>
      <c r="N13" s="7">
        <f>SUM(K5:K204)</f>
        <v>18376.940006604236</v>
      </c>
    </row>
    <row r="14" spans="2:14" x14ac:dyDescent="0.25">
      <c r="B14" s="10">
        <v>10</v>
      </c>
      <c r="C14" s="11">
        <v>43901</v>
      </c>
      <c r="D14" s="12">
        <f t="shared" si="0"/>
        <v>192785.90969363431</v>
      </c>
      <c r="E14" s="12">
        <f t="shared" si="1"/>
        <v>2.5624460008846688</v>
      </c>
      <c r="F14" s="12">
        <f t="shared" si="2"/>
        <v>0.46979572468362496</v>
      </c>
      <c r="G14" s="12">
        <f t="shared" si="2"/>
        <v>5.8064640129436851E-2</v>
      </c>
      <c r="H14" s="9"/>
      <c r="I14" s="12">
        <f t="shared" si="3"/>
        <v>0.30786285194668467</v>
      </c>
      <c r="J14" s="12">
        <f t="shared" si="4"/>
        <v>6.919237939844157E-2</v>
      </c>
      <c r="K14" s="12">
        <f t="shared" si="5"/>
        <v>8.5518671166613276E-3</v>
      </c>
      <c r="M14" s="2" t="s">
        <v>15</v>
      </c>
      <c r="N14" s="7">
        <f>SUM(D4:G4)-N11</f>
        <v>-38691</v>
      </c>
    </row>
    <row r="15" spans="2:14" x14ac:dyDescent="0.25">
      <c r="B15" s="10">
        <v>11</v>
      </c>
      <c r="C15" s="11">
        <v>43902</v>
      </c>
      <c r="D15" s="12">
        <f t="shared" si="0"/>
        <v>192785.57145608217</v>
      </c>
      <c r="E15" s="12">
        <f t="shared" si="1"/>
        <v>2.8152686863209584</v>
      </c>
      <c r="F15" s="12">
        <f t="shared" si="2"/>
        <v>0.54581495604320351</v>
      </c>
      <c r="G15" s="12">
        <f t="shared" si="2"/>
        <v>6.7460275466013978E-2</v>
      </c>
      <c r="H15" s="9"/>
      <c r="I15" s="12">
        <f t="shared" si="3"/>
        <v>0.33823755213244561</v>
      </c>
      <c r="J15" s="12">
        <f t="shared" si="4"/>
        <v>7.6019231359578499E-2</v>
      </c>
      <c r="K15" s="12">
        <f t="shared" si="5"/>
        <v>9.3956353365771284E-3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192785.19984709431</v>
      </c>
      <c r="E16" s="12">
        <f t="shared" si="1"/>
        <v>3.0930353846245646</v>
      </c>
      <c r="F16" s="12">
        <f t="shared" si="2"/>
        <v>0.62933459373739198</v>
      </c>
      <c r="G16" s="12">
        <f t="shared" si="2"/>
        <v>7.7782927315857495E-2</v>
      </c>
      <c r="H16" s="9"/>
      <c r="I16" s="12">
        <f t="shared" si="3"/>
        <v>0.37160898784763785</v>
      </c>
      <c r="J16" s="12">
        <f t="shared" si="4"/>
        <v>8.3519637694188423E-2</v>
      </c>
      <c r="K16" s="12">
        <f t="shared" si="5"/>
        <v>1.0322651849843522E-2</v>
      </c>
      <c r="M16" s="2" t="s">
        <v>16</v>
      </c>
      <c r="N16" s="7">
        <f>MAX(E4:E204)</f>
        <v>79680.489909244818</v>
      </c>
    </row>
    <row r="17" spans="2:14" x14ac:dyDescent="0.25">
      <c r="B17" s="10">
        <v>13</v>
      </c>
      <c r="C17" s="11">
        <v>43904</v>
      </c>
      <c r="D17" s="12">
        <f t="shared" si="0"/>
        <v>192784.79157430661</v>
      </c>
      <c r="E17" s="12">
        <f t="shared" si="1"/>
        <v>3.3982069928212213</v>
      </c>
      <c r="F17" s="12">
        <f t="shared" si="2"/>
        <v>0.72109464348125407</v>
      </c>
      <c r="G17" s="12">
        <f t="shared" si="2"/>
        <v>8.9124057059480913E-2</v>
      </c>
      <c r="H17" s="9"/>
      <c r="I17" s="12">
        <f t="shared" si="3"/>
        <v>0.40827278768414199</v>
      </c>
      <c r="J17" s="12">
        <f t="shared" si="4"/>
        <v>9.1760049743862065E-2</v>
      </c>
      <c r="K17" s="12">
        <f t="shared" si="5"/>
        <v>1.1341129743623415E-2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192784.34302056796</v>
      </c>
      <c r="E18" s="12">
        <f t="shared" si="1"/>
        <v>3.7334871650379839</v>
      </c>
      <c r="F18" s="12">
        <f t="shared" si="2"/>
        <v>0.82190811760161697</v>
      </c>
      <c r="G18" s="12">
        <f t="shared" si="2"/>
        <v>0.10158414936649207</v>
      </c>
      <c r="H18" s="9"/>
      <c r="I18" s="12">
        <f t="shared" si="3"/>
        <v>0.448553738644137</v>
      </c>
      <c r="J18" s="12">
        <f t="shared" si="4"/>
        <v>0.10081347412036289</v>
      </c>
      <c r="K18" s="12">
        <f t="shared" si="5"/>
        <v>1.2460092307011155E-2</v>
      </c>
      <c r="M18" s="2" t="s">
        <v>17</v>
      </c>
      <c r="N18" s="7">
        <f>MAX(I5:I204)</f>
        <v>4296.7761631053118</v>
      </c>
    </row>
    <row r="19" spans="2:14" x14ac:dyDescent="0.25">
      <c r="B19" s="10">
        <v>15</v>
      </c>
      <c r="C19" s="11">
        <v>43906</v>
      </c>
      <c r="D19" s="12">
        <f t="shared" si="0"/>
        <v>192783.850211907</v>
      </c>
      <c r="E19" s="12">
        <f t="shared" si="1"/>
        <v>4.1018462538388203</v>
      </c>
      <c r="F19" s="12">
        <f t="shared" si="2"/>
        <v>0.93266823683107714</v>
      </c>
      <c r="G19" s="12">
        <f t="shared" si="2"/>
        <v>0.1152736023049647</v>
      </c>
      <c r="H19" s="9"/>
      <c r="I19" s="12">
        <f t="shared" si="3"/>
        <v>0.4928086609687688</v>
      </c>
      <c r="J19" s="12">
        <f t="shared" si="4"/>
        <v>0.11076011922946019</v>
      </c>
      <c r="K19" s="12">
        <f t="shared" si="5"/>
        <v>1.368945293847262E-2</v>
      </c>
      <c r="M19" s="2" t="s">
        <v>18</v>
      </c>
      <c r="N19" s="7">
        <f>MAX(J5:J204)</f>
        <v>2363.8545339742627</v>
      </c>
    </row>
    <row r="20" spans="2:14" x14ac:dyDescent="0.25">
      <c r="B20" s="10">
        <v>16</v>
      </c>
      <c r="C20" s="11">
        <v>43907</v>
      </c>
      <c r="D20" s="12">
        <f t="shared" si="0"/>
        <v>192783.30878234084</v>
      </c>
      <c r="E20" s="12">
        <f t="shared" si="1"/>
        <v>4.5065476115515555</v>
      </c>
      <c r="F20" s="12">
        <f t="shared" si="2"/>
        <v>1.0543563423616287</v>
      </c>
      <c r="G20" s="12">
        <f t="shared" si="2"/>
        <v>0.13031370523570704</v>
      </c>
      <c r="H20" s="9"/>
      <c r="I20" s="12">
        <f t="shared" si="3"/>
        <v>0.54142956617402815</v>
      </c>
      <c r="J20" s="12">
        <f t="shared" si="4"/>
        <v>0.12168810553055165</v>
      </c>
      <c r="K20" s="12">
        <f t="shared" si="5"/>
        <v>1.5040102930742354E-2</v>
      </c>
      <c r="M20" s="2" t="s">
        <v>19</v>
      </c>
      <c r="N20" s="7">
        <f>MAX(K5:K204)</f>
        <v>292.16179633389788</v>
      </c>
    </row>
    <row r="21" spans="2:14" x14ac:dyDescent="0.25">
      <c r="B21" s="10">
        <v>17</v>
      </c>
      <c r="C21" s="11">
        <v>43908</v>
      </c>
      <c r="D21" s="12">
        <f t="shared" si="0"/>
        <v>192782.71393521471</v>
      </c>
      <c r="E21" s="12">
        <f t="shared" si="1"/>
        <v>4.951176483978446</v>
      </c>
      <c r="F21" s="12">
        <f t="shared" si="2"/>
        <v>1.1880505881709915</v>
      </c>
      <c r="G21" s="12">
        <f t="shared" si="2"/>
        <v>0.14683771314472943</v>
      </c>
      <c r="H21" s="9"/>
      <c r="I21" s="12">
        <f t="shared" si="3"/>
        <v>0.59484712614527557</v>
      </c>
      <c r="J21" s="12">
        <f t="shared" si="4"/>
        <v>0.13369424580936279</v>
      </c>
      <c r="K21" s="12">
        <f t="shared" si="5"/>
        <v>1.6524007909022385E-2</v>
      </c>
    </row>
    <row r="22" spans="2:14" x14ac:dyDescent="0.25">
      <c r="B22" s="10">
        <v>18</v>
      </c>
      <c r="C22" s="11">
        <v>43909</v>
      </c>
      <c r="D22" s="12">
        <f t="shared" si="0"/>
        <v>192782.06040073084</v>
      </c>
      <c r="E22" s="12">
        <f t="shared" si="1"/>
        <v>5.4396717517167028</v>
      </c>
      <c r="F22" s="12">
        <f t="shared" ref="F22:G37" si="6">F21+J22</f>
        <v>1.3349354905290187</v>
      </c>
      <c r="G22" s="12">
        <f t="shared" si="6"/>
        <v>0.16499202691931708</v>
      </c>
      <c r="H22" s="9"/>
      <c r="I22" s="12">
        <f t="shared" si="3"/>
        <v>0.65353448387087176</v>
      </c>
      <c r="J22" s="12">
        <f t="shared" si="4"/>
        <v>0.14688490235802723</v>
      </c>
      <c r="K22" s="12">
        <f t="shared" si="5"/>
        <v>1.8154313774587653E-2</v>
      </c>
    </row>
    <row r="23" spans="2:14" x14ac:dyDescent="0.25">
      <c r="B23" s="10">
        <v>19</v>
      </c>
      <c r="C23" s="11">
        <v>43910</v>
      </c>
      <c r="D23" s="12">
        <f t="shared" si="0"/>
        <v>192781.34238929144</v>
      </c>
      <c r="E23" s="12">
        <f t="shared" si="1"/>
        <v>5.976360799382558</v>
      </c>
      <c r="F23" s="12">
        <f t="shared" si="6"/>
        <v>1.4963124191632808</v>
      </c>
      <c r="G23" s="12">
        <f t="shared" si="6"/>
        <v>0.18493749000894499</v>
      </c>
      <c r="H23" s="9"/>
      <c r="I23" s="12">
        <f t="shared" si="3"/>
        <v>0.7180114393897461</v>
      </c>
      <c r="J23" s="12">
        <f t="shared" si="4"/>
        <v>0.16137692863426217</v>
      </c>
      <c r="K23" s="12">
        <f t="shared" si="5"/>
        <v>1.9945463089627927E-2</v>
      </c>
    </row>
    <row r="24" spans="2:14" x14ac:dyDescent="0.25">
      <c r="B24" s="10">
        <v>20</v>
      </c>
      <c r="C24" s="11">
        <v>43911</v>
      </c>
      <c r="D24" s="12">
        <f t="shared" si="0"/>
        <v>192780.55354024362</v>
      </c>
      <c r="E24" s="12">
        <f t="shared" si="1"/>
        <v>6.5659978205492662</v>
      </c>
      <c r="F24" s="12">
        <f t="shared" si="6"/>
        <v>1.6736111228782966</v>
      </c>
      <c r="G24" s="12">
        <f t="shared" si="6"/>
        <v>0.20685081294001439</v>
      </c>
      <c r="H24" s="9"/>
      <c r="I24" s="12">
        <f t="shared" si="3"/>
        <v>0.7888490478127923</v>
      </c>
      <c r="J24" s="12">
        <f t="shared" si="4"/>
        <v>0.17729870371501588</v>
      </c>
      <c r="K24" s="12">
        <f t="shared" si="5"/>
        <v>2.1913322931069398E-2</v>
      </c>
    </row>
    <row r="25" spans="2:14" x14ac:dyDescent="0.25">
      <c r="B25" s="10">
        <v>21</v>
      </c>
      <c r="C25" s="11">
        <v>43912</v>
      </c>
      <c r="D25" s="12">
        <f t="shared" si="0"/>
        <v>192779.68686557375</v>
      </c>
      <c r="E25" s="12">
        <f t="shared" si="1"/>
        <v>7.213805896412417</v>
      </c>
      <c r="F25" s="12">
        <f t="shared" si="6"/>
        <v>1.8684023915545915</v>
      </c>
      <c r="G25" s="12">
        <f t="shared" si="6"/>
        <v>0.2309261382820284</v>
      </c>
      <c r="H25" s="9"/>
      <c r="I25" s="12">
        <f t="shared" si="3"/>
        <v>0.8666746698814598</v>
      </c>
      <c r="J25" s="12">
        <f t="shared" si="4"/>
        <v>0.19479126867629487</v>
      </c>
      <c r="K25" s="12">
        <f t="shared" si="5"/>
        <v>2.4075325342013999E-2</v>
      </c>
    </row>
    <row r="26" spans="2:14" x14ac:dyDescent="0.25">
      <c r="B26" s="10">
        <v>22</v>
      </c>
      <c r="C26" s="11">
        <v>43913</v>
      </c>
      <c r="D26" s="12">
        <f t="shared" si="0"/>
        <v>192778.73468805428</v>
      </c>
      <c r="E26" s="12">
        <f t="shared" si="1"/>
        <v>7.9255232193443534</v>
      </c>
      <c r="F26" s="12">
        <f t="shared" si="6"/>
        <v>2.0824119664814931</v>
      </c>
      <c r="G26" s="12">
        <f t="shared" si="6"/>
        <v>0.25737675990220726</v>
      </c>
      <c r="H26" s="9"/>
      <c r="I26" s="12">
        <f t="shared" si="3"/>
        <v>0.95217751947901774</v>
      </c>
      <c r="J26" s="12">
        <f t="shared" si="4"/>
        <v>0.21400957492690167</v>
      </c>
      <c r="K26" s="12">
        <f t="shared" si="5"/>
        <v>2.6450621620178884E-2</v>
      </c>
    </row>
    <row r="27" spans="2:14" x14ac:dyDescent="0.25">
      <c r="B27" s="10">
        <v>23</v>
      </c>
      <c r="C27" s="11">
        <v>43914</v>
      </c>
      <c r="D27" s="12">
        <f t="shared" si="0"/>
        <v>192777.68857329743</v>
      </c>
      <c r="E27" s="12">
        <f t="shared" si="1"/>
        <v>8.7074538688765681</v>
      </c>
      <c r="F27" s="12">
        <f t="shared" si="6"/>
        <v>2.317535821988709</v>
      </c>
      <c r="G27" s="12">
        <f t="shared" si="6"/>
        <v>0.2864370117064699</v>
      </c>
      <c r="H27" s="9"/>
      <c r="I27" s="12">
        <f t="shared" si="3"/>
        <v>1.0461147568436915</v>
      </c>
      <c r="J27" s="12">
        <f t="shared" si="4"/>
        <v>0.23512385550721579</v>
      </c>
      <c r="K27" s="12">
        <f t="shared" si="5"/>
        <v>2.9060251804262655E-2</v>
      </c>
    </row>
    <row r="28" spans="2:14" x14ac:dyDescent="0.25">
      <c r="B28" s="10">
        <v>24</v>
      </c>
      <c r="C28" s="11">
        <v>43915</v>
      </c>
      <c r="D28" s="12">
        <f t="shared" si="0"/>
        <v>192776.53925511646</v>
      </c>
      <c r="E28" s="12">
        <f t="shared" si="1"/>
        <v>9.5665235875648147</v>
      </c>
      <c r="F28" s="12">
        <f t="shared" si="6"/>
        <v>2.575856953432047</v>
      </c>
      <c r="G28" s="12">
        <f t="shared" si="6"/>
        <v>0.31836434255901735</v>
      </c>
      <c r="H28" s="9"/>
      <c r="I28" s="12">
        <f t="shared" si="3"/>
        <v>1.1493181809841322</v>
      </c>
      <c r="J28" s="12">
        <f t="shared" si="4"/>
        <v>0.25832113144333818</v>
      </c>
      <c r="K28" s="12">
        <f t="shared" si="5"/>
        <v>3.1927330852547446E-2</v>
      </c>
    </row>
    <row r="29" spans="2:14" x14ac:dyDescent="0.25">
      <c r="B29" s="10">
        <v>25</v>
      </c>
      <c r="C29" s="11">
        <v>43916</v>
      </c>
      <c r="D29" s="12">
        <f t="shared" si="0"/>
        <v>192775.27655353645</v>
      </c>
      <c r="E29" s="12">
        <f t="shared" si="1"/>
        <v>10.510341047984916</v>
      </c>
      <c r="F29" s="12">
        <f t="shared" si="6"/>
        <v>2.8596638198631363</v>
      </c>
      <c r="G29" s="12">
        <f t="shared" si="6"/>
        <v>0.35344159571342171</v>
      </c>
      <c r="H29" s="9"/>
      <c r="I29" s="12">
        <f t="shared" si="3"/>
        <v>1.2627015800055963</v>
      </c>
      <c r="J29" s="12">
        <f t="shared" si="4"/>
        <v>0.28380686643108949</v>
      </c>
      <c r="K29" s="12">
        <f t="shared" si="5"/>
        <v>3.5077253154404353E-2</v>
      </c>
    </row>
    <row r="30" spans="2:14" x14ac:dyDescent="0.25">
      <c r="B30" s="10">
        <v>26</v>
      </c>
      <c r="C30" s="11">
        <v>43917</v>
      </c>
      <c r="D30" s="12">
        <f t="shared" si="0"/>
        <v>192773.88928473269</v>
      </c>
      <c r="E30" s="12">
        <f t="shared" si="1"/>
        <v>11.547265150147773</v>
      </c>
      <c r="F30" s="12">
        <f t="shared" si="6"/>
        <v>3.1714706042866889</v>
      </c>
      <c r="G30" s="12">
        <f t="shared" si="6"/>
        <v>0.39197951288936644</v>
      </c>
      <c r="H30" s="9"/>
      <c r="I30" s="12">
        <f t="shared" si="3"/>
        <v>1.3872688037623537</v>
      </c>
      <c r="J30" s="12">
        <f t="shared" si="4"/>
        <v>0.31180678442355247</v>
      </c>
      <c r="K30" s="12">
        <f t="shared" si="5"/>
        <v>3.8537917175944722E-2</v>
      </c>
    </row>
    <row r="31" spans="2:14" x14ac:dyDescent="0.25">
      <c r="B31" s="10">
        <v>27</v>
      </c>
      <c r="C31" s="11">
        <v>43918</v>
      </c>
      <c r="D31" s="12">
        <f t="shared" si="0"/>
        <v>192772.36516210317</v>
      </c>
      <c r="E31" s="12">
        <f t="shared" si="1"/>
        <v>12.686478941313911</v>
      </c>
      <c r="F31" s="12">
        <f t="shared" si="6"/>
        <v>3.5140394704077393</v>
      </c>
      <c r="G31" s="12">
        <f t="shared" si="6"/>
        <v>0.43431948510657498</v>
      </c>
      <c r="H31" s="9"/>
      <c r="I31" s="12">
        <f t="shared" si="3"/>
        <v>1.5241226295043964</v>
      </c>
      <c r="J31" s="12">
        <f t="shared" si="4"/>
        <v>0.34256886612105053</v>
      </c>
      <c r="K31" s="12">
        <f t="shared" si="5"/>
        <v>4.2339972217208539E-2</v>
      </c>
    </row>
    <row r="32" spans="2:14" x14ac:dyDescent="0.25">
      <c r="B32" s="10">
        <v>28</v>
      </c>
      <c r="C32" s="11">
        <v>43919</v>
      </c>
      <c r="D32" s="12">
        <f t="shared" si="0"/>
        <v>192770.69068760515</v>
      </c>
      <c r="E32" s="12">
        <f t="shared" si="1"/>
        <v>13.938070807971489</v>
      </c>
      <c r="F32" s="12">
        <f t="shared" si="6"/>
        <v>3.8904050123333853</v>
      </c>
      <c r="G32" s="12">
        <f t="shared" si="6"/>
        <v>0.48083657455805934</v>
      </c>
      <c r="H32" s="9"/>
      <c r="I32" s="12">
        <f t="shared" si="3"/>
        <v>1.6744744980347066</v>
      </c>
      <c r="J32" s="12">
        <f t="shared" si="4"/>
        <v>0.37636554192564603</v>
      </c>
      <c r="K32" s="12">
        <f t="shared" si="5"/>
        <v>4.6517089451484382E-2</v>
      </c>
    </row>
    <row r="33" spans="2:11" x14ac:dyDescent="0.25">
      <c r="B33" s="10">
        <v>29</v>
      </c>
      <c r="C33" s="11">
        <v>43920</v>
      </c>
      <c r="D33" s="12">
        <f t="shared" si="0"/>
        <v>192768.85103239975</v>
      </c>
      <c r="E33" s="12">
        <f t="shared" si="1"/>
        <v>15.31312365309727</v>
      </c>
      <c r="F33" s="12">
        <f t="shared" si="6"/>
        <v>4.3039011129698723</v>
      </c>
      <c r="G33" s="12">
        <f t="shared" si="6"/>
        <v>0.53194283418728816</v>
      </c>
      <c r="H33" s="9"/>
      <c r="I33" s="12">
        <f t="shared" si="3"/>
        <v>1.8396552053914981</v>
      </c>
      <c r="J33" s="12">
        <f t="shared" si="4"/>
        <v>0.4134961006364874</v>
      </c>
      <c r="K33" s="12">
        <f t="shared" si="5"/>
        <v>5.1106259629228837E-2</v>
      </c>
    </row>
    <row r="34" spans="2:11" x14ac:dyDescent="0.25">
      <c r="B34" s="10">
        <v>30</v>
      </c>
      <c r="C34" s="13">
        <v>43921</v>
      </c>
      <c r="D34" s="12">
        <f t="shared" si="0"/>
        <v>192766.82990575646</v>
      </c>
      <c r="E34" s="12">
        <f t="shared" si="1"/>
        <v>16.823812841270801</v>
      </c>
      <c r="F34" s="12">
        <f t="shared" si="6"/>
        <v>4.7581904480117583</v>
      </c>
      <c r="G34" s="12">
        <f t="shared" si="6"/>
        <v>0.58809095424864488</v>
      </c>
      <c r="H34" s="9"/>
      <c r="I34" s="12">
        <f t="shared" si="3"/>
        <v>2.0211266432767707</v>
      </c>
      <c r="J34" s="12">
        <f t="shared" si="4"/>
        <v>0.45428933504188562</v>
      </c>
      <c r="K34" s="12">
        <f t="shared" si="5"/>
        <v>5.6148120061356707E-2</v>
      </c>
    </row>
    <row r="35" spans="2:11" x14ac:dyDescent="0.25">
      <c r="B35" s="10">
        <v>31</v>
      </c>
      <c r="C35" s="11">
        <v>43922</v>
      </c>
      <c r="D35" s="12">
        <f t="shared" si="0"/>
        <v>192764.60941106602</v>
      </c>
      <c r="E35" s="12">
        <f t="shared" si="1"/>
        <v>18.483513770326923</v>
      </c>
      <c r="F35" s="12">
        <f t="shared" si="6"/>
        <v>5.2572968956361255</v>
      </c>
      <c r="G35" s="12">
        <f t="shared" si="6"/>
        <v>0.64977826799997118</v>
      </c>
      <c r="H35" s="9"/>
      <c r="I35" s="12">
        <f t="shared" si="3"/>
        <v>2.2204946904318161</v>
      </c>
      <c r="J35" s="12">
        <f t="shared" si="4"/>
        <v>0.49910644762436707</v>
      </c>
      <c r="K35" s="12">
        <f t="shared" si="5"/>
        <v>6.1687313751326321E-2</v>
      </c>
    </row>
    <row r="36" spans="2:11" x14ac:dyDescent="0.25">
      <c r="B36" s="10">
        <v>32</v>
      </c>
      <c r="C36" s="11">
        <v>43923</v>
      </c>
      <c r="D36" s="12">
        <f t="shared" si="0"/>
        <v>192762.16988769904</v>
      </c>
      <c r="E36" s="12">
        <f t="shared" si="1"/>
        <v>20.306920011629721</v>
      </c>
      <c r="F36" s="12">
        <f t="shared" si="6"/>
        <v>5.8056411374891574</v>
      </c>
      <c r="G36" s="12">
        <f t="shared" si="6"/>
        <v>0.71755115182450324</v>
      </c>
      <c r="H36" s="9"/>
      <c r="I36" s="12">
        <f t="shared" si="3"/>
        <v>2.4395233669803638</v>
      </c>
      <c r="J36" s="12">
        <f t="shared" si="4"/>
        <v>0.54834424185303199</v>
      </c>
      <c r="K36" s="12">
        <f t="shared" si="5"/>
        <v>6.7772883824532115E-2</v>
      </c>
    </row>
    <row r="37" spans="2:11" x14ac:dyDescent="0.25">
      <c r="B37" s="10">
        <v>33</v>
      </c>
      <c r="C37" s="11">
        <v>43924</v>
      </c>
      <c r="D37" s="12">
        <f t="shared" si="0"/>
        <v>192759.48973732453</v>
      </c>
      <c r="E37" s="12">
        <f t="shared" si="1"/>
        <v>22.310173052403346</v>
      </c>
      <c r="F37" s="12">
        <f t="shared" si="6"/>
        <v>6.4080797645008394</v>
      </c>
      <c r="G37" s="12">
        <f t="shared" si="6"/>
        <v>0.79200985853381223</v>
      </c>
      <c r="H37" s="9"/>
      <c r="I37" s="12">
        <f t="shared" si="3"/>
        <v>2.680150374494616</v>
      </c>
      <c r="J37" s="12">
        <f t="shared" si="4"/>
        <v>0.6024386270116816</v>
      </c>
      <c r="K37" s="12">
        <f t="shared" si="5"/>
        <v>7.4458706709309042E-2</v>
      </c>
    </row>
    <row r="38" spans="2:11" x14ac:dyDescent="0.25">
      <c r="B38" s="10">
        <v>34</v>
      </c>
      <c r="C38" s="11">
        <v>43925</v>
      </c>
      <c r="D38" s="12">
        <f t="shared" si="0"/>
        <v>192756.54523316826</v>
      </c>
      <c r="E38" s="12">
        <f t="shared" si="1"/>
        <v>24.511004773590624</v>
      </c>
      <c r="F38" s="12">
        <f t="shared" ref="F38:G53" si="7">F37+J38</f>
        <v>7.0699482317221385</v>
      </c>
      <c r="G38" s="12">
        <f t="shared" si="7"/>
        <v>0.8738138263926245</v>
      </c>
      <c r="H38" s="9"/>
      <c r="I38" s="12">
        <f t="shared" si="3"/>
        <v>2.9445041562673895</v>
      </c>
      <c r="J38" s="12">
        <f t="shared" si="4"/>
        <v>0.66186846722129922</v>
      </c>
      <c r="K38" s="12">
        <f t="shared" si="5"/>
        <v>8.1803967858812332E-2</v>
      </c>
    </row>
    <row r="39" spans="2:11" x14ac:dyDescent="0.25">
      <c r="B39" s="10">
        <v>35</v>
      </c>
      <c r="C39" s="11">
        <v>43926</v>
      </c>
      <c r="D39" s="12">
        <f t="shared" si="0"/>
        <v>192753.31031054319</v>
      </c>
      <c r="E39" s="12">
        <f t="shared" si="1"/>
        <v>26.928893906217105</v>
      </c>
      <c r="F39" s="12">
        <f t="shared" si="7"/>
        <v>7.7971080400053268</v>
      </c>
      <c r="G39" s="12">
        <f t="shared" si="7"/>
        <v>0.96368751056245694</v>
      </c>
      <c r="H39" s="9"/>
      <c r="I39" s="12">
        <f t="shared" si="3"/>
        <v>3.2349226250795038</v>
      </c>
      <c r="J39" s="12">
        <f t="shared" si="4"/>
        <v>0.72715980828318838</v>
      </c>
      <c r="K39" s="12">
        <f t="shared" si="5"/>
        <v>8.987368416983238E-2</v>
      </c>
    </row>
    <row r="40" spans="2:11" x14ac:dyDescent="0.25">
      <c r="B40" s="10">
        <v>36</v>
      </c>
      <c r="C40" s="11">
        <v>43927</v>
      </c>
      <c r="D40" s="12">
        <f t="shared" si="0"/>
        <v>192749.75633682346</v>
      </c>
      <c r="E40" s="12">
        <f t="shared" si="1"/>
        <v>29.585237829068678</v>
      </c>
      <c r="F40" s="12">
        <f t="shared" si="7"/>
        <v>8.5959985592231014</v>
      </c>
      <c r="G40" s="12">
        <f t="shared" si="7"/>
        <v>1.0624267882185865</v>
      </c>
      <c r="H40" s="9"/>
      <c r="I40" s="12">
        <f t="shared" si="3"/>
        <v>3.5539737197254775</v>
      </c>
      <c r="J40" s="12">
        <f t="shared" si="4"/>
        <v>0.7988905192177741</v>
      </c>
      <c r="K40" s="12">
        <f t="shared" si="5"/>
        <v>9.8739277656129484E-2</v>
      </c>
    </row>
    <row r="41" spans="2:11" x14ac:dyDescent="0.25">
      <c r="B41" s="10">
        <v>37</v>
      </c>
      <c r="C41" s="11">
        <v>43928</v>
      </c>
      <c r="D41" s="12">
        <f t="shared" si="0"/>
        <v>192745.85185885665</v>
      </c>
      <c r="E41" s="12">
        <f t="shared" si="1"/>
        <v>32.503541201564403</v>
      </c>
      <c r="F41" s="12">
        <f t="shared" si="7"/>
        <v>9.4736939481521389</v>
      </c>
      <c r="G41" s="12">
        <f t="shared" si="7"/>
        <v>1.1709059935918384</v>
      </c>
      <c r="H41" s="9"/>
      <c r="I41" s="12">
        <f t="shared" si="3"/>
        <v>3.9044779667980056</v>
      </c>
      <c r="J41" s="12">
        <f t="shared" si="4"/>
        <v>0.87769538892903731</v>
      </c>
      <c r="K41" s="12">
        <f t="shared" si="5"/>
        <v>0.10847920537325192</v>
      </c>
    </row>
    <row r="42" spans="2:11" x14ac:dyDescent="0.25">
      <c r="B42" s="10">
        <v>38</v>
      </c>
      <c r="C42" s="11">
        <v>43929</v>
      </c>
      <c r="D42" s="12">
        <f t="shared" si="0"/>
        <v>192741.56232561581</v>
      </c>
      <c r="E42" s="12">
        <f t="shared" si="1"/>
        <v>35.709623069012572</v>
      </c>
      <c r="F42" s="12">
        <f t="shared" si="7"/>
        <v>10.437965670465216</v>
      </c>
      <c r="G42" s="12">
        <f t="shared" si="7"/>
        <v>1.2900856446642415</v>
      </c>
      <c r="H42" s="9"/>
      <c r="I42" s="12">
        <f t="shared" si="3"/>
        <v>4.2895332408336495</v>
      </c>
      <c r="J42" s="12">
        <f t="shared" si="4"/>
        <v>0.96427172231307712</v>
      </c>
      <c r="K42" s="12">
        <f t="shared" si="5"/>
        <v>0.11917965107240293</v>
      </c>
    </row>
    <row r="43" spans="2:11" x14ac:dyDescent="0.25">
      <c r="B43" s="10">
        <v>39</v>
      </c>
      <c r="C43" s="11">
        <v>43930</v>
      </c>
      <c r="D43" s="12">
        <f t="shared" si="0"/>
        <v>192736.84978368183</v>
      </c>
      <c r="E43" s="12">
        <f t="shared" si="1"/>
        <v>39.231844234040182</v>
      </c>
      <c r="F43" s="12">
        <f t="shared" si="7"/>
        <v>11.497351154845923</v>
      </c>
      <c r="G43" s="12">
        <f t="shared" si="7"/>
        <v>1.4210209292506211</v>
      </c>
      <c r="H43" s="9"/>
      <c r="I43" s="12">
        <f t="shared" si="3"/>
        <v>4.7125419339946966</v>
      </c>
      <c r="J43" s="12">
        <f t="shared" si="4"/>
        <v>1.0593854843807062</v>
      </c>
      <c r="K43" s="12">
        <f t="shared" si="5"/>
        <v>0.13093528458637954</v>
      </c>
    </row>
    <row r="44" spans="2:11" x14ac:dyDescent="0.25">
      <c r="B44" s="10">
        <v>40</v>
      </c>
      <c r="C44" s="11">
        <v>43931</v>
      </c>
      <c r="D44" s="12">
        <f t="shared" si="0"/>
        <v>192731.67254291571</v>
      </c>
      <c r="E44" s="12">
        <f t="shared" si="1"/>
        <v>43.101356859021429</v>
      </c>
      <c r="F44" s="12">
        <f t="shared" si="7"/>
        <v>12.661229200455782</v>
      </c>
      <c r="G44" s="12">
        <f t="shared" si="7"/>
        <v>1.5648710247754352</v>
      </c>
      <c r="H44" s="9"/>
      <c r="I44" s="12">
        <f t="shared" si="3"/>
        <v>5.1772407661159168</v>
      </c>
      <c r="J44" s="12">
        <f t="shared" si="4"/>
        <v>1.1638780456098587</v>
      </c>
      <c r="K44" s="12">
        <f t="shared" si="5"/>
        <v>0.14385009552481415</v>
      </c>
    </row>
    <row r="45" spans="2:11" x14ac:dyDescent="0.25">
      <c r="B45" s="10">
        <v>41</v>
      </c>
      <c r="C45" s="11">
        <v>43932</v>
      </c>
      <c r="D45" s="12">
        <f t="shared" si="0"/>
        <v>192725.98480942842</v>
      </c>
      <c r="E45" s="12">
        <f t="shared" si="1"/>
        <v>47.352378451015234</v>
      </c>
      <c r="F45" s="12">
        <f t="shared" si="7"/>
        <v>13.939902787273418</v>
      </c>
      <c r="G45" s="12">
        <f t="shared" si="7"/>
        <v>1.7229093332585139</v>
      </c>
      <c r="H45" s="9"/>
      <c r="I45" s="12">
        <f t="shared" si="3"/>
        <v>5.6877334872945191</v>
      </c>
      <c r="J45" s="12">
        <f t="shared" si="4"/>
        <v>1.2786735868176355</v>
      </c>
      <c r="K45" s="12">
        <f t="shared" si="5"/>
        <v>0.1580383084830787</v>
      </c>
    </row>
    <row r="46" spans="2:11" x14ac:dyDescent="0.25">
      <c r="B46" s="10">
        <v>42</v>
      </c>
      <c r="C46" s="11">
        <v>43933</v>
      </c>
      <c r="D46" s="12">
        <f t="shared" si="0"/>
        <v>192719.73628268007</v>
      </c>
      <c r="E46" s="12">
        <f t="shared" si="1"/>
        <v>52.022492584345784</v>
      </c>
      <c r="F46" s="12">
        <f t="shared" si="7"/>
        <v>15.344690014653537</v>
      </c>
      <c r="G46" s="12">
        <f t="shared" si="7"/>
        <v>1.8965347209122365</v>
      </c>
      <c r="H46" s="9"/>
      <c r="I46" s="12">
        <f t="shared" si="3"/>
        <v>6.24852674836439</v>
      </c>
      <c r="J46" s="12">
        <f t="shared" si="4"/>
        <v>1.4047872273801185</v>
      </c>
      <c r="K46" s="12">
        <f t="shared" si="5"/>
        <v>0.17362538765372268</v>
      </c>
    </row>
    <row r="47" spans="2:11" x14ac:dyDescent="0.25">
      <c r="B47" s="10">
        <v>43</v>
      </c>
      <c r="C47" s="11">
        <v>43934</v>
      </c>
      <c r="D47" s="12">
        <f t="shared" si="0"/>
        <v>192712.87171324037</v>
      </c>
      <c r="E47" s="12">
        <f t="shared" si="1"/>
        <v>57.152978937891447</v>
      </c>
      <c r="F47" s="12">
        <f t="shared" si="7"/>
        <v>16.88802396132246</v>
      </c>
      <c r="G47" s="12">
        <f t="shared" si="7"/>
        <v>2.0872838603881712</v>
      </c>
      <c r="H47" s="9"/>
      <c r="I47" s="12">
        <f t="shared" si="3"/>
        <v>6.8645694396905226</v>
      </c>
      <c r="J47" s="12">
        <f t="shared" si="4"/>
        <v>1.5433339466689246</v>
      </c>
      <c r="K47" s="12">
        <f t="shared" si="5"/>
        <v>0.19074913947593469</v>
      </c>
    </row>
    <row r="48" spans="2:11" x14ac:dyDescent="0.25">
      <c r="B48" s="10">
        <v>44</v>
      </c>
      <c r="C48" s="11">
        <v>43935</v>
      </c>
      <c r="D48" s="12">
        <f t="shared" si="0"/>
        <v>192705.33041741452</v>
      </c>
      <c r="E48" s="12">
        <f t="shared" si="1"/>
        <v>62.789175465826283</v>
      </c>
      <c r="F48" s="12">
        <f t="shared" si="7"/>
        <v>18.583562336479908</v>
      </c>
      <c r="G48" s="12">
        <f t="shared" si="7"/>
        <v>2.2968447831604402</v>
      </c>
      <c r="H48" s="9"/>
      <c r="I48" s="12">
        <f t="shared" si="3"/>
        <v>7.5412958258645517</v>
      </c>
      <c r="J48" s="12">
        <f t="shared" si="4"/>
        <v>1.6955383751574462</v>
      </c>
      <c r="K48" s="12">
        <f t="shared" si="5"/>
        <v>0.20956092277226884</v>
      </c>
    </row>
    <row r="49" spans="2:11" x14ac:dyDescent="0.25">
      <c r="B49" s="10">
        <v>45</v>
      </c>
      <c r="C49" s="11">
        <v>43936</v>
      </c>
      <c r="D49" s="12">
        <f t="shared" si="0"/>
        <v>192697.04574458132</v>
      </c>
      <c r="E49" s="12">
        <f t="shared" si="1"/>
        <v>68.980875783491584</v>
      </c>
      <c r="F49" s="12">
        <f t="shared" si="7"/>
        <v>20.446307875299421</v>
      </c>
      <c r="G49" s="12">
        <f t="shared" si="7"/>
        <v>2.5270717598684702</v>
      </c>
      <c r="H49" s="9"/>
      <c r="I49" s="12">
        <f t="shared" si="3"/>
        <v>8.2846728331928414</v>
      </c>
      <c r="J49" s="12">
        <f t="shared" si="4"/>
        <v>1.8627455388195129</v>
      </c>
      <c r="K49" s="12">
        <f t="shared" si="5"/>
        <v>0.23022697670802991</v>
      </c>
    </row>
    <row r="50" spans="2:11" x14ac:dyDescent="0.25">
      <c r="B50" s="10">
        <v>46</v>
      </c>
      <c r="C50" s="11">
        <v>43937</v>
      </c>
      <c r="D50" s="12">
        <f t="shared" si="0"/>
        <v>192687.94449270287</v>
      </c>
      <c r="E50" s="12">
        <f t="shared" si="1"/>
        <v>75.782765135828669</v>
      </c>
      <c r="F50" s="12">
        <f t="shared" si="7"/>
        <v>22.492740523543006</v>
      </c>
      <c r="G50" s="12">
        <f t="shared" si="7"/>
        <v>2.7800016377412731</v>
      </c>
      <c r="H50" s="9"/>
      <c r="I50" s="12">
        <f t="shared" si="3"/>
        <v>9.1012518784534713</v>
      </c>
      <c r="J50" s="12">
        <f t="shared" si="4"/>
        <v>2.0464326482435835</v>
      </c>
      <c r="K50" s="12">
        <f t="shared" si="5"/>
        <v>0.25292987787280269</v>
      </c>
    </row>
    <row r="51" spans="2:11" x14ac:dyDescent="0.25">
      <c r="B51" s="10">
        <v>47</v>
      </c>
      <c r="C51" s="11">
        <v>43938</v>
      </c>
      <c r="D51" s="12">
        <f t="shared" si="0"/>
        <v>192677.94626704152</v>
      </c>
      <c r="E51" s="12">
        <f t="shared" si="1"/>
        <v>83.254898625990563</v>
      </c>
      <c r="F51" s="12">
        <f t="shared" si="7"/>
        <v>24.740962555905924</v>
      </c>
      <c r="G51" s="12">
        <f t="shared" si="7"/>
        <v>3.0578717765726453</v>
      </c>
      <c r="H51" s="9"/>
      <c r="I51" s="12">
        <f t="shared" si="3"/>
        <v>9.9982256613561855</v>
      </c>
      <c r="J51" s="12">
        <f t="shared" si="4"/>
        <v>2.248222032362917</v>
      </c>
      <c r="K51" s="12">
        <f t="shared" si="5"/>
        <v>0.27787013883137207</v>
      </c>
    </row>
    <row r="52" spans="2:11" x14ac:dyDescent="0.25">
      <c r="B52" s="10">
        <v>48</v>
      </c>
      <c r="C52" s="11">
        <v>43939</v>
      </c>
      <c r="D52" s="12">
        <f t="shared" si="0"/>
        <v>192666.96277666197</v>
      </c>
      <c r="E52" s="12">
        <f t="shared" si="1"/>
        <v>91.463225718010065</v>
      </c>
      <c r="F52" s="12">
        <f t="shared" si="7"/>
        <v>27.210857881810309</v>
      </c>
      <c r="G52" s="12">
        <f t="shared" si="7"/>
        <v>3.3631397382012778</v>
      </c>
      <c r="H52" s="9"/>
      <c r="I52" s="12">
        <f t="shared" si="3"/>
        <v>10.983490379552522</v>
      </c>
      <c r="J52" s="12">
        <f t="shared" si="4"/>
        <v>2.4698953259043868</v>
      </c>
      <c r="K52" s="12">
        <f t="shared" si="5"/>
        <v>0.30526796162863234</v>
      </c>
    </row>
    <row r="53" spans="2:11" x14ac:dyDescent="0.25">
      <c r="B53" s="10">
        <v>49</v>
      </c>
      <c r="C53" s="11">
        <v>43940</v>
      </c>
      <c r="D53" s="12">
        <f t="shared" si="0"/>
        <v>192654.897062798</v>
      </c>
      <c r="E53" s="12">
        <f t="shared" si="1"/>
        <v>100.48016539138197</v>
      </c>
      <c r="F53" s="12">
        <f t="shared" si="7"/>
        <v>29.924266911444608</v>
      </c>
      <c r="G53" s="12">
        <f t="shared" si="7"/>
        <v>3.6985048991673151</v>
      </c>
      <c r="H53" s="9"/>
      <c r="I53" s="12">
        <f t="shared" si="3"/>
        <v>12.065713863972229</v>
      </c>
      <c r="J53" s="12">
        <f t="shared" si="4"/>
        <v>2.7134090296342985</v>
      </c>
      <c r="K53" s="12">
        <f t="shared" si="5"/>
        <v>0.33536516096603719</v>
      </c>
    </row>
    <row r="54" spans="2:11" x14ac:dyDescent="0.25">
      <c r="B54" s="10">
        <v>50</v>
      </c>
      <c r="C54" s="11">
        <v>43941</v>
      </c>
      <c r="D54" s="12">
        <f t="shared" si="0"/>
        <v>192641.64265262426</v>
      </c>
      <c r="E54" s="12">
        <f t="shared" si="1"/>
        <v>110.38523671873901</v>
      </c>
      <c r="F54" s="12">
        <f t="shared" ref="F54:G69" si="8">F53+J54</f>
        <v>32.905178484722271</v>
      </c>
      <c r="G54" s="12">
        <f t="shared" si="8"/>
        <v>4.0669321722690492</v>
      </c>
      <c r="H54" s="9"/>
      <c r="I54" s="12">
        <f t="shared" si="3"/>
        <v>13.254410173736428</v>
      </c>
      <c r="J54" s="12">
        <f t="shared" si="4"/>
        <v>2.9809115732776648</v>
      </c>
      <c r="K54" s="12">
        <f t="shared" si="5"/>
        <v>0.36842727310173423</v>
      </c>
    </row>
    <row r="55" spans="2:11" x14ac:dyDescent="0.25">
      <c r="B55" s="10">
        <v>51</v>
      </c>
      <c r="C55" s="11">
        <v>43942</v>
      </c>
      <c r="D55" s="12">
        <f t="shared" si="0"/>
        <v>192627.08263139034</v>
      </c>
      <c r="E55" s="12">
        <f t="shared" si="1"/>
        <v>121.26575006202059</v>
      </c>
      <c r="F55" s="12">
        <f t="shared" si="8"/>
        <v>36.179940507378191</v>
      </c>
      <c r="G55" s="12">
        <f t="shared" si="8"/>
        <v>4.4716780402377596</v>
      </c>
      <c r="H55" s="9"/>
      <c r="I55" s="12">
        <f t="shared" si="3"/>
        <v>14.560021233906209</v>
      </c>
      <c r="J55" s="12">
        <f t="shared" si="4"/>
        <v>3.2747620226559233</v>
      </c>
      <c r="K55" s="12">
        <f t="shared" si="5"/>
        <v>0.40474586796871009</v>
      </c>
    </row>
    <row r="56" spans="2:11" x14ac:dyDescent="0.25">
      <c r="B56" s="10">
        <v>52</v>
      </c>
      <c r="C56" s="11">
        <v>43943</v>
      </c>
      <c r="D56" s="12">
        <f t="shared" si="0"/>
        <v>192611.08862524453</v>
      </c>
      <c r="E56" s="12">
        <f t="shared" si="1"/>
        <v>133.21756453908966</v>
      </c>
      <c r="F56" s="12">
        <f t="shared" si="8"/>
        <v>39.777491092551472</v>
      </c>
      <c r="G56" s="12">
        <f t="shared" si="8"/>
        <v>4.9163191237985018</v>
      </c>
      <c r="H56" s="9"/>
      <c r="I56" s="12">
        <f t="shared" si="3"/>
        <v>15.994006145803105</v>
      </c>
      <c r="J56" s="12">
        <f t="shared" si="4"/>
        <v>3.5975505851732774</v>
      </c>
      <c r="K56" s="12">
        <f t="shared" si="5"/>
        <v>0.4446410835607425</v>
      </c>
    </row>
    <row r="57" spans="2:11" x14ac:dyDescent="0.25">
      <c r="B57" s="10">
        <v>53</v>
      </c>
      <c r="C57" s="11">
        <v>43944</v>
      </c>
      <c r="D57" s="12">
        <f t="shared" si="0"/>
        <v>192593.51968639609</v>
      </c>
      <c r="E57" s="12">
        <f t="shared" si="1"/>
        <v>146.34591790290381</v>
      </c>
      <c r="F57" s="12">
        <f t="shared" si="8"/>
        <v>43.729612173877797</v>
      </c>
      <c r="G57" s="12">
        <f t="shared" si="8"/>
        <v>5.4047835271084974</v>
      </c>
      <c r="H57" s="9"/>
      <c r="I57" s="12">
        <f t="shared" si="3"/>
        <v>17.568938848450482</v>
      </c>
      <c r="J57" s="12">
        <f t="shared" si="4"/>
        <v>3.9521210813263261</v>
      </c>
      <c r="K57" s="12">
        <f t="shared" si="5"/>
        <v>0.48846440330999585</v>
      </c>
    </row>
    <row r="58" spans="2:11" x14ac:dyDescent="0.25">
      <c r="B58" s="10">
        <v>54</v>
      </c>
      <c r="C58" s="11">
        <v>43945</v>
      </c>
      <c r="D58" s="12">
        <f t="shared" si="0"/>
        <v>192574.22107153549</v>
      </c>
      <c r="E58" s="12">
        <f t="shared" si="1"/>
        <v>160.76633550008486</v>
      </c>
      <c r="F58" s="12">
        <f t="shared" si="8"/>
        <v>48.071207738330607</v>
      </c>
      <c r="G58" s="12">
        <f t="shared" si="8"/>
        <v>5.9413852260858118</v>
      </c>
      <c r="H58" s="9"/>
      <c r="I58" s="12">
        <f t="shared" si="3"/>
        <v>19.298614860611174</v>
      </c>
      <c r="J58" s="12">
        <f t="shared" si="4"/>
        <v>4.3415955644528124</v>
      </c>
      <c r="K58" s="12">
        <f t="shared" si="5"/>
        <v>0.53660169897731447</v>
      </c>
    </row>
    <row r="59" spans="2:11" x14ac:dyDescent="0.25">
      <c r="B59" s="10">
        <v>55</v>
      </c>
      <c r="C59" s="11">
        <v>43946</v>
      </c>
      <c r="D59" s="12">
        <f t="shared" si="0"/>
        <v>192553.02290364989</v>
      </c>
      <c r="E59" s="12">
        <f t="shared" si="1"/>
        <v>176.60562553568454</v>
      </c>
      <c r="F59" s="12">
        <f t="shared" si="8"/>
        <v>52.840609024833121</v>
      </c>
      <c r="G59" s="12">
        <f t="shared" si="8"/>
        <v>6.5308617895861234</v>
      </c>
      <c r="H59" s="9"/>
      <c r="I59" s="12">
        <f t="shared" si="3"/>
        <v>21.198167885602508</v>
      </c>
      <c r="J59" s="12">
        <f t="shared" si="4"/>
        <v>4.769401286502517</v>
      </c>
      <c r="K59" s="12">
        <f t="shared" si="5"/>
        <v>0.58947656350031175</v>
      </c>
    </row>
    <row r="60" spans="2:11" x14ac:dyDescent="0.25">
      <c r="B60" s="10">
        <v>56</v>
      </c>
      <c r="C60" s="11">
        <v>43947</v>
      </c>
      <c r="D60" s="12">
        <f t="shared" si="0"/>
        <v>192529.73870653482</v>
      </c>
      <c r="E60" s="12">
        <f t="shared" si="1"/>
        <v>194.00296846624508</v>
      </c>
      <c r="F60" s="12">
        <f t="shared" si="8"/>
        <v>58.079909249058431</v>
      </c>
      <c r="G60" s="12">
        <f t="shared" si="8"/>
        <v>7.1784157498836336</v>
      </c>
      <c r="H60" s="9"/>
      <c r="I60" s="12">
        <f t="shared" si="3"/>
        <v>23.284197115083348</v>
      </c>
      <c r="J60" s="12">
        <f t="shared" si="4"/>
        <v>5.2393002242253068</v>
      </c>
      <c r="K60" s="12">
        <f t="shared" si="5"/>
        <v>0.64755396029751056</v>
      </c>
    </row>
    <row r="61" spans="2:11" x14ac:dyDescent="0.25">
      <c r="B61" s="10">
        <v>57</v>
      </c>
      <c r="C61" s="11">
        <v>43948</v>
      </c>
      <c r="D61" s="12">
        <f t="shared" si="0"/>
        <v>192504.16380041212</v>
      </c>
      <c r="E61" s="12">
        <f t="shared" si="1"/>
        <v>213.11110897338637</v>
      </c>
      <c r="F61" s="12">
        <f t="shared" si="8"/>
        <v>63.83533064689037</v>
      </c>
      <c r="G61" s="12">
        <f t="shared" si="8"/>
        <v>7.8897599675932</v>
      </c>
      <c r="H61" s="9"/>
      <c r="I61" s="12">
        <f t="shared" si="3"/>
        <v>25.574906122682751</v>
      </c>
      <c r="J61" s="12">
        <f t="shared" si="4"/>
        <v>5.7554213978319364</v>
      </c>
      <c r="K61" s="12">
        <f t="shared" si="5"/>
        <v>0.71134421770956591</v>
      </c>
    </row>
    <row r="62" spans="2:11" x14ac:dyDescent="0.25">
      <c r="B62" s="10">
        <v>58</v>
      </c>
      <c r="C62" s="11">
        <v>43949</v>
      </c>
      <c r="D62" s="12">
        <f t="shared" si="0"/>
        <v>192476.0735461193</v>
      </c>
      <c r="E62" s="12">
        <f t="shared" si="1"/>
        <v>234.09765963375682</v>
      </c>
      <c r="F62" s="12">
        <f t="shared" si="8"/>
        <v>70.157626879767491</v>
      </c>
      <c r="G62" s="12">
        <f t="shared" si="8"/>
        <v>8.6711673671622833</v>
      </c>
      <c r="H62" s="9"/>
      <c r="I62" s="12">
        <f t="shared" si="3"/>
        <v>28.090254292816663</v>
      </c>
      <c r="J62" s="12">
        <f t="shared" si="4"/>
        <v>6.3222962328771279</v>
      </c>
      <c r="K62" s="12">
        <f t="shared" si="5"/>
        <v>0.781407399569084</v>
      </c>
    </row>
    <row r="63" spans="2:11" x14ac:dyDescent="0.25">
      <c r="B63" s="10">
        <v>59</v>
      </c>
      <c r="C63" s="11">
        <v>43950</v>
      </c>
      <c r="D63" s="12">
        <f t="shared" si="0"/>
        <v>192445.22142433611</v>
      </c>
      <c r="E63" s="12">
        <f t="shared" si="1"/>
        <v>257.146526095826</v>
      </c>
      <c r="F63" s="12">
        <f t="shared" si="8"/>
        <v>77.10252411556894</v>
      </c>
      <c r="G63" s="12">
        <f t="shared" si="8"/>
        <v>9.5295254524860589</v>
      </c>
      <c r="H63" s="9"/>
      <c r="I63" s="12">
        <f t="shared" si="3"/>
        <v>30.852121783194463</v>
      </c>
      <c r="J63" s="12">
        <f t="shared" si="4"/>
        <v>6.9448972358014514</v>
      </c>
      <c r="K63" s="12">
        <f t="shared" si="5"/>
        <v>0.85835808532377578</v>
      </c>
    </row>
    <row r="64" spans="2:11" x14ac:dyDescent="0.25">
      <c r="B64" s="10">
        <v>60</v>
      </c>
      <c r="C64" s="13">
        <v>43951</v>
      </c>
      <c r="D64" s="12">
        <f t="shared" si="0"/>
        <v>192411.33693526621</v>
      </c>
      <c r="E64" s="12">
        <f t="shared" si="1"/>
        <v>282.45946429587241</v>
      </c>
      <c r="F64" s="12">
        <f t="shared" si="8"/>
        <v>84.731204389745116</v>
      </c>
      <c r="G64" s="12">
        <f t="shared" si="8"/>
        <v>10.472396048170754</v>
      </c>
      <c r="H64" s="9"/>
      <c r="I64" s="12">
        <f t="shared" si="3"/>
        <v>33.884489069907325</v>
      </c>
      <c r="J64" s="12">
        <f t="shared" si="4"/>
        <v>7.6286802741761708</v>
      </c>
      <c r="K64" s="12">
        <f t="shared" si="5"/>
        <v>0.94287059568469611</v>
      </c>
    </row>
    <row r="65" spans="2:11" x14ac:dyDescent="0.25">
      <c r="B65" s="10">
        <v>61</v>
      </c>
      <c r="C65" s="11">
        <v>43952</v>
      </c>
      <c r="D65" s="12">
        <f t="shared" si="0"/>
        <v>192374.12330309642</v>
      </c>
      <c r="E65" s="12">
        <f t="shared" si="1"/>
        <v>310.25778098912104</v>
      </c>
      <c r="F65" s="12">
        <f t="shared" si="8"/>
        <v>93.110835163855995</v>
      </c>
      <c r="G65" s="12">
        <f t="shared" si="8"/>
        <v>11.508080750588954</v>
      </c>
      <c r="H65" s="9"/>
      <c r="I65" s="12">
        <f t="shared" si="3"/>
        <v>37.213632169777718</v>
      </c>
      <c r="J65" s="12">
        <f t="shared" si="4"/>
        <v>8.3796307741108809</v>
      </c>
      <c r="K65" s="12">
        <f t="shared" si="5"/>
        <v>1.0356847024181997</v>
      </c>
    </row>
    <row r="66" spans="2:11" x14ac:dyDescent="0.25">
      <c r="B66" s="10">
        <v>62</v>
      </c>
      <c r="C66" s="11">
        <v>43953</v>
      </c>
      <c r="D66" s="12">
        <f t="shared" si="0"/>
        <v>192333.2549684229</v>
      </c>
      <c r="E66" s="12">
        <f t="shared" si="1"/>
        <v>340.78418962967464</v>
      </c>
      <c r="F66" s="12">
        <f t="shared" si="8"/>
        <v>102.31514933319991</v>
      </c>
      <c r="G66" s="12">
        <f t="shared" si="8"/>
        <v>12.645692614215733</v>
      </c>
      <c r="H66" s="9"/>
      <c r="I66" s="12">
        <f t="shared" si="3"/>
        <v>40.868334673524288</v>
      </c>
      <c r="J66" s="12">
        <f t="shared" si="4"/>
        <v>9.2043141693439221</v>
      </c>
      <c r="K66" s="12">
        <f t="shared" si="5"/>
        <v>1.137611863626778</v>
      </c>
    </row>
    <row r="67" spans="2:11" x14ac:dyDescent="0.25">
      <c r="B67" s="10">
        <v>63</v>
      </c>
      <c r="C67" s="11">
        <v>43954</v>
      </c>
      <c r="D67" s="12">
        <f t="shared" si="0"/>
        <v>192288.37485067052</v>
      </c>
      <c r="E67" s="12">
        <f t="shared" si="1"/>
        <v>374.30483439439467</v>
      </c>
      <c r="F67" s="12">
        <f t="shared" si="8"/>
        <v>112.42508029221359</v>
      </c>
      <c r="G67" s="12">
        <f t="shared" si="8"/>
        <v>13.895234642857874</v>
      </c>
      <c r="H67" s="9"/>
      <c r="I67" s="12">
        <f t="shared" si="3"/>
        <v>44.880117752375888</v>
      </c>
      <c r="J67" s="12">
        <f t="shared" si="4"/>
        <v>10.109930959013679</v>
      </c>
      <c r="K67" s="12">
        <f t="shared" si="5"/>
        <v>1.2495420286421415</v>
      </c>
    </row>
    <row r="68" spans="2:11" x14ac:dyDescent="0.25">
      <c r="B68" s="10">
        <v>64</v>
      </c>
      <c r="C68" s="11">
        <v>43955</v>
      </c>
      <c r="D68" s="12">
        <f t="shared" si="0"/>
        <v>192239.09136135405</v>
      </c>
      <c r="E68" s="12">
        <f t="shared" si="1"/>
        <v>411.11149589772964</v>
      </c>
      <c r="F68" s="12">
        <f t="shared" si="8"/>
        <v>123.52945704591397</v>
      </c>
      <c r="G68" s="12">
        <f t="shared" si="8"/>
        <v>15.267685702303989</v>
      </c>
      <c r="H68" s="9"/>
      <c r="I68" s="12">
        <f t="shared" si="3"/>
        <v>49.283489316481457</v>
      </c>
      <c r="J68" s="12">
        <f t="shared" si="4"/>
        <v>11.104376753700373</v>
      </c>
      <c r="K68" s="12">
        <f t="shared" si="5"/>
        <v>1.372451059446115</v>
      </c>
    </row>
    <row r="69" spans="2:11" x14ac:dyDescent="0.25">
      <c r="B69" s="10">
        <v>65</v>
      </c>
      <c r="C69" s="11">
        <v>43956</v>
      </c>
      <c r="D69" s="12">
        <f t="shared" si="0"/>
        <v>192184.97514785265</v>
      </c>
      <c r="E69" s="12">
        <f t="shared" si="1"/>
        <v>451.52399286922173</v>
      </c>
      <c r="F69" s="12">
        <f t="shared" si="8"/>
        <v>135.72576475754661</v>
      </c>
      <c r="G69" s="12">
        <f t="shared" si="8"/>
        <v>16.775094520595665</v>
      </c>
      <c r="H69" s="9"/>
      <c r="I69" s="12">
        <f t="shared" si="3"/>
        <v>54.116213501416404</v>
      </c>
      <c r="J69" s="12">
        <f t="shared" si="4"/>
        <v>12.196307711632645</v>
      </c>
      <c r="K69" s="12">
        <f t="shared" si="5"/>
        <v>1.5074088182916767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192125.55554621873</v>
      </c>
      <c r="E70" s="12">
        <f t="shared" ref="E70:E133" si="10">E69+I70-J70-K70</f>
        <v>495.8927947408261</v>
      </c>
      <c r="F70" s="12">
        <f t="shared" ref="F70:G85" si="11">F69+J70</f>
        <v>149.12097654600018</v>
      </c>
      <c r="G70" s="12">
        <f t="shared" si="11"/>
        <v>18.430682494449481</v>
      </c>
      <c r="H70" s="9"/>
      <c r="I70" s="12">
        <f t="shared" ref="I70:I133" si="12">E69*N$6*D69/SUM(D69:F69)*N$7</f>
        <v>59.419601633911796</v>
      </c>
      <c r="J70" s="12">
        <f t="shared" ref="J70:J133" si="13">E69*N$8/N$5</f>
        <v>13.395211788453576</v>
      </c>
      <c r="K70" s="12">
        <f t="shared" ref="K70:K133" si="14">E69*N$9/N$5</f>
        <v>1.6555879738538146</v>
      </c>
    </row>
    <row r="71" spans="2:11" x14ac:dyDescent="0.25">
      <c r="B71" s="10">
        <v>67</v>
      </c>
      <c r="C71" s="11">
        <v>43958</v>
      </c>
      <c r="D71" s="12">
        <f t="shared" si="9"/>
        <v>192060.31672044564</v>
      </c>
      <c r="E71" s="12">
        <f t="shared" si="10"/>
        <v>544.60186068922746</v>
      </c>
      <c r="F71" s="12">
        <f t="shared" si="11"/>
        <v>163.83246278997802</v>
      </c>
      <c r="G71" s="12">
        <f t="shared" si="11"/>
        <v>20.248956075165847</v>
      </c>
      <c r="H71" s="9"/>
      <c r="I71" s="12">
        <f t="shared" si="12"/>
        <v>65.238825773095456</v>
      </c>
      <c r="J71" s="12">
        <f t="shared" si="13"/>
        <v>14.71148624397784</v>
      </c>
      <c r="K71" s="12">
        <f t="shared" si="14"/>
        <v>1.8182735807163641</v>
      </c>
    </row>
    <row r="72" spans="2:11" x14ac:dyDescent="0.25">
      <c r="B72" s="10">
        <v>68</v>
      </c>
      <c r="C72" s="11">
        <v>43959</v>
      </c>
      <c r="D72" s="12">
        <f t="shared" si="9"/>
        <v>191988.69346461451</v>
      </c>
      <c r="E72" s="12">
        <f t="shared" si="10"/>
        <v>598.07172116405934</v>
      </c>
      <c r="F72" s="12">
        <f t="shared" si="11"/>
        <v>179.98898465709178</v>
      </c>
      <c r="G72" s="12">
        <f t="shared" si="11"/>
        <v>22.245829564359681</v>
      </c>
      <c r="H72" s="9"/>
      <c r="I72" s="12">
        <f t="shared" si="12"/>
        <v>71.623255831139389</v>
      </c>
      <c r="J72" s="12">
        <f t="shared" si="13"/>
        <v>16.156521867113746</v>
      </c>
      <c r="K72" s="12">
        <f t="shared" si="14"/>
        <v>1.9968734891938358</v>
      </c>
    </row>
    <row r="73" spans="2:11" x14ac:dyDescent="0.25">
      <c r="B73" s="10">
        <v>69</v>
      </c>
      <c r="C73" s="11">
        <v>43960</v>
      </c>
      <c r="D73" s="12">
        <f t="shared" si="9"/>
        <v>191910.06664347675</v>
      </c>
      <c r="E73" s="12">
        <f t="shared" si="10"/>
        <v>656.76281826300783</v>
      </c>
      <c r="F73" s="12">
        <f t="shared" si="11"/>
        <v>197.73177905162552</v>
      </c>
      <c r="G73" s="12">
        <f t="shared" si="11"/>
        <v>24.4387592086279</v>
      </c>
      <c r="H73" s="9"/>
      <c r="I73" s="12">
        <f t="shared" si="12"/>
        <v>78.626821137750511</v>
      </c>
      <c r="J73" s="12">
        <f t="shared" si="13"/>
        <v>17.742794394533757</v>
      </c>
      <c r="K73" s="12">
        <f t="shared" si="14"/>
        <v>2.1929296442682196</v>
      </c>
    </row>
    <row r="74" spans="2:11" x14ac:dyDescent="0.25">
      <c r="B74" s="10">
        <v>70</v>
      </c>
      <c r="C74" s="11">
        <v>43961</v>
      </c>
      <c r="D74" s="12">
        <f t="shared" si="9"/>
        <v>191823.75824636169</v>
      </c>
      <c r="E74" s="12">
        <f t="shared" si="10"/>
        <v>721.17912143596027</v>
      </c>
      <c r="F74" s="12">
        <f t="shared" si="11"/>
        <v>217.21574266009475</v>
      </c>
      <c r="G74" s="12">
        <f t="shared" si="11"/>
        <v>26.846889542258932</v>
      </c>
      <c r="H74" s="9"/>
      <c r="I74" s="12">
        <f t="shared" si="12"/>
        <v>86.308397115052671</v>
      </c>
      <c r="J74" s="12">
        <f t="shared" si="13"/>
        <v>19.483963608469232</v>
      </c>
      <c r="K74" s="12">
        <f t="shared" si="14"/>
        <v>2.4081303336310307</v>
      </c>
    </row>
    <row r="75" spans="2:11" x14ac:dyDescent="0.25">
      <c r="B75" s="10">
        <v>71</v>
      </c>
      <c r="C75" s="11">
        <v>43962</v>
      </c>
      <c r="D75" s="12">
        <f t="shared" si="9"/>
        <v>191729.02602890212</v>
      </c>
      <c r="E75" s="12">
        <f t="shared" si="10"/>
        <v>791.87203484764245</v>
      </c>
      <c r="F75" s="12">
        <f t="shared" si="11"/>
        <v>238.6107232626949</v>
      </c>
      <c r="G75" s="12">
        <f t="shared" si="11"/>
        <v>29.491212987524122</v>
      </c>
      <c r="H75" s="9"/>
      <c r="I75" s="12">
        <f t="shared" si="12"/>
        <v>94.732217459547527</v>
      </c>
      <c r="J75" s="12">
        <f t="shared" si="13"/>
        <v>21.39498060260015</v>
      </c>
      <c r="K75" s="12">
        <f t="shared" si="14"/>
        <v>2.6443234452651896</v>
      </c>
    </row>
    <row r="76" spans="2:11" x14ac:dyDescent="0.25">
      <c r="B76" s="10">
        <v>72</v>
      </c>
      <c r="C76" s="11">
        <v>43963</v>
      </c>
      <c r="D76" s="12">
        <f t="shared" si="9"/>
        <v>191625.05771703215</v>
      </c>
      <c r="E76" s="12">
        <f t="shared" si="10"/>
        <v>869.44461222270979</v>
      </c>
      <c r="F76" s="12">
        <f t="shared" si="11"/>
        <v>262.10292696317498</v>
      </c>
      <c r="G76" s="12">
        <f t="shared" si="11"/>
        <v>32.394743781965481</v>
      </c>
      <c r="H76" s="9"/>
      <c r="I76" s="12">
        <f t="shared" si="12"/>
        <v>103.96831186998882</v>
      </c>
      <c r="J76" s="12">
        <f t="shared" si="13"/>
        <v>23.492203700480058</v>
      </c>
      <c r="K76" s="12">
        <f t="shared" si="14"/>
        <v>2.9035307944413584</v>
      </c>
    </row>
    <row r="77" spans="2:11" x14ac:dyDescent="0.25">
      <c r="B77" s="10">
        <v>73</v>
      </c>
      <c r="C77" s="11">
        <v>43964</v>
      </c>
      <c r="D77" s="12">
        <f t="shared" si="9"/>
        <v>191510.96474813684</v>
      </c>
      <c r="E77" s="12">
        <f t="shared" si="10"/>
        <v>954.55609404391271</v>
      </c>
      <c r="F77" s="12">
        <f t="shared" si="11"/>
        <v>287.89645045911539</v>
      </c>
      <c r="G77" s="12">
        <f t="shared" si="11"/>
        <v>35.582707360115421</v>
      </c>
      <c r="H77" s="9"/>
      <c r="I77" s="12">
        <f t="shared" si="12"/>
        <v>114.09296889529323</v>
      </c>
      <c r="J77" s="12">
        <f t="shared" si="13"/>
        <v>25.793523495940388</v>
      </c>
      <c r="K77" s="12">
        <f t="shared" si="14"/>
        <v>3.1879635781499389</v>
      </c>
    </row>
    <row r="78" spans="2:11" x14ac:dyDescent="0.25">
      <c r="B78" s="10">
        <v>74</v>
      </c>
      <c r="C78" s="11">
        <v>43965</v>
      </c>
      <c r="D78" s="12">
        <f t="shared" si="9"/>
        <v>191385.77552525385</v>
      </c>
      <c r="E78" s="12">
        <f t="shared" si="10"/>
        <v>1047.9267804587723</v>
      </c>
      <c r="F78" s="12">
        <f t="shared" si="11"/>
        <v>316.21494791575145</v>
      </c>
      <c r="G78" s="12">
        <f t="shared" si="11"/>
        <v>39.082746371609772</v>
      </c>
      <c r="H78" s="9"/>
      <c r="I78" s="12">
        <f t="shared" si="12"/>
        <v>125.18922288299022</v>
      </c>
      <c r="J78" s="12">
        <f t="shared" si="13"/>
        <v>28.318497456636074</v>
      </c>
      <c r="K78" s="12">
        <f t="shared" si="14"/>
        <v>3.5000390114943496</v>
      </c>
    </row>
    <row r="79" spans="2:11" x14ac:dyDescent="0.25">
      <c r="B79" s="10">
        <v>75</v>
      </c>
      <c r="C79" s="11">
        <v>43966</v>
      </c>
      <c r="D79" s="12">
        <f t="shared" si="9"/>
        <v>191248.4281619933</v>
      </c>
      <c r="E79" s="12">
        <f t="shared" si="10"/>
        <v>1150.3432510373659</v>
      </c>
      <c r="F79" s="12">
        <f t="shared" si="11"/>
        <v>347.30344240269505</v>
      </c>
      <c r="G79" s="12">
        <f t="shared" si="11"/>
        <v>42.925144566625278</v>
      </c>
      <c r="H79" s="9"/>
      <c r="I79" s="12">
        <f t="shared" si="12"/>
        <v>137.3473632605527</v>
      </c>
      <c r="J79" s="12">
        <f t="shared" si="13"/>
        <v>31.088494486943578</v>
      </c>
      <c r="K79" s="12">
        <f t="shared" si="14"/>
        <v>3.8423981950155022</v>
      </c>
    </row>
    <row r="80" spans="2:11" x14ac:dyDescent="0.25">
      <c r="B80" s="10">
        <v>76</v>
      </c>
      <c r="C80" s="11">
        <v>43967</v>
      </c>
      <c r="D80" s="12">
        <f t="shared" si="9"/>
        <v>191097.76269854358</v>
      </c>
      <c r="E80" s="12">
        <f t="shared" si="10"/>
        <v>1262.6639394525171</v>
      </c>
      <c r="F80" s="12">
        <f t="shared" si="11"/>
        <v>381.43029218347021</v>
      </c>
      <c r="G80" s="12">
        <f t="shared" si="11"/>
        <v>47.143069820428956</v>
      </c>
      <c r="H80" s="9"/>
      <c r="I80" s="12">
        <f t="shared" si="12"/>
        <v>150.66546344973025</v>
      </c>
      <c r="J80" s="12">
        <f t="shared" si="13"/>
        <v>34.126849780775188</v>
      </c>
      <c r="K80" s="12">
        <f t="shared" si="14"/>
        <v>4.2179252538036787</v>
      </c>
    </row>
    <row r="81" spans="2:11" x14ac:dyDescent="0.25">
      <c r="B81" s="10">
        <v>77</v>
      </c>
      <c r="C81" s="11">
        <v>43968</v>
      </c>
      <c r="D81" s="12">
        <f t="shared" si="9"/>
        <v>190932.51277297959</v>
      </c>
      <c r="E81" s="12">
        <f t="shared" si="10"/>
        <v>1385.8250670347427</v>
      </c>
      <c r="F81" s="12">
        <f t="shared" si="11"/>
        <v>418.88932238722822</v>
      </c>
      <c r="G81" s="12">
        <f t="shared" si="11"/>
        <v>51.772837598421525</v>
      </c>
      <c r="H81" s="9"/>
      <c r="I81" s="12">
        <f t="shared" si="12"/>
        <v>165.24992556397609</v>
      </c>
      <c r="J81" s="12">
        <f t="shared" si="13"/>
        <v>37.459030203757997</v>
      </c>
      <c r="K81" s="12">
        <f t="shared" si="14"/>
        <v>4.6297677779925666</v>
      </c>
    </row>
    <row r="82" spans="2:11" x14ac:dyDescent="0.25">
      <c r="B82" s="10">
        <v>78</v>
      </c>
      <c r="C82" s="11">
        <v>43969</v>
      </c>
      <c r="D82" s="12">
        <f t="shared" si="9"/>
        <v>190751.29673734654</v>
      </c>
      <c r="E82" s="12">
        <f t="shared" si="10"/>
        <v>1520.8469337666493</v>
      </c>
      <c r="F82" s="12">
        <f t="shared" si="11"/>
        <v>460.00213270925894</v>
      </c>
      <c r="G82" s="12">
        <f t="shared" si="11"/>
        <v>56.854196177548921</v>
      </c>
      <c r="H82" s="9"/>
      <c r="I82" s="12">
        <f t="shared" si="12"/>
        <v>181.21603563306485</v>
      </c>
      <c r="J82" s="12">
        <f t="shared" si="13"/>
        <v>41.112810322030697</v>
      </c>
      <c r="K82" s="12">
        <f t="shared" si="14"/>
        <v>5.0813585791273947</v>
      </c>
    </row>
    <row r="83" spans="2:11" x14ac:dyDescent="0.25">
      <c r="B83" s="10">
        <v>79</v>
      </c>
      <c r="C83" s="11">
        <v>43970</v>
      </c>
      <c r="D83" s="12">
        <f t="shared" si="9"/>
        <v>190552.60821495214</v>
      </c>
      <c r="E83" s="12">
        <f t="shared" si="10"/>
        <v>1668.8405583688132</v>
      </c>
      <c r="F83" s="12">
        <f t="shared" si="11"/>
        <v>505.1205917443362</v>
      </c>
      <c r="G83" s="12">
        <f t="shared" si="11"/>
        <v>62.430634934693309</v>
      </c>
      <c r="H83" s="9"/>
      <c r="I83" s="12">
        <f t="shared" si="12"/>
        <v>198.68852239438556</v>
      </c>
      <c r="J83" s="12">
        <f t="shared" si="13"/>
        <v>45.118459035077258</v>
      </c>
      <c r="K83" s="12">
        <f t="shared" si="14"/>
        <v>5.5764387571443859</v>
      </c>
    </row>
    <row r="84" spans="2:11" x14ac:dyDescent="0.25">
      <c r="B84" s="10">
        <v>80</v>
      </c>
      <c r="C84" s="11">
        <v>43971</v>
      </c>
      <c r="D84" s="12">
        <f t="shared" si="9"/>
        <v>190334.80610431195</v>
      </c>
      <c r="E84" s="12">
        <f t="shared" si="10"/>
        <v>1831.0146503967073</v>
      </c>
      <c r="F84" s="12">
        <f t="shared" si="11"/>
        <v>554.6295283092777</v>
      </c>
      <c r="G84" s="12">
        <f t="shared" si="11"/>
        <v>68.549716982045624</v>
      </c>
      <c r="H84" s="9"/>
      <c r="I84" s="12">
        <f t="shared" si="12"/>
        <v>217.80211064018803</v>
      </c>
      <c r="J84" s="12">
        <f t="shared" si="13"/>
        <v>49.50893656494145</v>
      </c>
      <c r="K84" s="12">
        <f t="shared" si="14"/>
        <v>6.1190820473523209</v>
      </c>
    </row>
    <row r="85" spans="2:11" x14ac:dyDescent="0.25">
      <c r="B85" s="10">
        <v>81</v>
      </c>
      <c r="C85" s="11">
        <v>43972</v>
      </c>
      <c r="D85" s="12">
        <f t="shared" si="9"/>
        <v>190096.10404664851</v>
      </c>
      <c r="E85" s="12">
        <f t="shared" si="10"/>
        <v>2008.6828863802432</v>
      </c>
      <c r="F85" s="12">
        <f t="shared" si="11"/>
        <v>608.94962960437999</v>
      </c>
      <c r="G85" s="12">
        <f t="shared" si="11"/>
        <v>75.263437366833557</v>
      </c>
      <c r="H85" s="9"/>
      <c r="I85" s="12">
        <f t="shared" si="12"/>
        <v>238.70205766342593</v>
      </c>
      <c r="J85" s="12">
        <f t="shared" si="13"/>
        <v>54.320101295102312</v>
      </c>
      <c r="K85" s="12">
        <f t="shared" si="14"/>
        <v>6.7137203847879325</v>
      </c>
    </row>
    <row r="86" spans="2:11" x14ac:dyDescent="0.25">
      <c r="B86" s="10">
        <v>82</v>
      </c>
      <c r="C86" s="11">
        <v>43973</v>
      </c>
      <c r="D86" s="12">
        <f t="shared" si="9"/>
        <v>189834.55938820046</v>
      </c>
      <c r="E86" s="12">
        <f t="shared" si="10"/>
        <v>2203.2714486156115</v>
      </c>
      <c r="F86" s="12">
        <f t="shared" ref="F86:G101" si="15">F85+J86</f>
        <v>668.54055523366048</v>
      </c>
      <c r="G86" s="12">
        <f t="shared" si="15"/>
        <v>82.628607950227789</v>
      </c>
      <c r="H86" s="9"/>
      <c r="I86" s="12">
        <f t="shared" si="12"/>
        <v>261.54465844804315</v>
      </c>
      <c r="J86" s="12">
        <f t="shared" si="13"/>
        <v>59.590925629280541</v>
      </c>
      <c r="K86" s="12">
        <f t="shared" si="14"/>
        <v>7.3651705833942316</v>
      </c>
    </row>
    <row r="87" spans="2:11" x14ac:dyDescent="0.25">
      <c r="B87" s="10">
        <v>83</v>
      </c>
      <c r="C87" s="11">
        <v>43974</v>
      </c>
      <c r="D87" s="12">
        <f t="shared" si="9"/>
        <v>189548.06168635297</v>
      </c>
      <c r="E87" s="12">
        <f t="shared" si="10"/>
        <v>2416.3267688425863</v>
      </c>
      <c r="F87" s="12">
        <f t="shared" si="15"/>
        <v>733.90427487592365</v>
      </c>
      <c r="G87" s="12">
        <f t="shared" si="15"/>
        <v>90.707269928485033</v>
      </c>
      <c r="H87" s="9"/>
      <c r="I87" s="12">
        <f t="shared" si="12"/>
        <v>286.49770184749536</v>
      </c>
      <c r="J87" s="12">
        <f t="shared" si="13"/>
        <v>65.363719642263135</v>
      </c>
      <c r="K87" s="12">
        <f t="shared" si="14"/>
        <v>8.0786619782572497</v>
      </c>
    </row>
    <row r="88" spans="2:11" x14ac:dyDescent="0.25">
      <c r="B88" s="10">
        <v>84</v>
      </c>
      <c r="C88" s="11">
        <v>43975</v>
      </c>
      <c r="D88" s="12">
        <f t="shared" si="9"/>
        <v>189234.32083031902</v>
      </c>
      <c r="E88" s="12">
        <f t="shared" si="10"/>
        <v>2649.5233992484577</v>
      </c>
      <c r="F88" s="12">
        <f t="shared" si="15"/>
        <v>805.5886356849204</v>
      </c>
      <c r="G88" s="12">
        <f t="shared" si="15"/>
        <v>99.567134747574528</v>
      </c>
      <c r="H88" s="9"/>
      <c r="I88" s="12">
        <f t="shared" si="12"/>
        <v>313.74085603395764</v>
      </c>
      <c r="J88" s="12">
        <f t="shared" si="13"/>
        <v>71.684360808996715</v>
      </c>
      <c r="K88" s="12">
        <f t="shared" si="14"/>
        <v>8.8598648190894913</v>
      </c>
    </row>
    <row r="89" spans="2:11" x14ac:dyDescent="0.25">
      <c r="B89" s="10">
        <v>85</v>
      </c>
      <c r="C89" s="11">
        <v>43976</v>
      </c>
      <c r="D89" s="12">
        <f t="shared" si="9"/>
        <v>188890.85487338848</v>
      </c>
      <c r="E89" s="12">
        <f t="shared" si="10"/>
        <v>2904.6719095373896</v>
      </c>
      <c r="F89" s="12">
        <f t="shared" si="15"/>
        <v>884.19116319595798</v>
      </c>
      <c r="G89" s="12">
        <f t="shared" si="15"/>
        <v>109.28205387815221</v>
      </c>
      <c r="H89" s="9"/>
      <c r="I89" s="12">
        <f t="shared" si="12"/>
        <v>343.46595693054672</v>
      </c>
      <c r="J89" s="12">
        <f t="shared" si="13"/>
        <v>78.602527511037565</v>
      </c>
      <c r="K89" s="12">
        <f t="shared" si="14"/>
        <v>9.7149191305776874</v>
      </c>
    </row>
    <row r="90" spans="2:11" x14ac:dyDescent="0.25">
      <c r="B90" s="10">
        <v>86</v>
      </c>
      <c r="C90" s="11">
        <v>43977</v>
      </c>
      <c r="D90" s="12">
        <f t="shared" si="9"/>
        <v>188514.97770526854</v>
      </c>
      <c r="E90" s="12">
        <f t="shared" si="10"/>
        <v>3183.7266806727603</v>
      </c>
      <c r="F90" s="12">
        <f t="shared" si="15"/>
        <v>970.36309651223382</v>
      </c>
      <c r="G90" s="12">
        <f t="shared" si="15"/>
        <v>119.93251754645598</v>
      </c>
      <c r="H90" s="9"/>
      <c r="I90" s="12">
        <f t="shared" si="12"/>
        <v>375.87716811995034</v>
      </c>
      <c r="J90" s="12">
        <f t="shared" si="13"/>
        <v>86.171933316275883</v>
      </c>
      <c r="K90" s="12">
        <f t="shared" si="14"/>
        <v>10.65046366830377</v>
      </c>
    </row>
    <row r="91" spans="2:11" x14ac:dyDescent="0.25">
      <c r="B91" s="10">
        <v>87</v>
      </c>
      <c r="C91" s="11">
        <v>43978</v>
      </c>
      <c r="D91" s="12">
        <f t="shared" si="9"/>
        <v>188103.78673043736</v>
      </c>
      <c r="E91" s="12">
        <f t="shared" si="10"/>
        <v>3488.793432814844</v>
      </c>
      <c r="F91" s="12">
        <f t="shared" si="15"/>
        <v>1064.8136547055258</v>
      </c>
      <c r="G91" s="12">
        <f t="shared" si="15"/>
        <v>131.60618204225611</v>
      </c>
      <c r="H91" s="9"/>
      <c r="I91" s="12">
        <f t="shared" si="12"/>
        <v>411.19097483117554</v>
      </c>
      <c r="J91" s="12">
        <f t="shared" si="13"/>
        <v>94.450558193291883</v>
      </c>
      <c r="K91" s="12">
        <f t="shared" si="14"/>
        <v>11.67366449580013</v>
      </c>
    </row>
    <row r="92" spans="2:11" x14ac:dyDescent="0.25">
      <c r="B92" s="10">
        <v>88</v>
      </c>
      <c r="C92" s="11">
        <v>43979</v>
      </c>
      <c r="D92" s="12">
        <f t="shared" si="9"/>
        <v>187654.15076239465</v>
      </c>
      <c r="E92" s="12">
        <f t="shared" si="10"/>
        <v>3822.1362864303951</v>
      </c>
      <c r="F92" s="12">
        <f t="shared" si="15"/>
        <v>1168.3145265456994</v>
      </c>
      <c r="G92" s="12">
        <f t="shared" si="15"/>
        <v>144.39842462924389</v>
      </c>
      <c r="H92" s="9"/>
      <c r="I92" s="12">
        <f t="shared" si="12"/>
        <v>449.63596804271248</v>
      </c>
      <c r="J92" s="12">
        <f t="shared" si="13"/>
        <v>103.50087184017369</v>
      </c>
      <c r="K92" s="12">
        <f t="shared" si="14"/>
        <v>12.792242586987774</v>
      </c>
    </row>
    <row r="93" spans="2:11" x14ac:dyDescent="0.25">
      <c r="B93" s="10">
        <v>89</v>
      </c>
      <c r="C93" s="11">
        <v>43980</v>
      </c>
      <c r="D93" s="12">
        <f t="shared" si="9"/>
        <v>187162.69839485199</v>
      </c>
      <c r="E93" s="12">
        <f t="shared" si="10"/>
        <v>4186.1841110920304</v>
      </c>
      <c r="F93" s="12">
        <f t="shared" si="15"/>
        <v>1281.704569709801</v>
      </c>
      <c r="G93" s="12">
        <f t="shared" si="15"/>
        <v>158.41292434615536</v>
      </c>
      <c r="H93" s="9"/>
      <c r="I93" s="12">
        <f t="shared" si="12"/>
        <v>491.45236754264846</v>
      </c>
      <c r="J93" s="12">
        <f t="shared" si="13"/>
        <v>113.3900431641017</v>
      </c>
      <c r="K93" s="12">
        <f t="shared" si="14"/>
        <v>14.014499716911462</v>
      </c>
    </row>
    <row r="94" spans="2:11" x14ac:dyDescent="0.25">
      <c r="B94" s="10">
        <v>90</v>
      </c>
      <c r="C94" s="11">
        <v>43981</v>
      </c>
      <c r="D94" s="12">
        <f t="shared" si="9"/>
        <v>186625.80716980965</v>
      </c>
      <c r="E94" s="12">
        <f t="shared" si="10"/>
        <v>4583.5358657646339</v>
      </c>
      <c r="F94" s="12">
        <f t="shared" si="15"/>
        <v>1405.8946983388646</v>
      </c>
      <c r="G94" s="12">
        <f t="shared" si="15"/>
        <v>173.76226608682614</v>
      </c>
      <c r="H94" s="9"/>
      <c r="I94" s="12">
        <f t="shared" si="12"/>
        <v>536.89122504233717</v>
      </c>
      <c r="J94" s="12">
        <f t="shared" si="13"/>
        <v>124.19012862906355</v>
      </c>
      <c r="K94" s="12">
        <f t="shared" si="14"/>
        <v>15.349341740670791</v>
      </c>
    </row>
    <row r="95" spans="2:11" x14ac:dyDescent="0.25">
      <c r="B95" s="10">
        <v>91</v>
      </c>
      <c r="C95" s="13">
        <v>43982</v>
      </c>
      <c r="D95" s="12">
        <f t="shared" si="9"/>
        <v>186039.59392950268</v>
      </c>
      <c r="E95" s="12">
        <f t="shared" si="10"/>
        <v>5016.9645772127733</v>
      </c>
      <c r="F95" s="12">
        <f t="shared" si="15"/>
        <v>1541.8729290232154</v>
      </c>
      <c r="G95" s="12">
        <f t="shared" si="15"/>
        <v>190.56856426129647</v>
      </c>
      <c r="H95" s="9"/>
      <c r="I95" s="12">
        <f t="shared" si="12"/>
        <v>586.21324030696076</v>
      </c>
      <c r="J95" s="12">
        <f t="shared" si="13"/>
        <v>135.97823068435079</v>
      </c>
      <c r="K95" s="12">
        <f t="shared" si="14"/>
        <v>16.806298174470339</v>
      </c>
    </row>
    <row r="96" spans="2:11" x14ac:dyDescent="0.25">
      <c r="B96" s="10">
        <v>92</v>
      </c>
      <c r="C96" s="11">
        <v>43983</v>
      </c>
      <c r="D96" s="12">
        <f t="shared" si="9"/>
        <v>185399.90681451207</v>
      </c>
      <c r="E96" s="12">
        <f t="shared" si="10"/>
        <v>5489.4195396296218</v>
      </c>
      <c r="F96" s="12">
        <f t="shared" si="15"/>
        <v>1690.7095448138609</v>
      </c>
      <c r="G96" s="12">
        <f t="shared" si="15"/>
        <v>208.96410104441</v>
      </c>
      <c r="H96" s="9"/>
      <c r="I96" s="12">
        <f t="shared" si="12"/>
        <v>639.68711499060726</v>
      </c>
      <c r="J96" s="12">
        <f t="shared" si="13"/>
        <v>148.8366157906456</v>
      </c>
      <c r="K96" s="12">
        <f t="shared" si="14"/>
        <v>18.395536783113521</v>
      </c>
    </row>
    <row r="97" spans="2:11" x14ac:dyDescent="0.25">
      <c r="B97" s="10">
        <v>93</v>
      </c>
      <c r="C97" s="11">
        <v>43984</v>
      </c>
      <c r="D97" s="12">
        <f t="shared" si="9"/>
        <v>184702.31945370475</v>
      </c>
      <c r="E97" s="12">
        <f t="shared" si="10"/>
        <v>6004.0262491159383</v>
      </c>
      <c r="F97" s="12">
        <f t="shared" si="15"/>
        <v>1853.5623244895396</v>
      </c>
      <c r="G97" s="12">
        <f t="shared" si="15"/>
        <v>229.09197268971863</v>
      </c>
      <c r="H97" s="9"/>
      <c r="I97" s="12">
        <f t="shared" si="12"/>
        <v>697.58736080730444</v>
      </c>
      <c r="J97" s="12">
        <f t="shared" si="13"/>
        <v>162.85277967567876</v>
      </c>
      <c r="K97" s="12">
        <f t="shared" si="14"/>
        <v>20.12787164530863</v>
      </c>
    </row>
    <row r="98" spans="2:11" x14ac:dyDescent="0.25">
      <c r="B98" s="10">
        <v>94</v>
      </c>
      <c r="C98" s="11">
        <v>43985</v>
      </c>
      <c r="D98" s="12">
        <f t="shared" si="9"/>
        <v>183942.12798236677</v>
      </c>
      <c r="E98" s="12">
        <f t="shared" si="10"/>
        <v>6564.0835121500613</v>
      </c>
      <c r="F98" s="12">
        <f t="shared" si="15"/>
        <v>2031.6817698799791</v>
      </c>
      <c r="G98" s="12">
        <f t="shared" si="15"/>
        <v>251.10673560314376</v>
      </c>
      <c r="H98" s="9"/>
      <c r="I98" s="12">
        <f t="shared" si="12"/>
        <v>760.19147133798788</v>
      </c>
      <c r="J98" s="12">
        <f t="shared" si="13"/>
        <v>178.11944539043949</v>
      </c>
      <c r="K98" s="12">
        <f t="shared" si="14"/>
        <v>22.014762913425127</v>
      </c>
    </row>
    <row r="99" spans="2:11" x14ac:dyDescent="0.25">
      <c r="B99" s="10">
        <v>95</v>
      </c>
      <c r="C99" s="11">
        <v>43986</v>
      </c>
      <c r="D99" s="12">
        <f t="shared" si="9"/>
        <v>183114.35162152155</v>
      </c>
      <c r="E99" s="12">
        <f t="shared" si="10"/>
        <v>7173.0570892569485</v>
      </c>
      <c r="F99" s="12">
        <f t="shared" si="15"/>
        <v>2226.4162474070977</v>
      </c>
      <c r="G99" s="12">
        <f t="shared" si="15"/>
        <v>275.17504181436067</v>
      </c>
      <c r="H99" s="9"/>
      <c r="I99" s="12">
        <f t="shared" si="12"/>
        <v>827.77636084522226</v>
      </c>
      <c r="J99" s="12">
        <f t="shared" si="13"/>
        <v>194.73447752711846</v>
      </c>
      <c r="K99" s="12">
        <f t="shared" si="14"/>
        <v>24.068306211216914</v>
      </c>
    </row>
    <row r="100" spans="2:11" x14ac:dyDescent="0.25">
      <c r="B100" s="10">
        <v>96</v>
      </c>
      <c r="C100" s="11">
        <v>43987</v>
      </c>
      <c r="D100" s="12">
        <f t="shared" si="9"/>
        <v>182213.73765169681</v>
      </c>
      <c r="E100" s="12">
        <f t="shared" si="10"/>
        <v>7834.5691561064468</v>
      </c>
      <c r="F100" s="12">
        <f t="shared" si="15"/>
        <v>2439.2169410550537</v>
      </c>
      <c r="G100" s="12">
        <f t="shared" si="15"/>
        <v>301.47625114163617</v>
      </c>
      <c r="H100" s="9"/>
      <c r="I100" s="12">
        <f t="shared" si="12"/>
        <v>900.61396982473013</v>
      </c>
      <c r="J100" s="12">
        <f t="shared" si="13"/>
        <v>212.80069364795611</v>
      </c>
      <c r="K100" s="12">
        <f t="shared" si="14"/>
        <v>26.301209327275501</v>
      </c>
    </row>
    <row r="101" spans="2:11" x14ac:dyDescent="0.25">
      <c r="B101" s="10">
        <v>97</v>
      </c>
      <c r="C101" s="11">
        <v>43988</v>
      </c>
      <c r="D101" s="12">
        <f t="shared" si="9"/>
        <v>181234.77171491878</v>
      </c>
      <c r="E101" s="12">
        <f t="shared" si="10"/>
        <v>8552.3827876809119</v>
      </c>
      <c r="F101" s="12">
        <f t="shared" si="15"/>
        <v>2671.6424926862114</v>
      </c>
      <c r="G101" s="12">
        <f t="shared" si="15"/>
        <v>330.20300471402652</v>
      </c>
      <c r="H101" s="9"/>
      <c r="I101" s="12">
        <f t="shared" si="12"/>
        <v>978.96593677801241</v>
      </c>
      <c r="J101" s="12">
        <f t="shared" si="13"/>
        <v>232.4255516311579</v>
      </c>
      <c r="K101" s="12">
        <f t="shared" si="14"/>
        <v>28.726753572390333</v>
      </c>
    </row>
    <row r="102" spans="2:11" x14ac:dyDescent="0.25">
      <c r="B102" s="10">
        <v>98</v>
      </c>
      <c r="C102" s="11">
        <v>43989</v>
      </c>
      <c r="D102" s="12">
        <f t="shared" si="9"/>
        <v>180171.69447471338</v>
      </c>
      <c r="E102" s="12">
        <f t="shared" si="10"/>
        <v>9330.3806016302897</v>
      </c>
      <c r="F102" s="12">
        <f t="shared" ref="F102:G117" si="16">F101+J102</f>
        <v>2925.3631820540786</v>
      </c>
      <c r="G102" s="12">
        <f t="shared" si="16"/>
        <v>361.5617416021899</v>
      </c>
      <c r="H102" s="9"/>
      <c r="I102" s="12">
        <f t="shared" si="12"/>
        <v>1063.0772402054083</v>
      </c>
      <c r="J102" s="12">
        <f t="shared" si="13"/>
        <v>253.72068936786704</v>
      </c>
      <c r="K102" s="12">
        <f t="shared" si="14"/>
        <v>31.358736888163371</v>
      </c>
    </row>
    <row r="103" spans="2:11" x14ac:dyDescent="0.25">
      <c r="B103" s="10">
        <v>99</v>
      </c>
      <c r="C103" s="11">
        <v>43990</v>
      </c>
      <c r="D103" s="12">
        <f t="shared" si="9"/>
        <v>179018.52574900459</v>
      </c>
      <c r="E103" s="12">
        <f t="shared" si="10"/>
        <v>10172.536640618073</v>
      </c>
      <c r="F103" s="12">
        <f t="shared" si="16"/>
        <v>3202.1644732357772</v>
      </c>
      <c r="G103" s="12">
        <f t="shared" si="16"/>
        <v>395.77313714150097</v>
      </c>
      <c r="H103" s="9"/>
      <c r="I103" s="12">
        <f t="shared" si="12"/>
        <v>1153.1687257087917</v>
      </c>
      <c r="J103" s="12">
        <f t="shared" si="13"/>
        <v>276.80129118169856</v>
      </c>
      <c r="K103" s="12">
        <f t="shared" si="14"/>
        <v>34.211395539311091</v>
      </c>
    </row>
    <row r="104" spans="2:11" x14ac:dyDescent="0.25">
      <c r="B104" s="10">
        <v>100</v>
      </c>
      <c r="C104" s="11">
        <v>43991</v>
      </c>
      <c r="D104" s="12">
        <f t="shared" si="9"/>
        <v>177769.09729679892</v>
      </c>
      <c r="E104" s="12">
        <f t="shared" si="10"/>
        <v>11082.880538136475</v>
      </c>
      <c r="F104" s="12">
        <f t="shared" si="16"/>
        <v>3503.9497269074468</v>
      </c>
      <c r="G104" s="12">
        <f t="shared" si="16"/>
        <v>433.07243815710058</v>
      </c>
      <c r="H104" s="9"/>
      <c r="I104" s="12">
        <f t="shared" si="12"/>
        <v>1249.4284522056705</v>
      </c>
      <c r="J104" s="12">
        <f t="shared" si="13"/>
        <v>301.78525367166947</v>
      </c>
      <c r="K104" s="12">
        <f t="shared" si="14"/>
        <v>37.299301015599639</v>
      </c>
    </row>
    <row r="105" spans="2:11" x14ac:dyDescent="0.25">
      <c r="B105" s="10">
        <v>101</v>
      </c>
      <c r="C105" s="11">
        <v>43992</v>
      </c>
      <c r="D105" s="12">
        <f t="shared" si="9"/>
        <v>176417.09547618189</v>
      </c>
      <c r="E105" s="12">
        <f t="shared" si="10"/>
        <v>12065.453007482278</v>
      </c>
      <c r="F105" s="12">
        <f t="shared" si="16"/>
        <v>3832.7418495388288</v>
      </c>
      <c r="G105" s="12">
        <f t="shared" si="16"/>
        <v>473.70966679693436</v>
      </c>
      <c r="H105" s="9"/>
      <c r="I105" s="12">
        <f t="shared" si="12"/>
        <v>1352.0018206170207</v>
      </c>
      <c r="J105" s="12">
        <f t="shared" si="13"/>
        <v>328.79212263138203</v>
      </c>
      <c r="K105" s="12">
        <f t="shared" si="14"/>
        <v>40.637228639833779</v>
      </c>
    </row>
    <row r="106" spans="2:11" x14ac:dyDescent="0.25">
      <c r="B106" s="10">
        <v>102</v>
      </c>
      <c r="C106" s="11">
        <v>43993</v>
      </c>
      <c r="D106" s="12">
        <f t="shared" si="9"/>
        <v>174956.11498608391</v>
      </c>
      <c r="E106" s="12">
        <f t="shared" si="10"/>
        <v>13124.251730664188</v>
      </c>
      <c r="F106" s="12">
        <f t="shared" si="16"/>
        <v>4190.6836220941359</v>
      </c>
      <c r="G106" s="12">
        <f t="shared" si="16"/>
        <v>517.94966115770274</v>
      </c>
      <c r="H106" s="9"/>
      <c r="I106" s="12">
        <f t="shared" si="12"/>
        <v>1460.9804900979843</v>
      </c>
      <c r="J106" s="12">
        <f t="shared" si="13"/>
        <v>357.94177255530752</v>
      </c>
      <c r="K106" s="12">
        <f t="shared" si="14"/>
        <v>44.239994360768392</v>
      </c>
    </row>
    <row r="107" spans="2:11" x14ac:dyDescent="0.25">
      <c r="B107" s="10">
        <v>103</v>
      </c>
      <c r="C107" s="11">
        <v>43994</v>
      </c>
      <c r="D107" s="12">
        <f t="shared" si="9"/>
        <v>173379.72484314675</v>
      </c>
      <c r="E107" s="12">
        <f t="shared" si="10"/>
        <v>14263.166815912535</v>
      </c>
      <c r="F107" s="12">
        <f t="shared" si="16"/>
        <v>4580.0364234371737</v>
      </c>
      <c r="G107" s="12">
        <f t="shared" si="16"/>
        <v>566.07191750347147</v>
      </c>
      <c r="H107" s="9"/>
      <c r="I107" s="12">
        <f t="shared" si="12"/>
        <v>1576.3901429371529</v>
      </c>
      <c r="J107" s="12">
        <f t="shared" si="13"/>
        <v>389.35280134303753</v>
      </c>
      <c r="K107" s="12">
        <f t="shared" si="14"/>
        <v>48.122256345768733</v>
      </c>
    </row>
    <row r="108" spans="2:11" x14ac:dyDescent="0.25">
      <c r="B108" s="10">
        <v>104</v>
      </c>
      <c r="C108" s="11">
        <v>43995</v>
      </c>
      <c r="D108" s="12">
        <f t="shared" si="9"/>
        <v>171681.54761182654</v>
      </c>
      <c r="E108" s="12">
        <f t="shared" si="10"/>
        <v>15485.905153368985</v>
      </c>
      <c r="F108" s="12">
        <f t="shared" si="16"/>
        <v>5003.1770389759122</v>
      </c>
      <c r="G108" s="12">
        <f t="shared" si="16"/>
        <v>618.37019582848416</v>
      </c>
      <c r="H108" s="9"/>
      <c r="I108" s="12">
        <f t="shared" si="12"/>
        <v>1698.1772313202005</v>
      </c>
      <c r="J108" s="12">
        <f t="shared" si="13"/>
        <v>423.14061553873847</v>
      </c>
      <c r="K108" s="12">
        <f t="shared" si="14"/>
        <v>52.298278325012674</v>
      </c>
    </row>
    <row r="109" spans="2:11" x14ac:dyDescent="0.25">
      <c r="B109" s="10">
        <v>105</v>
      </c>
      <c r="C109" s="11">
        <v>43996</v>
      </c>
      <c r="D109" s="12">
        <f t="shared" si="9"/>
        <v>169855.35268359809</v>
      </c>
      <c r="E109" s="12">
        <f t="shared" si="10"/>
        <v>16795.903243151806</v>
      </c>
      <c r="F109" s="12">
        <f t="shared" si="16"/>
        <v>5462.5922251925258</v>
      </c>
      <c r="G109" s="12">
        <f t="shared" si="16"/>
        <v>675.1518480575038</v>
      </c>
      <c r="H109" s="9"/>
      <c r="I109" s="12">
        <f t="shared" si="12"/>
        <v>1826.1949282284552</v>
      </c>
      <c r="J109" s="12">
        <f t="shared" si="13"/>
        <v>459.41518621661322</v>
      </c>
      <c r="K109" s="12">
        <f t="shared" si="14"/>
        <v>56.781652229019663</v>
      </c>
    </row>
    <row r="110" spans="2:11" x14ac:dyDescent="0.25">
      <c r="B110" s="10">
        <v>106</v>
      </c>
      <c r="C110" s="11">
        <v>43997</v>
      </c>
      <c r="D110" s="12">
        <f t="shared" si="9"/>
        <v>167895.16407287991</v>
      </c>
      <c r="E110" s="12">
        <f t="shared" si="10"/>
        <v>18196.228412431585</v>
      </c>
      <c r="F110" s="12">
        <f t="shared" si="16"/>
        <v>5960.8706880726959</v>
      </c>
      <c r="G110" s="12">
        <f t="shared" si="16"/>
        <v>736.73682661572718</v>
      </c>
      <c r="H110" s="9"/>
      <c r="I110" s="12">
        <f t="shared" si="12"/>
        <v>1960.1886107181745</v>
      </c>
      <c r="J110" s="12">
        <f t="shared" si="13"/>
        <v>498.2784628801702</v>
      </c>
      <c r="K110" s="12">
        <f t="shared" si="14"/>
        <v>61.584978558223348</v>
      </c>
    </row>
    <row r="111" spans="2:11" x14ac:dyDescent="0.25">
      <c r="B111" s="10">
        <v>107</v>
      </c>
      <c r="C111" s="11">
        <v>43998</v>
      </c>
      <c r="D111" s="12">
        <f t="shared" si="9"/>
        <v>165795.38274788079</v>
      </c>
      <c r="E111" s="12">
        <f t="shared" si="10"/>
        <v>19689.46879034966</v>
      </c>
      <c r="F111" s="12">
        <f t="shared" si="16"/>
        <v>6500.6921309748332</v>
      </c>
      <c r="G111" s="12">
        <f t="shared" si="16"/>
        <v>803.45633079464301</v>
      </c>
      <c r="H111" s="9"/>
      <c r="I111" s="12">
        <f t="shared" si="12"/>
        <v>2099.7813249991268</v>
      </c>
      <c r="J111" s="12">
        <f t="shared" si="13"/>
        <v>539.82144290213694</v>
      </c>
      <c r="K111" s="12">
        <f t="shared" si="14"/>
        <v>66.719504178915869</v>
      </c>
    </row>
    <row r="112" spans="2:11" x14ac:dyDescent="0.25">
      <c r="B112" s="10">
        <v>108</v>
      </c>
      <c r="C112" s="11">
        <v>43999</v>
      </c>
      <c r="D112" s="12">
        <f t="shared" si="9"/>
        <v>163550.92293263212</v>
      </c>
      <c r="E112" s="12">
        <f t="shared" si="10"/>
        <v>21277.612979253336</v>
      </c>
      <c r="F112" s="12">
        <f t="shared" si="16"/>
        <v>7084.813038421873</v>
      </c>
      <c r="G112" s="12">
        <f t="shared" si="16"/>
        <v>875.65104969259187</v>
      </c>
      <c r="H112" s="9"/>
      <c r="I112" s="12">
        <f t="shared" si="12"/>
        <v>2244.4598152486637</v>
      </c>
      <c r="J112" s="12">
        <f t="shared" si="13"/>
        <v>584.12090744703994</v>
      </c>
      <c r="K112" s="12">
        <f t="shared" si="14"/>
        <v>72.194718897948817</v>
      </c>
    </row>
    <row r="113" spans="2:11" x14ac:dyDescent="0.25">
      <c r="B113" s="10">
        <v>109</v>
      </c>
      <c r="C113" s="11">
        <v>44000</v>
      </c>
      <c r="D113" s="12">
        <f t="shared" si="9"/>
        <v>161157.36109721809</v>
      </c>
      <c r="E113" s="12">
        <f t="shared" si="10"/>
        <v>22961.921048692257</v>
      </c>
      <c r="F113" s="12">
        <f t="shared" si="16"/>
        <v>7716.0488901397221</v>
      </c>
      <c r="G113" s="12">
        <f t="shared" si="16"/>
        <v>953.66896394985417</v>
      </c>
      <c r="H113" s="9"/>
      <c r="I113" s="12">
        <f t="shared" si="12"/>
        <v>2393.5618354140306</v>
      </c>
      <c r="J113" s="12">
        <f t="shared" si="13"/>
        <v>631.23585171784885</v>
      </c>
      <c r="K113" s="12">
        <f t="shared" si="14"/>
        <v>78.017914257262291</v>
      </c>
    </row>
    <row r="114" spans="2:11" x14ac:dyDescent="0.25">
      <c r="B114" s="10">
        <v>110</v>
      </c>
      <c r="C114" s="11">
        <v>44001</v>
      </c>
      <c r="D114" s="12">
        <f t="shared" si="9"/>
        <v>158611.09550152885</v>
      </c>
      <c r="E114" s="12">
        <f t="shared" si="10"/>
        <v>24742.789276091742</v>
      </c>
      <c r="F114" s="12">
        <f t="shared" si="16"/>
        <v>8397.2525479175929</v>
      </c>
      <c r="G114" s="12">
        <f t="shared" si="16"/>
        <v>1037.8626744617259</v>
      </c>
      <c r="H114" s="9"/>
      <c r="I114" s="12">
        <f t="shared" si="12"/>
        <v>2546.2655956892277</v>
      </c>
      <c r="J114" s="12">
        <f t="shared" si="13"/>
        <v>681.20365777787026</v>
      </c>
      <c r="K114" s="12">
        <f t="shared" si="14"/>
        <v>84.193710511871672</v>
      </c>
    </row>
    <row r="115" spans="2:11" x14ac:dyDescent="0.25">
      <c r="B115" s="10">
        <v>111</v>
      </c>
      <c r="C115" s="11">
        <v>44002</v>
      </c>
      <c r="D115" s="12">
        <f t="shared" si="9"/>
        <v>155909.51319166232</v>
      </c>
      <c r="E115" s="12">
        <f t="shared" si="10"/>
        <v>26619.611943421871</v>
      </c>
      <c r="F115" s="12">
        <f t="shared" si="16"/>
        <v>9131.288629774981</v>
      </c>
      <c r="G115" s="12">
        <f t="shared" si="16"/>
        <v>1128.5862351407291</v>
      </c>
      <c r="H115" s="9"/>
      <c r="I115" s="12">
        <f t="shared" si="12"/>
        <v>2701.5823098665201</v>
      </c>
      <c r="J115" s="12">
        <f t="shared" si="13"/>
        <v>734.03608185738824</v>
      </c>
      <c r="K115" s="12">
        <f t="shared" si="14"/>
        <v>90.723560679003143</v>
      </c>
    </row>
    <row r="116" spans="2:11" x14ac:dyDescent="0.25">
      <c r="B116" s="10">
        <v>112</v>
      </c>
      <c r="C116" s="11">
        <v>44003</v>
      </c>
      <c r="D116" s="12">
        <f t="shared" si="9"/>
        <v>153051.16030153711</v>
      </c>
      <c r="E116" s="12">
        <f t="shared" si="10"/>
        <v>28590.644435433038</v>
      </c>
      <c r="F116" s="12">
        <f t="shared" si="16"/>
        <v>9921.003784096496</v>
      </c>
      <c r="G116" s="12">
        <f t="shared" si="16"/>
        <v>1226.1914789332759</v>
      </c>
      <c r="H116" s="9"/>
      <c r="I116" s="12">
        <f t="shared" si="12"/>
        <v>2858.3528901252266</v>
      </c>
      <c r="J116" s="12">
        <f t="shared" si="13"/>
        <v>789.71515432151534</v>
      </c>
      <c r="K116" s="12">
        <f t="shared" si="14"/>
        <v>97.605243792546943</v>
      </c>
    </row>
    <row r="117" spans="2:11" x14ac:dyDescent="0.25">
      <c r="B117" s="10">
        <v>113</v>
      </c>
      <c r="C117" s="11">
        <v>44004</v>
      </c>
      <c r="D117" s="12">
        <f t="shared" si="9"/>
        <v>150035.91043822543</v>
      </c>
      <c r="E117" s="12">
        <f t="shared" si="10"/>
        <v>30652.872817563606</v>
      </c>
      <c r="F117" s="12">
        <f t="shared" si="16"/>
        <v>10769.192902347677</v>
      </c>
      <c r="G117" s="12">
        <f t="shared" si="16"/>
        <v>1331.023841863197</v>
      </c>
      <c r="H117" s="9"/>
      <c r="I117" s="12">
        <f t="shared" si="12"/>
        <v>3015.2498633116707</v>
      </c>
      <c r="J117" s="12">
        <f t="shared" si="13"/>
        <v>848.18911825118005</v>
      </c>
      <c r="K117" s="12">
        <f t="shared" si="14"/>
        <v>104.83236292992123</v>
      </c>
    </row>
    <row r="118" spans="2:11" x14ac:dyDescent="0.25">
      <c r="B118" s="10">
        <v>114</v>
      </c>
      <c r="C118" s="11">
        <v>44005</v>
      </c>
      <c r="D118" s="12">
        <f t="shared" si="9"/>
        <v>146865.12490064625</v>
      </c>
      <c r="E118" s="12">
        <f t="shared" si="10"/>
        <v>32801.895927890655</v>
      </c>
      <c r="F118" s="12">
        <f t="shared" ref="F118:G133" si="17">F117+J118</f>
        <v>11678.561462602063</v>
      </c>
      <c r="G118" s="12">
        <f t="shared" si="17"/>
        <v>1443.4177088609304</v>
      </c>
      <c r="H118" s="9"/>
      <c r="I118" s="12">
        <f t="shared" si="12"/>
        <v>3170.7855375791733</v>
      </c>
      <c r="J118" s="12">
        <f t="shared" si="13"/>
        <v>909.36856025438681</v>
      </c>
      <c r="K118" s="12">
        <f t="shared" si="14"/>
        <v>112.39386699773333</v>
      </c>
    </row>
    <row r="119" spans="2:11" x14ac:dyDescent="0.25">
      <c r="B119" s="10">
        <v>115</v>
      </c>
      <c r="C119" s="11">
        <v>44006</v>
      </c>
      <c r="D119" s="12">
        <f t="shared" si="9"/>
        <v>143541.79758895058</v>
      </c>
      <c r="E119" s="12">
        <f t="shared" si="10"/>
        <v>35031.826708656619</v>
      </c>
      <c r="F119" s="12">
        <f t="shared" si="17"/>
        <v>12651.684375129485</v>
      </c>
      <c r="G119" s="12">
        <f t="shared" si="17"/>
        <v>1563.6913272631962</v>
      </c>
      <c r="H119" s="9"/>
      <c r="I119" s="12">
        <f t="shared" si="12"/>
        <v>3323.3273116956589</v>
      </c>
      <c r="J119" s="12">
        <f t="shared" si="13"/>
        <v>973.12291252742261</v>
      </c>
      <c r="K119" s="12">
        <f t="shared" si="14"/>
        <v>120.27361840226584</v>
      </c>
    </row>
    <row r="120" spans="2:11" x14ac:dyDescent="0.25">
      <c r="B120" s="10">
        <v>116</v>
      </c>
      <c r="C120" s="11">
        <v>44007</v>
      </c>
      <c r="D120" s="12">
        <f t="shared" si="9"/>
        <v>140070.67681220645</v>
      </c>
      <c r="E120" s="12">
        <f t="shared" si="10"/>
        <v>37335.21992844552</v>
      </c>
      <c r="F120" s="12">
        <f t="shared" si="17"/>
        <v>13690.961900819631</v>
      </c>
      <c r="G120" s="12">
        <f t="shared" si="17"/>
        <v>1692.1413585282705</v>
      </c>
      <c r="H120" s="9"/>
      <c r="I120" s="12">
        <f t="shared" si="12"/>
        <v>3471.1207767441206</v>
      </c>
      <c r="J120" s="12">
        <f t="shared" si="13"/>
        <v>1039.2775256901464</v>
      </c>
      <c r="K120" s="12">
        <f t="shared" si="14"/>
        <v>128.45003126507439</v>
      </c>
    </row>
    <row r="121" spans="2:11" x14ac:dyDescent="0.25">
      <c r="B121" s="10">
        <v>117</v>
      </c>
      <c r="C121" s="11">
        <v>44008</v>
      </c>
      <c r="D121" s="12">
        <f t="shared" si="9"/>
        <v>136458.35590794694</v>
      </c>
      <c r="E121" s="12">
        <f t="shared" si="10"/>
        <v>39703.033501756843</v>
      </c>
      <c r="F121" s="12">
        <f t="shared" si="17"/>
        <v>14798.573425363515</v>
      </c>
      <c r="G121" s="12">
        <f t="shared" si="17"/>
        <v>1829.0371649325709</v>
      </c>
      <c r="H121" s="9"/>
      <c r="I121" s="12">
        <f t="shared" si="12"/>
        <v>3612.3209042595099</v>
      </c>
      <c r="J121" s="12">
        <f t="shared" si="13"/>
        <v>1107.6115245438837</v>
      </c>
      <c r="K121" s="12">
        <f t="shared" si="14"/>
        <v>136.89580640430037</v>
      </c>
    </row>
    <row r="122" spans="2:11" x14ac:dyDescent="0.25">
      <c r="B122" s="10">
        <v>118</v>
      </c>
      <c r="C122" s="11">
        <v>44009</v>
      </c>
      <c r="D122" s="12">
        <f t="shared" si="9"/>
        <v>132713.3247577413</v>
      </c>
      <c r="E122" s="12">
        <f t="shared" si="10"/>
        <v>42124.630201903936</v>
      </c>
      <c r="F122" s="12">
        <f t="shared" si="17"/>
        <v>15976.430085915634</v>
      </c>
      <c r="G122" s="12">
        <f t="shared" si="17"/>
        <v>1974.6149544390128</v>
      </c>
      <c r="H122" s="9"/>
      <c r="I122" s="12">
        <f t="shared" si="12"/>
        <v>3745.031150205647</v>
      </c>
      <c r="J122" s="12">
        <f t="shared" si="13"/>
        <v>1177.8566605521196</v>
      </c>
      <c r="K122" s="12">
        <f t="shared" si="14"/>
        <v>145.57778950644189</v>
      </c>
    </row>
    <row r="123" spans="2:11" x14ac:dyDescent="0.25">
      <c r="B123" s="10">
        <v>119</v>
      </c>
      <c r="C123" s="11">
        <v>44010</v>
      </c>
      <c r="D123" s="12">
        <f t="shared" si="9"/>
        <v>128845.97500862555</v>
      </c>
      <c r="E123" s="12">
        <f t="shared" si="10"/>
        <v>44587.825610956206</v>
      </c>
      <c r="F123" s="12">
        <f t="shared" si="17"/>
        <v>17226.127448572119</v>
      </c>
      <c r="G123" s="12">
        <f t="shared" si="17"/>
        <v>2129.0719318459942</v>
      </c>
      <c r="H123" s="9"/>
      <c r="I123" s="12">
        <f t="shared" si="12"/>
        <v>3867.3497491157432</v>
      </c>
      <c r="J123" s="12">
        <f t="shared" si="13"/>
        <v>1249.6973626564834</v>
      </c>
      <c r="K123" s="12">
        <f t="shared" si="14"/>
        <v>154.45697740698125</v>
      </c>
    </row>
    <row r="124" spans="2:11" x14ac:dyDescent="0.25">
      <c r="B124" s="10">
        <v>120</v>
      </c>
      <c r="C124" s="11">
        <v>44011</v>
      </c>
      <c r="D124" s="12">
        <f t="shared" si="9"/>
        <v>124868.55314667977</v>
      </c>
      <c r="E124" s="12">
        <f t="shared" si="10"/>
        <v>47078.986619203439</v>
      </c>
      <c r="F124" s="12">
        <f t="shared" si="17"/>
        <v>18548.899608363819</v>
      </c>
      <c r="G124" s="12">
        <f t="shared" si="17"/>
        <v>2292.5606257528339</v>
      </c>
      <c r="H124" s="9"/>
      <c r="I124" s="12">
        <f t="shared" si="12"/>
        <v>3977.4218619457779</v>
      </c>
      <c r="J124" s="12">
        <f t="shared" si="13"/>
        <v>1322.7721597917007</v>
      </c>
      <c r="K124" s="12">
        <f t="shared" si="14"/>
        <v>163.48869390683959</v>
      </c>
    </row>
    <row r="125" spans="2:11" x14ac:dyDescent="0.25">
      <c r="B125" s="10">
        <v>121</v>
      </c>
      <c r="C125" s="13">
        <v>44012</v>
      </c>
      <c r="D125" s="12">
        <f t="shared" si="9"/>
        <v>120795.05752129042</v>
      </c>
      <c r="E125" s="12">
        <f t="shared" si="10"/>
        <v>49583.182690619338</v>
      </c>
      <c r="F125" s="12">
        <f t="shared" si="17"/>
        <v>19945.576211400188</v>
      </c>
      <c r="G125" s="12">
        <f t="shared" si="17"/>
        <v>2465.1835766899135</v>
      </c>
      <c r="H125" s="9"/>
      <c r="I125" s="12">
        <f t="shared" si="12"/>
        <v>4073.4956253893433</v>
      </c>
      <c r="J125" s="12">
        <f t="shared" si="13"/>
        <v>1396.6766030363685</v>
      </c>
      <c r="K125" s="12">
        <f t="shared" si="14"/>
        <v>172.62295093707945</v>
      </c>
    </row>
    <row r="126" spans="2:11" x14ac:dyDescent="0.25">
      <c r="B126" s="10">
        <v>122</v>
      </c>
      <c r="C126" s="11">
        <v>44013</v>
      </c>
      <c r="D126" s="12">
        <f t="shared" si="9"/>
        <v>116641.07792827803</v>
      </c>
      <c r="E126" s="12">
        <f t="shared" si="10"/>
        <v>52084.389527277744</v>
      </c>
      <c r="F126" s="12">
        <f t="shared" si="17"/>
        <v>21416.543964555229</v>
      </c>
      <c r="G126" s="12">
        <f t="shared" si="17"/>
        <v>2646.9885798888513</v>
      </c>
      <c r="H126" s="9"/>
      <c r="I126" s="12">
        <f t="shared" si="12"/>
        <v>4153.979593012391</v>
      </c>
      <c r="J126" s="12">
        <f t="shared" si="13"/>
        <v>1470.9677531550403</v>
      </c>
      <c r="K126" s="12">
        <f t="shared" si="14"/>
        <v>181.80500319893773</v>
      </c>
    </row>
    <row r="127" spans="2:11" x14ac:dyDescent="0.25">
      <c r="B127" s="10">
        <v>123</v>
      </c>
      <c r="C127" s="11">
        <v>44014</v>
      </c>
      <c r="D127" s="12">
        <f t="shared" si="9"/>
        <v>112423.57929877043</v>
      </c>
      <c r="E127" s="12">
        <f t="shared" si="10"/>
        <v>54565.741839209419</v>
      </c>
      <c r="F127" s="12">
        <f t="shared" si="17"/>
        <v>22961.714187197802</v>
      </c>
      <c r="G127" s="12">
        <f t="shared" si="17"/>
        <v>2837.9646748222031</v>
      </c>
      <c r="H127" s="9"/>
      <c r="I127" s="12">
        <f t="shared" si="12"/>
        <v>4217.4986295075914</v>
      </c>
      <c r="J127" s="12">
        <f t="shared" si="13"/>
        <v>1545.170222642573</v>
      </c>
      <c r="K127" s="12">
        <f t="shared" si="14"/>
        <v>190.9760949333519</v>
      </c>
    </row>
    <row r="128" spans="2:11" x14ac:dyDescent="0.25">
      <c r="B128" s="10">
        <v>124</v>
      </c>
      <c r="C128" s="11">
        <v>44015</v>
      </c>
      <c r="D128" s="12">
        <f t="shared" si="9"/>
        <v>108160.6342127989</v>
      </c>
      <c r="E128" s="12">
        <f t="shared" si="10"/>
        <v>57009.828863873961</v>
      </c>
      <c r="F128" s="12">
        <f t="shared" si="17"/>
        <v>24580.497861761014</v>
      </c>
      <c r="G128" s="12">
        <f t="shared" si="17"/>
        <v>3038.0390615659712</v>
      </c>
      <c r="H128" s="9"/>
      <c r="I128" s="12">
        <f t="shared" si="12"/>
        <v>4262.9450859715307</v>
      </c>
      <c r="J128" s="12">
        <f t="shared" si="13"/>
        <v>1618.7836745632126</v>
      </c>
      <c r="K128" s="12">
        <f t="shared" si="14"/>
        <v>200.07438674376806</v>
      </c>
    </row>
    <row r="129" spans="2:11" x14ac:dyDescent="0.25">
      <c r="B129" s="10">
        <v>125</v>
      </c>
      <c r="C129" s="11">
        <v>44016</v>
      </c>
      <c r="D129" s="12">
        <f t="shared" si="9"/>
        <v>103871.11211244436</v>
      </c>
      <c r="E129" s="12">
        <f t="shared" si="10"/>
        <v>59399.023335432721</v>
      </c>
      <c r="F129" s="12">
        <f t="shared" si="17"/>
        <v>26271.789451389275</v>
      </c>
      <c r="G129" s="12">
        <f t="shared" si="17"/>
        <v>3247.0751007335093</v>
      </c>
      <c r="H129" s="9"/>
      <c r="I129" s="12">
        <f t="shared" si="12"/>
        <v>4289.5221003545512</v>
      </c>
      <c r="J129" s="12">
        <f t="shared" si="13"/>
        <v>1691.2915896282607</v>
      </c>
      <c r="K129" s="12">
        <f t="shared" si="14"/>
        <v>209.03603916753804</v>
      </c>
    </row>
    <row r="130" spans="2:11" x14ac:dyDescent="0.25">
      <c r="B130" s="10">
        <v>126</v>
      </c>
      <c r="C130" s="11">
        <v>44017</v>
      </c>
      <c r="D130" s="12">
        <f t="shared" si="9"/>
        <v>99574.335949339045</v>
      </c>
      <c r="E130" s="12">
        <f t="shared" si="10"/>
        <v>61715.832054023616</v>
      </c>
      <c r="F130" s="12">
        <f t="shared" si="17"/>
        <v>28033.960477007113</v>
      </c>
      <c r="G130" s="12">
        <f t="shared" si="17"/>
        <v>3464.8715196300964</v>
      </c>
      <c r="H130" s="9"/>
      <c r="I130" s="12">
        <f t="shared" si="12"/>
        <v>4296.7761631053118</v>
      </c>
      <c r="J130" s="12">
        <f t="shared" si="13"/>
        <v>1762.1710256178371</v>
      </c>
      <c r="K130" s="12">
        <f t="shared" si="14"/>
        <v>217.79641889658686</v>
      </c>
    </row>
    <row r="131" spans="2:11" x14ac:dyDescent="0.25">
      <c r="B131" s="10">
        <v>127</v>
      </c>
      <c r="C131" s="11">
        <v>44018</v>
      </c>
      <c r="D131" s="12">
        <f t="shared" si="9"/>
        <v>95289.719288145585</v>
      </c>
      <c r="E131" s="12">
        <f t="shared" si="10"/>
        <v>63943.254313416292</v>
      </c>
      <c r="F131" s="12">
        <f t="shared" si="17"/>
        <v>29864.863494609814</v>
      </c>
      <c r="G131" s="12">
        <f t="shared" si="17"/>
        <v>3691.1629038281831</v>
      </c>
      <c r="H131" s="9"/>
      <c r="I131" s="12">
        <f t="shared" si="12"/>
        <v>4284.6166611934632</v>
      </c>
      <c r="J131" s="12">
        <f t="shared" si="13"/>
        <v>1830.9030176027004</v>
      </c>
      <c r="K131" s="12">
        <f t="shared" si="14"/>
        <v>226.29138419808677</v>
      </c>
    </row>
    <row r="132" spans="2:11" x14ac:dyDescent="0.25">
      <c r="B132" s="10">
        <v>128</v>
      </c>
      <c r="C132" s="11">
        <v>44019</v>
      </c>
      <c r="D132" s="12">
        <f t="shared" si="9"/>
        <v>91036.398362506356</v>
      </c>
      <c r="E132" s="12">
        <f t="shared" si="10"/>
        <v>66065.1334286083</v>
      </c>
      <c r="F132" s="12">
        <f t="shared" si="17"/>
        <v>31761.846705907828</v>
      </c>
      <c r="G132" s="12">
        <f t="shared" si="17"/>
        <v>3925.6215029773762</v>
      </c>
      <c r="H132" s="9"/>
      <c r="I132" s="12">
        <f t="shared" si="12"/>
        <v>4253.3209256392256</v>
      </c>
      <c r="J132" s="12">
        <f t="shared" si="13"/>
        <v>1896.9832112980164</v>
      </c>
      <c r="K132" s="12">
        <f t="shared" si="14"/>
        <v>234.45859914919328</v>
      </c>
    </row>
    <row r="133" spans="2:11" x14ac:dyDescent="0.25">
      <c r="B133" s="10">
        <v>129</v>
      </c>
      <c r="C133" s="11">
        <v>44020</v>
      </c>
      <c r="D133" s="12">
        <f t="shared" si="9"/>
        <v>86832.874076668522</v>
      </c>
      <c r="E133" s="12">
        <f t="shared" si="10"/>
        <v>68066.486600159187</v>
      </c>
      <c r="F133" s="12">
        <f t="shared" si="17"/>
        <v>33721.778997623209</v>
      </c>
      <c r="G133" s="12">
        <f t="shared" si="17"/>
        <v>4167.8603255489397</v>
      </c>
      <c r="H133" s="9"/>
      <c r="I133" s="12">
        <f t="shared" si="12"/>
        <v>4203.5242858378369</v>
      </c>
      <c r="J133" s="12">
        <f t="shared" si="13"/>
        <v>1959.9322917153795</v>
      </c>
      <c r="K133" s="12">
        <f t="shared" si="14"/>
        <v>242.23882257156399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82696.678396591553</v>
      </c>
      <c r="E134" s="12">
        <f t="shared" ref="E134:E197" si="19">E133+I134-J134-K134</f>
        <v>69933.799393564186</v>
      </c>
      <c r="F134" s="12">
        <f t="shared" ref="F134:G149" si="20">F133+J134</f>
        <v>35741.084766761262</v>
      </c>
      <c r="G134" s="12">
        <f t="shared" si="20"/>
        <v>4417.4374430828566</v>
      </c>
      <c r="H134" s="9"/>
      <c r="I134" s="12">
        <f t="shared" ref="I134:I197" si="21">E133*N$6*D133/SUM(D133:F133)*N$7</f>
        <v>4136.1956800769685</v>
      </c>
      <c r="J134" s="12">
        <f t="shared" ref="J134:J197" si="22">E133*N$8/N$5</f>
        <v>2019.3057691380557</v>
      </c>
      <c r="K134" s="12">
        <f t="shared" ref="K134:K197" si="23">E133*N$9/N$5</f>
        <v>249.57711753391726</v>
      </c>
    </row>
    <row r="135" spans="2:11" x14ac:dyDescent="0.25">
      <c r="B135" s="10">
        <v>131</v>
      </c>
      <c r="C135" s="11">
        <v>44022</v>
      </c>
      <c r="D135" s="12">
        <f t="shared" si="18"/>
        <v>78644.0780213119</v>
      </c>
      <c r="E135" s="12">
        <f t="shared" si="19"/>
        <v>71655.273122391707</v>
      </c>
      <c r="F135" s="12">
        <f t="shared" si="20"/>
        <v>37815.787482103668</v>
      </c>
      <c r="G135" s="12">
        <f t="shared" si="20"/>
        <v>4673.8613741925919</v>
      </c>
      <c r="H135" s="9"/>
      <c r="I135" s="12">
        <f t="shared" si="21"/>
        <v>4052.6003752796464</v>
      </c>
      <c r="J135" s="12">
        <f t="shared" si="22"/>
        <v>2074.7027153424042</v>
      </c>
      <c r="K135" s="12">
        <f t="shared" si="23"/>
        <v>256.42393110973558</v>
      </c>
    </row>
    <row r="136" spans="2:11" x14ac:dyDescent="0.25">
      <c r="B136" s="10">
        <v>132</v>
      </c>
      <c r="C136" s="11">
        <v>44023</v>
      </c>
      <c r="D136" s="12">
        <f t="shared" si="18"/>
        <v>74689.825817454679</v>
      </c>
      <c r="E136" s="12">
        <f t="shared" si="19"/>
        <v>73221.016222169215</v>
      </c>
      <c r="F136" s="12">
        <f t="shared" si="20"/>
        <v>39941.560584734623</v>
      </c>
      <c r="G136" s="12">
        <f t="shared" si="20"/>
        <v>4936.5973756413614</v>
      </c>
      <c r="H136" s="9"/>
      <c r="I136" s="12">
        <f t="shared" si="21"/>
        <v>3954.2522038572142</v>
      </c>
      <c r="J136" s="12">
        <f t="shared" si="22"/>
        <v>2125.7731026309539</v>
      </c>
      <c r="K136" s="12">
        <f t="shared" si="23"/>
        <v>262.7360014487698</v>
      </c>
    </row>
    <row r="137" spans="2:11" x14ac:dyDescent="0.25">
      <c r="B137" s="10">
        <v>133</v>
      </c>
      <c r="C137" s="11">
        <v>44024</v>
      </c>
      <c r="D137" s="12">
        <f t="shared" si="18"/>
        <v>70846.967472147444</v>
      </c>
      <c r="E137" s="12">
        <f t="shared" si="19"/>
        <v>74623.17402673747</v>
      </c>
      <c r="F137" s="12">
        <f t="shared" si="20"/>
        <v>42113.784065992309</v>
      </c>
      <c r="G137" s="12">
        <f t="shared" si="20"/>
        <v>5205.0744351226485</v>
      </c>
      <c r="H137" s="9"/>
      <c r="I137" s="12">
        <f t="shared" si="21"/>
        <v>3842.8583453072374</v>
      </c>
      <c r="J137" s="12">
        <f t="shared" si="22"/>
        <v>2172.2234812576867</v>
      </c>
      <c r="K137" s="12">
        <f t="shared" si="23"/>
        <v>268.47705948128737</v>
      </c>
    </row>
    <row r="138" spans="2:11" x14ac:dyDescent="0.25">
      <c r="B138" s="10">
        <v>134</v>
      </c>
      <c r="C138" s="11">
        <v>44025</v>
      </c>
      <c r="D138" s="12">
        <f t="shared" si="18"/>
        <v>67126.707461345999</v>
      </c>
      <c r="E138" s="12">
        <f t="shared" si="19"/>
        <v>75855.994903314335</v>
      </c>
      <c r="F138" s="12">
        <f t="shared" si="20"/>
        <v>44327.60489545219</v>
      </c>
      <c r="G138" s="12">
        <f t="shared" si="20"/>
        <v>5478.6927398873531</v>
      </c>
      <c r="H138" s="9"/>
      <c r="I138" s="12">
        <f t="shared" si="21"/>
        <v>3720.2600108014481</v>
      </c>
      <c r="J138" s="12">
        <f t="shared" si="22"/>
        <v>2213.820829459878</v>
      </c>
      <c r="K138" s="12">
        <f t="shared" si="23"/>
        <v>273.61830476470431</v>
      </c>
    </row>
    <row r="139" spans="2:11" x14ac:dyDescent="0.25">
      <c r="B139" s="10">
        <v>135</v>
      </c>
      <c r="C139" s="11">
        <v>44026</v>
      </c>
      <c r="D139" s="12">
        <f t="shared" si="18"/>
        <v>63538.335046244007</v>
      </c>
      <c r="E139" s="12">
        <f t="shared" si="19"/>
        <v>76915.834154972501</v>
      </c>
      <c r="F139" s="12">
        <f t="shared" si="20"/>
        <v>46577.999410917182</v>
      </c>
      <c r="G139" s="12">
        <f t="shared" si="20"/>
        <v>5756.8313878661729</v>
      </c>
      <c r="H139" s="9"/>
      <c r="I139" s="12">
        <f t="shared" si="21"/>
        <v>3588.3724151019901</v>
      </c>
      <c r="J139" s="12">
        <f t="shared" si="22"/>
        <v>2250.3945154649919</v>
      </c>
      <c r="K139" s="12">
        <f t="shared" si="23"/>
        <v>278.13864797881951</v>
      </c>
    </row>
    <row r="140" spans="2:11" x14ac:dyDescent="0.25">
      <c r="B140" s="10">
        <v>136</v>
      </c>
      <c r="C140" s="11">
        <v>44027</v>
      </c>
      <c r="D140" s="12">
        <f t="shared" si="18"/>
        <v>60089.207881726135</v>
      </c>
      <c r="E140" s="12">
        <f t="shared" si="19"/>
        <v>77801.1001809913</v>
      </c>
      <c r="F140" s="12">
        <f t="shared" si="20"/>
        <v>48859.835824181369</v>
      </c>
      <c r="G140" s="12">
        <f t="shared" si="20"/>
        <v>6038.856113101072</v>
      </c>
      <c r="H140" s="9"/>
      <c r="I140" s="12">
        <f t="shared" si="21"/>
        <v>3449.1271645178736</v>
      </c>
      <c r="J140" s="12">
        <f t="shared" si="22"/>
        <v>2281.8364132641841</v>
      </c>
      <c r="K140" s="12">
        <f t="shared" si="23"/>
        <v>282.02472523489939</v>
      </c>
    </row>
    <row r="141" spans="2:11" x14ac:dyDescent="0.25">
      <c r="B141" s="10">
        <v>137</v>
      </c>
      <c r="C141" s="11">
        <v>44028</v>
      </c>
      <c r="D141" s="12">
        <f t="shared" si="18"/>
        <v>56784.78817523062</v>
      </c>
      <c r="E141" s="12">
        <f t="shared" si="19"/>
        <v>78512.149881453777</v>
      </c>
      <c r="F141" s="12">
        <f t="shared" si="20"/>
        <v>51167.93512955078</v>
      </c>
      <c r="G141" s="12">
        <f t="shared" si="20"/>
        <v>6324.1268137647066</v>
      </c>
      <c r="H141" s="9"/>
      <c r="I141" s="12">
        <f t="shared" si="21"/>
        <v>3304.4197064955156</v>
      </c>
      <c r="J141" s="12">
        <f t="shared" si="22"/>
        <v>2308.0993053694083</v>
      </c>
      <c r="K141" s="12">
        <f t="shared" si="23"/>
        <v>285.27070066363501</v>
      </c>
    </row>
    <row r="142" spans="2:11" x14ac:dyDescent="0.25">
      <c r="B142" s="10">
        <v>138</v>
      </c>
      <c r="C142" s="11">
        <v>44029</v>
      </c>
      <c r="D142" s="12">
        <f t="shared" si="18"/>
        <v>53628.724324863098</v>
      </c>
      <c r="E142" s="12">
        <f t="shared" si="19"/>
        <v>79051.142069106179</v>
      </c>
      <c r="F142" s="12">
        <f t="shared" si="20"/>
        <v>53497.128909367246</v>
      </c>
      <c r="G142" s="12">
        <f t="shared" si="20"/>
        <v>6612.0046966633709</v>
      </c>
      <c r="H142" s="9"/>
      <c r="I142" s="12">
        <f t="shared" si="21"/>
        <v>3156.0638503675218</v>
      </c>
      <c r="J142" s="12">
        <f t="shared" si="22"/>
        <v>2329.1937798164622</v>
      </c>
      <c r="K142" s="12">
        <f t="shared" si="23"/>
        <v>287.8778828986641</v>
      </c>
    </row>
    <row r="143" spans="2:11" x14ac:dyDescent="0.25">
      <c r="B143" s="10">
        <v>139</v>
      </c>
      <c r="C143" s="11">
        <v>44030</v>
      </c>
      <c r="D143" s="12">
        <f t="shared" si="18"/>
        <v>50622.969663144111</v>
      </c>
      <c r="E143" s="12">
        <f t="shared" si="19"/>
        <v>79421.858661854974</v>
      </c>
      <c r="F143" s="12">
        <f t="shared" si="20"/>
        <v>55842.31279075073</v>
      </c>
      <c r="G143" s="12">
        <f t="shared" si="20"/>
        <v>6901.858884250094</v>
      </c>
      <c r="H143" s="9"/>
      <c r="I143" s="12">
        <f t="shared" si="21"/>
        <v>3005.7546617189896</v>
      </c>
      <c r="J143" s="12">
        <f t="shared" si="22"/>
        <v>2345.1838813834829</v>
      </c>
      <c r="K143" s="12">
        <f t="shared" si="23"/>
        <v>289.8541875867229</v>
      </c>
    </row>
    <row r="144" spans="2:11" x14ac:dyDescent="0.25">
      <c r="B144" s="10">
        <v>140</v>
      </c>
      <c r="C144" s="11">
        <v>44031</v>
      </c>
      <c r="D144" s="12">
        <f t="shared" si="18"/>
        <v>47767.929331093183</v>
      </c>
      <c r="E144" s="12">
        <f t="shared" si="19"/>
        <v>79629.503705177398</v>
      </c>
      <c r="F144" s="12">
        <f t="shared" si="20"/>
        <v>58198.494597719095</v>
      </c>
      <c r="G144" s="12">
        <f t="shared" si="20"/>
        <v>7193.0723660102294</v>
      </c>
      <c r="H144" s="9"/>
      <c r="I144" s="12">
        <f t="shared" si="21"/>
        <v>2855.0403320509267</v>
      </c>
      <c r="J144" s="12">
        <f t="shared" si="22"/>
        <v>2356.1818069683641</v>
      </c>
      <c r="K144" s="12">
        <f t="shared" si="23"/>
        <v>291.21348176013521</v>
      </c>
    </row>
    <row r="145" spans="2:11" x14ac:dyDescent="0.25">
      <c r="B145" s="10">
        <v>141</v>
      </c>
      <c r="C145" s="11">
        <v>44032</v>
      </c>
      <c r="D145" s="12">
        <f t="shared" si="18"/>
        <v>45062.626336853195</v>
      </c>
      <c r="E145" s="12">
        <f t="shared" si="19"/>
        <v>79680.489909244818</v>
      </c>
      <c r="F145" s="12">
        <f t="shared" si="20"/>
        <v>60560.83654097269</v>
      </c>
      <c r="G145" s="12">
        <f t="shared" si="20"/>
        <v>7485.0472129292139</v>
      </c>
      <c r="H145" s="9"/>
      <c r="I145" s="12">
        <f t="shared" si="21"/>
        <v>2705.3029942399844</v>
      </c>
      <c r="J145" s="12">
        <f t="shared" si="22"/>
        <v>2362.3419432535957</v>
      </c>
      <c r="K145" s="12">
        <f t="shared" si="23"/>
        <v>291.9748469189841</v>
      </c>
    </row>
    <row r="146" spans="2:11" x14ac:dyDescent="0.25">
      <c r="B146" s="10">
        <v>142</v>
      </c>
      <c r="C146" s="11">
        <v>44033</v>
      </c>
      <c r="D146" s="12">
        <f t="shared" si="18"/>
        <v>42504.878400217669</v>
      </c>
      <c r="E146" s="12">
        <f t="shared" si="19"/>
        <v>79582.221515572193</v>
      </c>
      <c r="F146" s="12">
        <f t="shared" si="20"/>
        <v>62924.691074946953</v>
      </c>
      <c r="G146" s="12">
        <f t="shared" si="20"/>
        <v>7777.2090092631115</v>
      </c>
      <c r="H146" s="9"/>
      <c r="I146" s="12">
        <f t="shared" si="21"/>
        <v>2557.7479366355233</v>
      </c>
      <c r="J146" s="12">
        <f t="shared" si="22"/>
        <v>2363.8545339742627</v>
      </c>
      <c r="K146" s="12">
        <f t="shared" si="23"/>
        <v>292.16179633389788</v>
      </c>
    </row>
    <row r="147" spans="2:11" x14ac:dyDescent="0.25">
      <c r="B147" s="10">
        <v>143</v>
      </c>
      <c r="C147" s="11">
        <v>44034</v>
      </c>
      <c r="D147" s="12">
        <f t="shared" si="18"/>
        <v>40091.478112648707</v>
      </c>
      <c r="E147" s="12">
        <f t="shared" si="19"/>
        <v>79342.881085955421</v>
      </c>
      <c r="F147" s="12">
        <f t="shared" si="20"/>
        <v>65285.630313242262</v>
      </c>
      <c r="G147" s="12">
        <f t="shared" si="20"/>
        <v>8069.0104881535435</v>
      </c>
      <c r="H147" s="9"/>
      <c r="I147" s="12">
        <f t="shared" si="21"/>
        <v>2413.4002875689621</v>
      </c>
      <c r="J147" s="12">
        <f t="shared" si="22"/>
        <v>2360.9392382953083</v>
      </c>
      <c r="K147" s="12">
        <f t="shared" si="23"/>
        <v>291.80147889043167</v>
      </c>
    </row>
    <row r="148" spans="2:11" x14ac:dyDescent="0.25">
      <c r="B148" s="10">
        <v>144</v>
      </c>
      <c r="C148" s="11">
        <v>44035</v>
      </c>
      <c r="D148" s="12">
        <f t="shared" si="18"/>
        <v>37818.370111022574</v>
      </c>
      <c r="E148" s="12">
        <f t="shared" si="19"/>
        <v>78971.22638471637</v>
      </c>
      <c r="F148" s="12">
        <f t="shared" si="20"/>
        <v>67639.469118792273</v>
      </c>
      <c r="G148" s="12">
        <f t="shared" si="20"/>
        <v>8359.934385468714</v>
      </c>
      <c r="H148" s="9"/>
      <c r="I148" s="12">
        <f t="shared" si="21"/>
        <v>2273.1080016261326</v>
      </c>
      <c r="J148" s="12">
        <f t="shared" si="22"/>
        <v>2353.8388055500104</v>
      </c>
      <c r="K148" s="12">
        <f t="shared" si="23"/>
        <v>290.92389731517017</v>
      </c>
    </row>
    <row r="149" spans="2:11" x14ac:dyDescent="0.25">
      <c r="B149" s="10">
        <v>145</v>
      </c>
      <c r="C149" s="11">
        <v>44036</v>
      </c>
      <c r="D149" s="12">
        <f t="shared" si="18"/>
        <v>35680.820242722271</v>
      </c>
      <c r="E149" s="12">
        <f t="shared" si="19"/>
        <v>78476.402040192799</v>
      </c>
      <c r="F149" s="12">
        <f t="shared" si="20"/>
        <v>69982.282168205522</v>
      </c>
      <c r="G149" s="12">
        <f t="shared" si="20"/>
        <v>8649.4955488793403</v>
      </c>
      <c r="H149" s="9"/>
      <c r="I149" s="12">
        <f t="shared" si="21"/>
        <v>2137.5498683003034</v>
      </c>
      <c r="J149" s="12">
        <f t="shared" si="22"/>
        <v>2342.813049413252</v>
      </c>
      <c r="K149" s="12">
        <f t="shared" si="23"/>
        <v>289.56116341062699</v>
      </c>
    </row>
    <row r="150" spans="2:11" x14ac:dyDescent="0.25">
      <c r="B150" s="10">
        <v>146</v>
      </c>
      <c r="C150" s="11">
        <v>44037</v>
      </c>
      <c r="D150" s="12">
        <f t="shared" si="18"/>
        <v>33673.572981062454</v>
      </c>
      <c r="E150" s="12">
        <f t="shared" si="19"/>
        <v>77867.769233846178</v>
      </c>
      <c r="F150" s="12">
        <f t="shared" ref="F150:G165" si="24">F149+J150</f>
        <v>72310.415428731241</v>
      </c>
      <c r="G150" s="12">
        <f t="shared" si="24"/>
        <v>8937.2423563600478</v>
      </c>
      <c r="H150" s="9"/>
      <c r="I150" s="12">
        <f t="shared" si="21"/>
        <v>2007.2472616598166</v>
      </c>
      <c r="J150" s="12">
        <f t="shared" si="22"/>
        <v>2328.1332605257194</v>
      </c>
      <c r="K150" s="12">
        <f t="shared" si="23"/>
        <v>287.74680748070722</v>
      </c>
    </row>
    <row r="151" spans="2:11" x14ac:dyDescent="0.25">
      <c r="B151" s="10">
        <v>147</v>
      </c>
      <c r="C151" s="11">
        <v>44038</v>
      </c>
      <c r="D151" s="12">
        <f t="shared" si="18"/>
        <v>31790.994550601587</v>
      </c>
      <c r="E151" s="12">
        <f t="shared" si="19"/>
        <v>77154.755356512163</v>
      </c>
      <c r="F151" s="12">
        <f t="shared" si="24"/>
        <v>74620.492582668681</v>
      </c>
      <c r="G151" s="12">
        <f t="shared" si="24"/>
        <v>9222.7575102174833</v>
      </c>
      <c r="H151" s="9"/>
      <c r="I151" s="12">
        <f t="shared" si="21"/>
        <v>1882.5784304608671</v>
      </c>
      <c r="J151" s="12">
        <f t="shared" si="22"/>
        <v>2310.0771539374359</v>
      </c>
      <c r="K151" s="12">
        <f t="shared" si="23"/>
        <v>285.51515385743625</v>
      </c>
    </row>
    <row r="152" spans="2:11" x14ac:dyDescent="0.25">
      <c r="B152" s="10">
        <v>148</v>
      </c>
      <c r="C152" s="11">
        <v>44039</v>
      </c>
      <c r="D152" s="12">
        <f t="shared" si="18"/>
        <v>30027.200285683026</v>
      </c>
      <c r="E152" s="12">
        <f t="shared" si="19"/>
        <v>76346.72444288031</v>
      </c>
      <c r="F152" s="12">
        <f t="shared" si="24"/>
        <v>76909.416991578546</v>
      </c>
      <c r="G152" s="12">
        <f t="shared" si="24"/>
        <v>9505.6582798580275</v>
      </c>
      <c r="H152" s="9"/>
      <c r="I152" s="12">
        <f t="shared" si="21"/>
        <v>1763.7942649185591</v>
      </c>
      <c r="J152" s="12">
        <f t="shared" si="22"/>
        <v>2288.9244089098602</v>
      </c>
      <c r="K152" s="12">
        <f t="shared" si="23"/>
        <v>282.90076964054487</v>
      </c>
    </row>
    <row r="153" spans="2:11" x14ac:dyDescent="0.25">
      <c r="B153" s="10">
        <v>149</v>
      </c>
      <c r="C153" s="11">
        <v>44040</v>
      </c>
      <c r="D153" s="12">
        <f t="shared" si="18"/>
        <v>28376.165641114247</v>
      </c>
      <c r="E153" s="12">
        <f t="shared" si="19"/>
        <v>75452.868272686406</v>
      </c>
      <c r="F153" s="12">
        <f t="shared" si="24"/>
        <v>79174.369816717328</v>
      </c>
      <c r="G153" s="12">
        <f t="shared" si="24"/>
        <v>9785.5962694819227</v>
      </c>
      <c r="H153" s="9"/>
      <c r="I153" s="12">
        <f t="shared" si="21"/>
        <v>1651.034644568781</v>
      </c>
      <c r="J153" s="12">
        <f t="shared" si="22"/>
        <v>2264.9528251387824</v>
      </c>
      <c r="K153" s="12">
        <f t="shared" si="23"/>
        <v>279.93798962389468</v>
      </c>
    </row>
    <row r="154" spans="2:11" x14ac:dyDescent="0.25">
      <c r="B154" s="10">
        <v>150</v>
      </c>
      <c r="C154" s="11">
        <v>44041</v>
      </c>
      <c r="D154" s="12">
        <f t="shared" si="18"/>
        <v>26831.820990241202</v>
      </c>
      <c r="E154" s="12">
        <f t="shared" si="19"/>
        <v>74482.117314469899</v>
      </c>
      <c r="F154" s="12">
        <f t="shared" si="24"/>
        <v>81412.804908807026</v>
      </c>
      <c r="G154" s="12">
        <f t="shared" si="24"/>
        <v>10062.256786481774</v>
      </c>
      <c r="H154" s="9"/>
      <c r="I154" s="12">
        <f t="shared" si="21"/>
        <v>1544.344650873046</v>
      </c>
      <c r="J154" s="12">
        <f t="shared" si="22"/>
        <v>2238.4350920896964</v>
      </c>
      <c r="K154" s="12">
        <f t="shared" si="23"/>
        <v>276.66051699985042</v>
      </c>
    </row>
    <row r="155" spans="2:11" x14ac:dyDescent="0.25">
      <c r="B155" s="10">
        <v>151</v>
      </c>
      <c r="C155" s="11">
        <v>44042</v>
      </c>
      <c r="D155" s="12">
        <f t="shared" si="18"/>
        <v>25388.130887323216</v>
      </c>
      <c r="E155" s="12">
        <f t="shared" si="19"/>
        <v>73443.070173572225</v>
      </c>
      <c r="F155" s="12">
        <f t="shared" si="24"/>
        <v>83622.441055802963</v>
      </c>
      <c r="G155" s="12">
        <f t="shared" si="24"/>
        <v>10335.357883301496</v>
      </c>
      <c r="H155" s="9"/>
      <c r="I155" s="12">
        <f t="shared" si="21"/>
        <v>1443.6901029179849</v>
      </c>
      <c r="J155" s="12">
        <f t="shared" si="22"/>
        <v>2209.6361469959397</v>
      </c>
      <c r="K155" s="12">
        <f t="shared" si="23"/>
        <v>273.10109681972324</v>
      </c>
    </row>
    <row r="156" spans="2:11" x14ac:dyDescent="0.25">
      <c r="B156" s="10">
        <v>152</v>
      </c>
      <c r="C156" s="13">
        <v>44043</v>
      </c>
      <c r="D156" s="12">
        <f t="shared" si="18"/>
        <v>24039.158853196317</v>
      </c>
      <c r="E156" s="12">
        <f t="shared" si="19"/>
        <v>72343.939868580055</v>
      </c>
      <c r="F156" s="12">
        <f t="shared" si="24"/>
        <v>85801.25213761894</v>
      </c>
      <c r="G156" s="12">
        <f t="shared" si="24"/>
        <v>10604.649140604595</v>
      </c>
      <c r="H156" s="9"/>
      <c r="I156" s="12">
        <f t="shared" si="21"/>
        <v>1348.9720341268999</v>
      </c>
      <c r="J156" s="12">
        <f t="shared" si="22"/>
        <v>2178.8110818159757</v>
      </c>
      <c r="K156" s="12">
        <f t="shared" si="23"/>
        <v>269.2912573030984</v>
      </c>
    </row>
    <row r="157" spans="2:11" x14ac:dyDescent="0.25">
      <c r="B157" s="10">
        <v>153</v>
      </c>
      <c r="C157" s="21">
        <v>44044</v>
      </c>
      <c r="D157" s="12">
        <f t="shared" si="18"/>
        <v>22779.118987115857</v>
      </c>
      <c r="E157" s="12">
        <f t="shared" si="19"/>
        <v>71192.515072374517</v>
      </c>
      <c r="F157" s="12">
        <f t="shared" si="24"/>
        <v>87947.455687053487</v>
      </c>
      <c r="G157" s="12">
        <f t="shared" si="24"/>
        <v>10869.910253456055</v>
      </c>
      <c r="H157" s="9"/>
      <c r="I157" s="12">
        <f t="shared" si="21"/>
        <v>1260.0398660804597</v>
      </c>
      <c r="J157" s="12">
        <f t="shared" si="22"/>
        <v>2146.2035494345414</v>
      </c>
      <c r="K157" s="12">
        <f t="shared" si="23"/>
        <v>265.26111285146044</v>
      </c>
    </row>
    <row r="158" spans="2:11" x14ac:dyDescent="0.25">
      <c r="B158" s="10">
        <v>154</v>
      </c>
      <c r="C158" s="21">
        <v>44045</v>
      </c>
      <c r="D158" s="12">
        <f t="shared" si="18"/>
        <v>21602.41583749462</v>
      </c>
      <c r="E158" s="12">
        <f t="shared" si="19"/>
        <v>69996.134386249949</v>
      </c>
      <c r="F158" s="12">
        <f t="shared" si="24"/>
        <v>90059.500300867265</v>
      </c>
      <c r="G158" s="12">
        <f t="shared" si="24"/>
        <v>11130.949475388095</v>
      </c>
      <c r="H158" s="9"/>
      <c r="I158" s="12">
        <f t="shared" si="21"/>
        <v>1176.7031496212383</v>
      </c>
      <c r="J158" s="12">
        <f t="shared" si="22"/>
        <v>2112.0446138137772</v>
      </c>
      <c r="K158" s="12">
        <f t="shared" si="23"/>
        <v>261.03922193204011</v>
      </c>
    </row>
    <row r="159" spans="2:11" x14ac:dyDescent="0.25">
      <c r="B159" s="10">
        <v>155</v>
      </c>
      <c r="C159" s="21">
        <v>44046</v>
      </c>
      <c r="D159" s="12">
        <f t="shared" si="18"/>
        <v>20503.674004190754</v>
      </c>
      <c r="E159" s="12">
        <f t="shared" si="19"/>
        <v>68761.671740012156</v>
      </c>
      <c r="F159" s="12">
        <f t="shared" si="24"/>
        <v>92136.052287659346</v>
      </c>
      <c r="G159" s="12">
        <f t="shared" si="24"/>
        <v>11387.601968137678</v>
      </c>
      <c r="H159" s="9"/>
      <c r="I159" s="12">
        <f t="shared" si="21"/>
        <v>1098.7418333038668</v>
      </c>
      <c r="J159" s="12">
        <f t="shared" si="22"/>
        <v>2076.5519867920816</v>
      </c>
      <c r="K159" s="12">
        <f t="shared" si="23"/>
        <v>256.65249274958336</v>
      </c>
    </row>
    <row r="160" spans="2:11" x14ac:dyDescent="0.25">
      <c r="B160" s="10">
        <v>156</v>
      </c>
      <c r="C160" s="21">
        <v>44047</v>
      </c>
      <c r="D160" s="12">
        <f t="shared" si="18"/>
        <v>19477.758917559266</v>
      </c>
      <c r="E160" s="12">
        <f t="shared" si="19"/>
        <v>67495.53110197658</v>
      </c>
      <c r="F160" s="12">
        <f t="shared" si="24"/>
        <v>94175.981882613036</v>
      </c>
      <c r="G160" s="12">
        <f t="shared" si="24"/>
        <v>11639.728097851057</v>
      </c>
      <c r="H160" s="9"/>
      <c r="I160" s="12">
        <f t="shared" si="21"/>
        <v>1025.9150866314872</v>
      </c>
      <c r="J160" s="12">
        <f t="shared" si="22"/>
        <v>2039.9295949536938</v>
      </c>
      <c r="K160" s="12">
        <f t="shared" si="23"/>
        <v>252.12612971337813</v>
      </c>
    </row>
    <row r="161" spans="2:11" x14ac:dyDescent="0.25">
      <c r="B161" s="10">
        <v>157</v>
      </c>
      <c r="C161" s="21">
        <v>44048</v>
      </c>
      <c r="D161" s="12">
        <f t="shared" si="18"/>
        <v>18519.790164444032</v>
      </c>
      <c r="E161" s="12">
        <f t="shared" si="19"/>
        <v>66203.648818359259</v>
      </c>
      <c r="F161" s="12">
        <f t="shared" si="24"/>
        <v>96178.349305305004</v>
      </c>
      <c r="G161" s="12">
        <f t="shared" si="24"/>
        <v>11887.211711891638</v>
      </c>
      <c r="H161" s="9"/>
      <c r="I161" s="12">
        <f t="shared" si="21"/>
        <v>957.96875311523297</v>
      </c>
      <c r="J161" s="12">
        <f t="shared" si="22"/>
        <v>2002.3674226919716</v>
      </c>
      <c r="K161" s="12">
        <f t="shared" si="23"/>
        <v>247.48361404058102</v>
      </c>
    </row>
    <row r="162" spans="2:11" x14ac:dyDescent="0.25">
      <c r="B162" s="10">
        <v>158</v>
      </c>
      <c r="C162" s="21">
        <v>44049</v>
      </c>
      <c r="D162" s="12">
        <f t="shared" si="18"/>
        <v>17625.148625237842</v>
      </c>
      <c r="E162" s="12">
        <f t="shared" si="19"/>
        <v>64891.502063620144</v>
      </c>
      <c r="F162" s="12">
        <f t="shared" si="24"/>
        <v>98142.390886916328</v>
      </c>
      <c r="G162" s="12">
        <f t="shared" si="24"/>
        <v>12129.958424225622</v>
      </c>
      <c r="H162" s="9"/>
      <c r="I162" s="12">
        <f t="shared" si="21"/>
        <v>894.64153920618958</v>
      </c>
      <c r="J162" s="12">
        <f t="shared" si="22"/>
        <v>1964.0415816113243</v>
      </c>
      <c r="K162" s="12">
        <f t="shared" si="23"/>
        <v>242.74671233398416</v>
      </c>
    </row>
    <row r="163" spans="2:11" x14ac:dyDescent="0.25">
      <c r="B163" s="10">
        <v>159</v>
      </c>
      <c r="C163" s="21">
        <v>44050</v>
      </c>
      <c r="D163" s="12">
        <f t="shared" si="18"/>
        <v>16789.478562393739</v>
      </c>
      <c r="E163" s="12">
        <f t="shared" si="19"/>
        <v>63564.122057676912</v>
      </c>
      <c r="F163" s="12">
        <f t="shared" si="24"/>
        <v>100067.50544813706</v>
      </c>
      <c r="G163" s="12">
        <f t="shared" si="24"/>
        <v>12367.89393179223</v>
      </c>
      <c r="H163" s="9"/>
      <c r="I163" s="12">
        <f t="shared" si="21"/>
        <v>835.6700628441032</v>
      </c>
      <c r="J163" s="12">
        <f t="shared" si="22"/>
        <v>1925.1145612207306</v>
      </c>
      <c r="K163" s="12">
        <f t="shared" si="23"/>
        <v>237.93550756660741</v>
      </c>
    </row>
    <row r="164" spans="2:11" x14ac:dyDescent="0.25">
      <c r="B164" s="10">
        <v>160</v>
      </c>
      <c r="C164" s="21">
        <v>44051</v>
      </c>
      <c r="D164" s="12">
        <f t="shared" si="18"/>
        <v>16008.685669586561</v>
      </c>
      <c r="E164" s="12">
        <f t="shared" si="19"/>
        <v>62226.110881894863</v>
      </c>
      <c r="F164" s="12">
        <f t="shared" si="24"/>
        <v>101953.24106918147</v>
      </c>
      <c r="G164" s="12">
        <f t="shared" si="24"/>
        <v>12600.962379337047</v>
      </c>
      <c r="H164" s="9"/>
      <c r="I164" s="12">
        <f t="shared" si="21"/>
        <v>780.79289280717694</v>
      </c>
      <c r="J164" s="12">
        <f t="shared" si="22"/>
        <v>1885.735621044415</v>
      </c>
      <c r="K164" s="12">
        <f t="shared" si="23"/>
        <v>233.06844754481557</v>
      </c>
    </row>
    <row r="165" spans="2:11" x14ac:dyDescent="0.25">
      <c r="B165" s="10">
        <v>161</v>
      </c>
      <c r="C165" s="21">
        <v>44052</v>
      </c>
      <c r="D165" s="12">
        <f t="shared" si="18"/>
        <v>15278.931959646598</v>
      </c>
      <c r="E165" s="12">
        <f t="shared" si="19"/>
        <v>60881.660895771667</v>
      </c>
      <c r="F165" s="12">
        <f t="shared" si="24"/>
        <v>103799.28235867769</v>
      </c>
      <c r="G165" s="12">
        <f t="shared" si="24"/>
        <v>12829.124785903994</v>
      </c>
      <c r="H165" s="9"/>
      <c r="I165" s="12">
        <f t="shared" si="21"/>
        <v>729.75370993996376</v>
      </c>
      <c r="J165" s="12">
        <f t="shared" si="22"/>
        <v>1846.0412894962139</v>
      </c>
      <c r="K165" s="12">
        <f t="shared" si="23"/>
        <v>228.16240656694802</v>
      </c>
    </row>
    <row r="166" spans="2:11" x14ac:dyDescent="0.25">
      <c r="B166" s="10">
        <v>162</v>
      </c>
      <c r="C166" s="21">
        <v>44053</v>
      </c>
      <c r="D166" s="12">
        <f t="shared" si="18"/>
        <v>14596.628243682495</v>
      </c>
      <c r="E166" s="12">
        <f t="shared" si="19"/>
        <v>59534.575915210051</v>
      </c>
      <c r="F166" s="12">
        <f t="shared" ref="F166:G181" si="25">F165+J166</f>
        <v>105605.43829858559</v>
      </c>
      <c r="G166" s="12">
        <f t="shared" si="25"/>
        <v>13052.357542521824</v>
      </c>
      <c r="H166" s="9"/>
      <c r="I166" s="12">
        <f t="shared" si="21"/>
        <v>682.30371596410293</v>
      </c>
      <c r="J166" s="12">
        <f t="shared" si="22"/>
        <v>1806.1559399078926</v>
      </c>
      <c r="K166" s="12">
        <f t="shared" si="23"/>
        <v>223.23275661782964</v>
      </c>
    </row>
    <row r="167" spans="2:11" x14ac:dyDescent="0.25">
      <c r="B167" s="10">
        <v>163</v>
      </c>
      <c r="C167" s="21">
        <v>44054</v>
      </c>
      <c r="D167" s="12">
        <f t="shared" si="18"/>
        <v>13958.424836894996</v>
      </c>
      <c r="E167" s="12">
        <f t="shared" si="19"/>
        <v>58188.293458157219</v>
      </c>
      <c r="F167" s="12">
        <f t="shared" si="25"/>
        <v>107371.63071740349</v>
      </c>
      <c r="G167" s="12">
        <f t="shared" si="25"/>
        <v>13270.650987544261</v>
      </c>
      <c r="H167" s="9"/>
      <c r="I167" s="12">
        <f t="shared" si="21"/>
        <v>638.20340678749869</v>
      </c>
      <c r="J167" s="12">
        <f t="shared" si="22"/>
        <v>1766.192418817898</v>
      </c>
      <c r="K167" s="12">
        <f t="shared" si="23"/>
        <v>218.29344502243706</v>
      </c>
    </row>
    <row r="168" spans="2:11" x14ac:dyDescent="0.25">
      <c r="B168" s="10">
        <v>164</v>
      </c>
      <c r="C168" s="21">
        <v>44055</v>
      </c>
      <c r="D168" s="12">
        <f t="shared" si="18"/>
        <v>13361.201020432753</v>
      </c>
      <c r="E168" s="12">
        <f t="shared" si="19"/>
        <v>56845.907492680883</v>
      </c>
      <c r="F168" s="12">
        <f t="shared" si="25"/>
        <v>109097.88342332882</v>
      </c>
      <c r="G168" s="12">
        <f t="shared" si="25"/>
        <v>13484.008063557503</v>
      </c>
      <c r="H168" s="9"/>
      <c r="I168" s="12">
        <f t="shared" si="21"/>
        <v>597.22381646224278</v>
      </c>
      <c r="J168" s="12">
        <f t="shared" si="22"/>
        <v>1726.2527059253305</v>
      </c>
      <c r="K168" s="12">
        <f t="shared" si="23"/>
        <v>213.35707601324333</v>
      </c>
    </row>
    <row r="169" spans="2:11" x14ac:dyDescent="0.25">
      <c r="B169" s="10">
        <v>165</v>
      </c>
      <c r="C169" s="21">
        <v>44056</v>
      </c>
      <c r="D169" s="12">
        <f t="shared" si="18"/>
        <v>12802.053694151075</v>
      </c>
      <c r="E169" s="12">
        <f t="shared" si="19"/>
        <v>55510.191235873201</v>
      </c>
      <c r="F169" s="12">
        <f t="shared" si="25"/>
        <v>110784.31201227836</v>
      </c>
      <c r="G169" s="12">
        <f t="shared" si="25"/>
        <v>13692.443057697334</v>
      </c>
      <c r="H169" s="9"/>
      <c r="I169" s="12">
        <f t="shared" si="21"/>
        <v>559.14732628167815</v>
      </c>
      <c r="J169" s="12">
        <f t="shared" si="22"/>
        <v>1686.4285889495327</v>
      </c>
      <c r="K169" s="12">
        <f t="shared" si="23"/>
        <v>208.43499413983008</v>
      </c>
    </row>
    <row r="170" spans="2:11" x14ac:dyDescent="0.25">
      <c r="B170" s="10">
        <v>166</v>
      </c>
      <c r="C170" s="21">
        <v>44057</v>
      </c>
      <c r="D170" s="12">
        <f t="shared" si="18"/>
        <v>12278.285572419845</v>
      </c>
      <c r="E170" s="12">
        <f t="shared" si="19"/>
        <v>54183.619649741988</v>
      </c>
      <c r="F170" s="12">
        <f t="shared" si="25"/>
        <v>112431.11435227592</v>
      </c>
      <c r="G170" s="12">
        <f t="shared" si="25"/>
        <v>13895.980425562202</v>
      </c>
      <c r="H170" s="9"/>
      <c r="I170" s="12">
        <f t="shared" si="21"/>
        <v>523.76812173122983</v>
      </c>
      <c r="J170" s="12">
        <f t="shared" si="22"/>
        <v>1646.8023399975714</v>
      </c>
      <c r="K170" s="12">
        <f t="shared" si="23"/>
        <v>203.53736786486857</v>
      </c>
    </row>
    <row r="171" spans="2:11" x14ac:dyDescent="0.25">
      <c r="B171" s="10">
        <v>167</v>
      </c>
      <c r="C171" s="21">
        <v>44058</v>
      </c>
      <c r="D171" s="12">
        <f t="shared" si="18"/>
        <v>11787.393203770596</v>
      </c>
      <c r="E171" s="12">
        <f t="shared" si="19"/>
        <v>52868.391363399838</v>
      </c>
      <c r="F171" s="12">
        <f t="shared" si="25"/>
        <v>114038.56173521827</v>
      </c>
      <c r="G171" s="12">
        <f t="shared" si="25"/>
        <v>14094.653697611257</v>
      </c>
      <c r="H171" s="9"/>
      <c r="I171" s="12">
        <f t="shared" si="21"/>
        <v>490.89236864924959</v>
      </c>
      <c r="J171" s="12">
        <f t="shared" si="22"/>
        <v>1607.4473829423455</v>
      </c>
      <c r="K171" s="12">
        <f t="shared" si="23"/>
        <v>198.67327204905413</v>
      </c>
    </row>
    <row r="172" spans="2:11" x14ac:dyDescent="0.25">
      <c r="B172" s="10">
        <v>168</v>
      </c>
      <c r="C172" s="21">
        <v>44059</v>
      </c>
      <c r="D172" s="12">
        <f t="shared" si="18"/>
        <v>11327.055034416539</v>
      </c>
      <c r="E172" s="12">
        <f t="shared" si="19"/>
        <v>51566.44982064057</v>
      </c>
      <c r="F172" s="12">
        <f t="shared" si="25"/>
        <v>115606.99067899914</v>
      </c>
      <c r="G172" s="12">
        <f t="shared" si="25"/>
        <v>14288.504465943723</v>
      </c>
      <c r="H172" s="9"/>
      <c r="I172" s="12">
        <f t="shared" si="21"/>
        <v>460.33816935405684</v>
      </c>
      <c r="J172" s="12">
        <f t="shared" si="22"/>
        <v>1568.4289437808618</v>
      </c>
      <c r="K172" s="12">
        <f t="shared" si="23"/>
        <v>193.85076833246623</v>
      </c>
    </row>
    <row r="173" spans="2:11" x14ac:dyDescent="0.25">
      <c r="B173" s="10">
        <v>169</v>
      </c>
      <c r="C173" s="21">
        <v>44060</v>
      </c>
      <c r="D173" s="12">
        <f t="shared" si="18"/>
        <v>10895.119684569796</v>
      </c>
      <c r="E173" s="12">
        <f t="shared" si="19"/>
        <v>50279.503509799288</v>
      </c>
      <c r="F173" s="12">
        <f t="shared" si="25"/>
        <v>117136.79535701148</v>
      </c>
      <c r="G173" s="12">
        <f t="shared" si="25"/>
        <v>14477.581448619405</v>
      </c>
      <c r="H173" s="9"/>
      <c r="I173" s="12">
        <f t="shared" si="21"/>
        <v>431.93534984674227</v>
      </c>
      <c r="J173" s="12">
        <f t="shared" si="22"/>
        <v>1529.8046780123368</v>
      </c>
      <c r="K173" s="12">
        <f t="shared" si="23"/>
        <v>189.07698267568225</v>
      </c>
    </row>
    <row r="174" spans="2:11" x14ac:dyDescent="0.25">
      <c r="B174" s="10">
        <v>170</v>
      </c>
      <c r="C174" s="21">
        <v>44061</v>
      </c>
      <c r="D174" s="12">
        <f t="shared" si="18"/>
        <v>10489.594563975204</v>
      </c>
      <c r="E174" s="12">
        <f t="shared" si="19"/>
        <v>49009.045180067238</v>
      </c>
      <c r="F174" s="12">
        <f t="shared" si="25"/>
        <v>118628.42062780219</v>
      </c>
      <c r="G174" s="12">
        <f t="shared" si="25"/>
        <v>14661.939628155336</v>
      </c>
      <c r="H174" s="9"/>
      <c r="I174" s="12">
        <f t="shared" si="21"/>
        <v>405.52512059459195</v>
      </c>
      <c r="J174" s="12">
        <f t="shared" si="22"/>
        <v>1491.625270790712</v>
      </c>
      <c r="K174" s="12">
        <f t="shared" si="23"/>
        <v>184.3581795359309</v>
      </c>
    </row>
    <row r="175" spans="2:11" x14ac:dyDescent="0.25">
      <c r="B175" s="10">
        <v>171</v>
      </c>
      <c r="C175" s="21">
        <v>44062</v>
      </c>
      <c r="D175" s="12">
        <f t="shared" si="18"/>
        <v>10108.63491812469</v>
      </c>
      <c r="E175" s="12">
        <f t="shared" si="19"/>
        <v>47756.369986582184</v>
      </c>
      <c r="F175" s="12">
        <f t="shared" si="25"/>
        <v>120082.35563481085</v>
      </c>
      <c r="G175" s="12">
        <f t="shared" si="25"/>
        <v>14841.639460482249</v>
      </c>
      <c r="H175" s="9"/>
      <c r="I175" s="12">
        <f t="shared" si="21"/>
        <v>380.95964585051485</v>
      </c>
      <c r="J175" s="12">
        <f t="shared" si="22"/>
        <v>1453.9350070086614</v>
      </c>
      <c r="K175" s="12">
        <f t="shared" si="23"/>
        <v>179.69983232691337</v>
      </c>
    </row>
    <row r="176" spans="2:11" x14ac:dyDescent="0.25">
      <c r="B176" s="10">
        <v>172</v>
      </c>
      <c r="C176" s="21">
        <v>44063</v>
      </c>
      <c r="D176" s="12">
        <f t="shared" si="18"/>
        <v>9750.5333681920674</v>
      </c>
      <c r="E176" s="12">
        <f t="shared" si="19"/>
        <v>46522.592536962067</v>
      </c>
      <c r="F176" s="12">
        <f t="shared" si="25"/>
        <v>121499.12794441279</v>
      </c>
      <c r="G176" s="12">
        <f t="shared" si="25"/>
        <v>15016.746150433051</v>
      </c>
      <c r="H176" s="9"/>
      <c r="I176" s="12">
        <f t="shared" si="21"/>
        <v>358.1015499326229</v>
      </c>
      <c r="J176" s="12">
        <f t="shared" si="22"/>
        <v>1416.7723096019379</v>
      </c>
      <c r="K176" s="12">
        <f t="shared" si="23"/>
        <v>175.1066899508015</v>
      </c>
    </row>
    <row r="177" spans="2:11" x14ac:dyDescent="0.25">
      <c r="B177" s="10">
        <v>173</v>
      </c>
      <c r="C177" s="21">
        <v>44064</v>
      </c>
      <c r="D177" s="12">
        <f t="shared" si="18"/>
        <v>9413.7099848854632</v>
      </c>
      <c r="E177" s="12">
        <f t="shared" si="19"/>
        <v>45308.662835703268</v>
      </c>
      <c r="F177" s="12">
        <f t="shared" si="25"/>
        <v>122879.29818967599</v>
      </c>
      <c r="G177" s="12">
        <f t="shared" si="25"/>
        <v>15187.328989735246</v>
      </c>
      <c r="H177" s="9"/>
      <c r="I177" s="12">
        <f t="shared" si="21"/>
        <v>336.82338330660434</v>
      </c>
      <c r="J177" s="12">
        <f t="shared" si="22"/>
        <v>1380.170245263208</v>
      </c>
      <c r="K177" s="12">
        <f t="shared" si="23"/>
        <v>170.5828393021944</v>
      </c>
    </row>
    <row r="178" spans="2:11" x14ac:dyDescent="0.25">
      <c r="B178" s="10">
        <v>174</v>
      </c>
      <c r="C178" s="21">
        <v>44065</v>
      </c>
      <c r="D178" s="12">
        <f t="shared" si="18"/>
        <v>9096.7029182898041</v>
      </c>
      <c r="E178" s="12">
        <f t="shared" si="19"/>
        <v>44115.381141108817</v>
      </c>
      <c r="F178" s="12">
        <f t="shared" si="25"/>
        <v>124223.45518713519</v>
      </c>
      <c r="G178" s="12">
        <f t="shared" si="25"/>
        <v>15353.460753466159</v>
      </c>
      <c r="H178" s="9"/>
      <c r="I178" s="12">
        <f t="shared" si="21"/>
        <v>317.00706659565992</v>
      </c>
      <c r="J178" s="12">
        <f t="shared" si="22"/>
        <v>1344.1569974591969</v>
      </c>
      <c r="K178" s="12">
        <f t="shared" si="23"/>
        <v>166.13176373091213</v>
      </c>
    </row>
    <row r="179" spans="2:11" x14ac:dyDescent="0.25">
      <c r="B179" s="10">
        <v>175</v>
      </c>
      <c r="C179" s="21">
        <v>44066</v>
      </c>
      <c r="D179" s="12">
        <f t="shared" si="18"/>
        <v>8798.1595915949893</v>
      </c>
      <c r="E179" s="12">
        <f t="shared" si="19"/>
        <v>42943.411763100004</v>
      </c>
      <c r="F179" s="12">
        <f t="shared" si="25"/>
        <v>125532.21149432141</v>
      </c>
      <c r="G179" s="12">
        <f t="shared" si="25"/>
        <v>15515.217150983559</v>
      </c>
      <c r="H179" s="9"/>
      <c r="I179" s="12">
        <f t="shared" si="21"/>
        <v>298.54332669481431</v>
      </c>
      <c r="J179" s="12">
        <f t="shared" si="22"/>
        <v>1308.756307186228</v>
      </c>
      <c r="K179" s="12">
        <f t="shared" si="23"/>
        <v>161.75639751739917</v>
      </c>
    </row>
    <row r="180" spans="2:11" x14ac:dyDescent="0.25">
      <c r="B180" s="10">
        <v>176</v>
      </c>
      <c r="C180" s="21">
        <v>44067</v>
      </c>
      <c r="D180" s="12">
        <f t="shared" si="18"/>
        <v>8516.8284557011484</v>
      </c>
      <c r="E180" s="12">
        <f t="shared" si="19"/>
        <v>41793.295840223844</v>
      </c>
      <c r="F180" s="12">
        <f t="shared" si="25"/>
        <v>126806.19937662671</v>
      </c>
      <c r="G180" s="12">
        <f t="shared" si="25"/>
        <v>15672.676327448258</v>
      </c>
      <c r="H180" s="9"/>
      <c r="I180" s="12">
        <f t="shared" si="21"/>
        <v>281.33113589384016</v>
      </c>
      <c r="J180" s="12">
        <f t="shared" si="22"/>
        <v>1273.9878823053</v>
      </c>
      <c r="K180" s="12">
        <f t="shared" si="23"/>
        <v>157.45917646470016</v>
      </c>
    </row>
    <row r="181" spans="2:11" x14ac:dyDescent="0.25">
      <c r="B181" s="10">
        <v>177</v>
      </c>
      <c r="C181" s="21">
        <v>44068</v>
      </c>
      <c r="D181" s="12">
        <f t="shared" si="18"/>
        <v>8251.5512934761355</v>
      </c>
      <c r="E181" s="12">
        <f t="shared" si="19"/>
        <v>40665.463141108063</v>
      </c>
      <c r="F181" s="12">
        <f t="shared" si="25"/>
        <v>128046.06715322002</v>
      </c>
      <c r="G181" s="12">
        <f t="shared" si="25"/>
        <v>15825.918412195746</v>
      </c>
      <c r="H181" s="9"/>
      <c r="I181" s="12">
        <f t="shared" si="21"/>
        <v>265.27716222501203</v>
      </c>
      <c r="J181" s="12">
        <f t="shared" si="22"/>
        <v>1239.8677765933071</v>
      </c>
      <c r="K181" s="12">
        <f t="shared" si="23"/>
        <v>153.24208474748758</v>
      </c>
    </row>
    <row r="182" spans="2:11" x14ac:dyDescent="0.25">
      <c r="B182" s="10">
        <v>178</v>
      </c>
      <c r="C182" s="21">
        <v>44069</v>
      </c>
      <c r="D182" s="12">
        <f t="shared" si="18"/>
        <v>8001.2560564121113</v>
      </c>
      <c r="E182" s="12">
        <f t="shared" si="19"/>
        <v>39560.242940135155</v>
      </c>
      <c r="F182" s="12">
        <f t="shared" ref="F182:G197" si="26">F181+J182</f>
        <v>129252.4758930729</v>
      </c>
      <c r="G182" s="12">
        <f t="shared" si="26"/>
        <v>15975.025110379809</v>
      </c>
      <c r="H182" s="9"/>
      <c r="I182" s="12">
        <f t="shared" si="21"/>
        <v>250.29523706402446</v>
      </c>
      <c r="J182" s="12">
        <f t="shared" si="22"/>
        <v>1206.4087398528723</v>
      </c>
      <c r="K182" s="12">
        <f t="shared" si="23"/>
        <v>149.10669818406305</v>
      </c>
    </row>
    <row r="183" spans="2:11" x14ac:dyDescent="0.25">
      <c r="B183" s="10">
        <v>179</v>
      </c>
      <c r="C183" s="21">
        <v>44070</v>
      </c>
      <c r="D183" s="12">
        <f t="shared" si="18"/>
        <v>7764.9502121639689</v>
      </c>
      <c r="E183" s="12">
        <f t="shared" si="19"/>
        <v>38477.874019712122</v>
      </c>
      <c r="F183" s="12">
        <f t="shared" si="26"/>
        <v>130426.09643363024</v>
      </c>
      <c r="G183" s="12">
        <f t="shared" si="26"/>
        <v>16120.079334493637</v>
      </c>
      <c r="H183" s="9"/>
      <c r="I183" s="12">
        <f t="shared" si="21"/>
        <v>236.30584424814271</v>
      </c>
      <c r="J183" s="12">
        <f t="shared" si="22"/>
        <v>1173.6205405573428</v>
      </c>
      <c r="K183" s="12">
        <f t="shared" si="23"/>
        <v>145.05422411382904</v>
      </c>
    </row>
    <row r="184" spans="2:11" x14ac:dyDescent="0.25">
      <c r="B184" s="10">
        <v>180</v>
      </c>
      <c r="C184" s="21">
        <v>44071</v>
      </c>
      <c r="D184" s="12">
        <f t="shared" si="18"/>
        <v>7541.7145785970179</v>
      </c>
      <c r="E184" s="12">
        <f t="shared" si="19"/>
        <v>37418.513852622003</v>
      </c>
      <c r="F184" s="12">
        <f t="shared" si="26"/>
        <v>131567.60669621502</v>
      </c>
      <c r="G184" s="12">
        <f t="shared" si="26"/>
        <v>16261.164872565916</v>
      </c>
      <c r="H184" s="9"/>
      <c r="I184" s="12">
        <f t="shared" si="21"/>
        <v>223.23563356695064</v>
      </c>
      <c r="J184" s="12">
        <f t="shared" si="22"/>
        <v>1141.5102625847928</v>
      </c>
      <c r="K184" s="12">
        <f t="shared" si="23"/>
        <v>141.0855380722779</v>
      </c>
    </row>
    <row r="185" spans="2:11" x14ac:dyDescent="0.25">
      <c r="B185" s="10">
        <v>181</v>
      </c>
      <c r="C185" s="21">
        <v>44072</v>
      </c>
      <c r="D185" s="12">
        <f t="shared" si="18"/>
        <v>7330.6976182286953</v>
      </c>
      <c r="E185" s="12">
        <f t="shared" si="19"/>
        <v>36382.247017902926</v>
      </c>
      <c r="F185" s="12">
        <f t="shared" si="26"/>
        <v>132677.68927384281</v>
      </c>
      <c r="G185" s="12">
        <f t="shared" si="26"/>
        <v>16398.366090025531</v>
      </c>
      <c r="H185" s="9"/>
      <c r="I185" s="12">
        <f t="shared" si="21"/>
        <v>211.0169603683224</v>
      </c>
      <c r="J185" s="12">
        <f t="shared" si="22"/>
        <v>1110.0825776277859</v>
      </c>
      <c r="K185" s="12">
        <f t="shared" si="23"/>
        <v>137.20121745961416</v>
      </c>
    </row>
    <row r="186" spans="2:11" x14ac:dyDescent="0.25">
      <c r="B186" s="10">
        <v>182</v>
      </c>
      <c r="C186" s="21">
        <v>44073</v>
      </c>
      <c r="D186" s="12">
        <f t="shared" si="18"/>
        <v>7131.1101660747381</v>
      </c>
      <c r="E186" s="12">
        <f t="shared" si="19"/>
        <v>35369.092902793454</v>
      </c>
      <c r="F186" s="12">
        <f t="shared" si="26"/>
        <v>133757.02926870727</v>
      </c>
      <c r="G186" s="12">
        <f t="shared" si="26"/>
        <v>16531.767662424507</v>
      </c>
      <c r="H186" s="9"/>
      <c r="I186" s="12">
        <f t="shared" si="21"/>
        <v>199.58745215395763</v>
      </c>
      <c r="J186" s="12">
        <f t="shared" si="22"/>
        <v>1079.3399948644533</v>
      </c>
      <c r="K186" s="12">
        <f t="shared" si="23"/>
        <v>133.40157239897752</v>
      </c>
    </row>
    <row r="187" spans="2:11" x14ac:dyDescent="0.25">
      <c r="B187" s="10">
        <v>183</v>
      </c>
      <c r="C187" s="13">
        <v>44074</v>
      </c>
      <c r="D187" s="12">
        <f t="shared" si="18"/>
        <v>6942.2205637038287</v>
      </c>
      <c r="E187" s="12">
        <f t="shared" si="19"/>
        <v>34379.012741737912</v>
      </c>
      <c r="F187" s="12">
        <f t="shared" si="26"/>
        <v>134806.31235815681</v>
      </c>
      <c r="G187" s="12">
        <f t="shared" si="26"/>
        <v>16661.454336401417</v>
      </c>
      <c r="H187" s="9"/>
      <c r="I187" s="12">
        <f t="shared" si="21"/>
        <v>188.88960237090984</v>
      </c>
      <c r="J187" s="12">
        <f t="shared" si="22"/>
        <v>1049.2830894495391</v>
      </c>
      <c r="K187" s="12">
        <f t="shared" si="23"/>
        <v>129.68667397690945</v>
      </c>
    </row>
    <row r="188" spans="2:11" x14ac:dyDescent="0.25">
      <c r="B188" s="10">
        <v>184</v>
      </c>
      <c r="C188" s="21">
        <v>44075</v>
      </c>
      <c r="D188" s="12">
        <f t="shared" si="18"/>
        <v>6763.3501726031536</v>
      </c>
      <c r="E188" s="12">
        <f t="shared" si="19"/>
        <v>33411.916041447323</v>
      </c>
      <c r="F188" s="12">
        <f t="shared" si="26"/>
        <v>135826.22306949503</v>
      </c>
      <c r="G188" s="12">
        <f t="shared" si="26"/>
        <v>16787.510716454457</v>
      </c>
      <c r="H188" s="9"/>
      <c r="I188" s="12">
        <f t="shared" si="21"/>
        <v>178.87039110067471</v>
      </c>
      <c r="J188" s="12">
        <f t="shared" si="22"/>
        <v>1019.9107113382246</v>
      </c>
      <c r="K188" s="12">
        <f t="shared" si="23"/>
        <v>126.05638005303913</v>
      </c>
    </row>
    <row r="189" spans="2:11" x14ac:dyDescent="0.25">
      <c r="B189" s="10">
        <v>185</v>
      </c>
      <c r="C189" s="21">
        <v>44076</v>
      </c>
      <c r="D189" s="12">
        <f t="shared" si="18"/>
        <v>6593.8692406289556</v>
      </c>
      <c r="E189" s="12">
        <f t="shared" si="19"/>
        <v>32467.666438706612</v>
      </c>
      <c r="F189" s="12">
        <f t="shared" si="26"/>
        <v>136817.4432453913</v>
      </c>
      <c r="G189" s="12">
        <f t="shared" si="26"/>
        <v>16910.021075273096</v>
      </c>
      <c r="H189" s="9"/>
      <c r="I189" s="12">
        <f t="shared" si="21"/>
        <v>169.4809319741978</v>
      </c>
      <c r="J189" s="12">
        <f t="shared" si="22"/>
        <v>991.22017589627046</v>
      </c>
      <c r="K189" s="12">
        <f t="shared" si="23"/>
        <v>122.51035881864028</v>
      </c>
    </row>
    <row r="190" spans="2:11" x14ac:dyDescent="0.25">
      <c r="B190" s="10">
        <v>186</v>
      </c>
      <c r="C190" s="21">
        <v>44077</v>
      </c>
      <c r="D190" s="12">
        <f t="shared" si="18"/>
        <v>6433.1930962555025</v>
      </c>
      <c r="E190" s="12">
        <f t="shared" si="19"/>
        <v>31546.087035123179</v>
      </c>
      <c r="F190" s="12">
        <f t="shared" si="26"/>
        <v>137780.65068307292</v>
      </c>
      <c r="G190" s="12">
        <f t="shared" si="26"/>
        <v>17029.069185548353</v>
      </c>
      <c r="H190" s="9"/>
      <c r="I190" s="12">
        <f t="shared" si="21"/>
        <v>160.67614437345293</v>
      </c>
      <c r="J190" s="12">
        <f t="shared" si="22"/>
        <v>963.20743768162936</v>
      </c>
      <c r="K190" s="12">
        <f t="shared" si="23"/>
        <v>119.04811027525768</v>
      </c>
    </row>
    <row r="191" spans="2:11" x14ac:dyDescent="0.25">
      <c r="B191" s="10">
        <v>187</v>
      </c>
      <c r="C191" s="21">
        <v>44078</v>
      </c>
      <c r="D191" s="12">
        <f t="shared" si="18"/>
        <v>6280.7786464591691</v>
      </c>
      <c r="E191" s="12">
        <f t="shared" si="19"/>
        <v>30646.965250415407</v>
      </c>
      <c r="F191" s="12">
        <f t="shared" si="26"/>
        <v>138716.51793178156</v>
      </c>
      <c r="G191" s="12">
        <f t="shared" si="26"/>
        <v>17144.738171343804</v>
      </c>
      <c r="H191" s="9"/>
      <c r="I191" s="12">
        <f t="shared" si="21"/>
        <v>152.41444979633368</v>
      </c>
      <c r="J191" s="12">
        <f t="shared" si="22"/>
        <v>935.8672487086543</v>
      </c>
      <c r="K191" s="12">
        <f t="shared" si="23"/>
        <v>115.66898579545176</v>
      </c>
    </row>
    <row r="192" spans="2:11" x14ac:dyDescent="0.25">
      <c r="B192" s="10">
        <v>188</v>
      </c>
      <c r="C192" s="21">
        <v>44079</v>
      </c>
      <c r="D192" s="12">
        <f t="shared" si="18"/>
        <v>6136.1211553155108</v>
      </c>
      <c r="E192" s="12">
        <f t="shared" si="19"/>
        <v>29770.057233211886</v>
      </c>
      <c r="F192" s="12">
        <f t="shared" si="26"/>
        <v>139625.71123421055</v>
      </c>
      <c r="G192" s="12">
        <f t="shared" si="26"/>
        <v>17257.110377261994</v>
      </c>
      <c r="H192" s="9"/>
      <c r="I192" s="12">
        <f t="shared" si="21"/>
        <v>144.65749114365846</v>
      </c>
      <c r="J192" s="12">
        <f t="shared" si="22"/>
        <v>909.19330242899025</v>
      </c>
      <c r="K192" s="12">
        <f t="shared" si="23"/>
        <v>112.37220591818992</v>
      </c>
    </row>
    <row r="193" spans="2:11" x14ac:dyDescent="0.25">
      <c r="B193" s="10">
        <v>189</v>
      </c>
      <c r="C193" s="21">
        <v>44080</v>
      </c>
      <c r="D193" s="12">
        <f t="shared" si="18"/>
        <v>5998.7512816950066</v>
      </c>
      <c r="E193" s="12">
        <f t="shared" si="19"/>
        <v>28915.091865725328</v>
      </c>
      <c r="F193" s="12">
        <f t="shared" si="26"/>
        <v>140508.88959879585</v>
      </c>
      <c r="G193" s="12">
        <f t="shared" si="26"/>
        <v>17366.267253783772</v>
      </c>
      <c r="H193" s="9"/>
      <c r="I193" s="12">
        <f t="shared" si="21"/>
        <v>137.36987362050405</v>
      </c>
      <c r="J193" s="12">
        <f t="shared" si="22"/>
        <v>883.17836458528586</v>
      </c>
      <c r="K193" s="12">
        <f t="shared" si="23"/>
        <v>109.15687652177702</v>
      </c>
    </row>
    <row r="194" spans="2:11" x14ac:dyDescent="0.25">
      <c r="B194" s="10">
        <v>190</v>
      </c>
      <c r="C194" s="21">
        <v>44081</v>
      </c>
      <c r="D194" s="12">
        <f t="shared" si="18"/>
        <v>5868.2323557780128</v>
      </c>
      <c r="E194" s="12">
        <f t="shared" si="19"/>
        <v>28081.774396118144</v>
      </c>
      <c r="F194" s="12">
        <f t="shared" si="26"/>
        <v>141366.70399081238</v>
      </c>
      <c r="G194" s="12">
        <f t="shared" si="26"/>
        <v>17472.289257291432</v>
      </c>
      <c r="H194" s="9"/>
      <c r="I194" s="12">
        <f t="shared" si="21"/>
        <v>130.51892591699399</v>
      </c>
      <c r="J194" s="12">
        <f t="shared" si="22"/>
        <v>857.81439201651801</v>
      </c>
      <c r="K194" s="12">
        <f t="shared" si="23"/>
        <v>106.02200350765962</v>
      </c>
    </row>
    <row r="195" spans="2:11" x14ac:dyDescent="0.25">
      <c r="B195" s="10">
        <v>191</v>
      </c>
      <c r="C195" s="21">
        <v>44082</v>
      </c>
      <c r="D195" s="12">
        <f t="shared" si="18"/>
        <v>5744.1578754415323</v>
      </c>
      <c r="E195" s="12">
        <f t="shared" si="19"/>
        <v>27269.789729917353</v>
      </c>
      <c r="F195" s="12">
        <f t="shared" si="26"/>
        <v>142199.79663123057</v>
      </c>
      <c r="G195" s="12">
        <f t="shared" si="26"/>
        <v>17575.255763410532</v>
      </c>
      <c r="H195" s="9"/>
      <c r="I195" s="12">
        <f t="shared" si="21"/>
        <v>124.07448033648033</v>
      </c>
      <c r="J195" s="12">
        <f t="shared" si="22"/>
        <v>833.09264041817153</v>
      </c>
      <c r="K195" s="12">
        <f t="shared" si="23"/>
        <v>102.96650611909995</v>
      </c>
    </row>
    <row r="196" spans="2:11" x14ac:dyDescent="0.25">
      <c r="B196" s="10">
        <v>192</v>
      </c>
      <c r="C196" s="21">
        <v>44083</v>
      </c>
      <c r="D196" s="12">
        <f t="shared" si="18"/>
        <v>5626.149204877458</v>
      </c>
      <c r="E196" s="12">
        <f t="shared" si="19"/>
        <v>26478.805409484183</v>
      </c>
      <c r="F196" s="12">
        <f t="shared" si="26"/>
        <v>143008.80039321812</v>
      </c>
      <c r="G196" s="12">
        <f t="shared" si="26"/>
        <v>17675.24499242023</v>
      </c>
      <c r="H196" s="9"/>
      <c r="I196" s="12">
        <f t="shared" si="21"/>
        <v>118.00867056407397</v>
      </c>
      <c r="J196" s="12">
        <f t="shared" si="22"/>
        <v>809.00376198754805</v>
      </c>
      <c r="K196" s="12">
        <f t="shared" si="23"/>
        <v>99.989229009697056</v>
      </c>
    </row>
    <row r="197" spans="2:11" x14ac:dyDescent="0.25">
      <c r="B197" s="10">
        <v>193</v>
      </c>
      <c r="C197" s="21">
        <v>44084</v>
      </c>
      <c r="D197" s="12">
        <f t="shared" si="18"/>
        <v>5513.8534590678964</v>
      </c>
      <c r="E197" s="12">
        <f t="shared" si="19"/>
        <v>25708.474308310939</v>
      </c>
      <c r="F197" s="12">
        <f t="shared" si="26"/>
        <v>143794.33828703282</v>
      </c>
      <c r="G197" s="12">
        <f t="shared" si="26"/>
        <v>17772.33394558834</v>
      </c>
      <c r="H197" s="9"/>
      <c r="I197" s="12">
        <f t="shared" si="21"/>
        <v>112.29574580956158</v>
      </c>
      <c r="J197" s="12">
        <f t="shared" si="22"/>
        <v>785.53789381469733</v>
      </c>
      <c r="K197" s="12">
        <f t="shared" si="23"/>
        <v>97.088953168108745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5406.9415589568625</v>
      </c>
      <c r="E198" s="12">
        <f t="shared" ref="E198:E204" si="28">E197+I198-J198-K198</f>
        <v>24958.437064811606</v>
      </c>
      <c r="F198" s="12">
        <f t="shared" ref="F198:G204" si="29">F197+J198</f>
        <v>144557.02302484604</v>
      </c>
      <c r="G198" s="12">
        <f t="shared" si="29"/>
        <v>17866.598351385481</v>
      </c>
      <c r="H198" s="9"/>
      <c r="I198" s="12">
        <f t="shared" ref="I198:I204" si="30">E197*N$6*D197/SUM(D197:F197)*N$7</f>
        <v>106.9119001110341</v>
      </c>
      <c r="J198" s="12">
        <f t="shared" ref="J198:J204" si="31">E197*N$8/N$5</f>
        <v>762.68473781322439</v>
      </c>
      <c r="K198" s="12">
        <f t="shared" ref="K198:K204" si="32">E197*N$9/N$5</f>
        <v>94.264405797140185</v>
      </c>
    </row>
    <row r="199" spans="2:11" x14ac:dyDescent="0.25">
      <c r="B199" s="10">
        <v>195</v>
      </c>
      <c r="C199" s="21">
        <v>44086</v>
      </c>
      <c r="D199" s="12">
        <f t="shared" si="27"/>
        <v>5305.106443311628</v>
      </c>
      <c r="E199" s="12">
        <f t="shared" si="28"/>
        <v>24228.324278296452</v>
      </c>
      <c r="F199" s="12">
        <f t="shared" si="29"/>
        <v>145297.45665776878</v>
      </c>
      <c r="G199" s="12">
        <f t="shared" si="29"/>
        <v>17958.112620623124</v>
      </c>
      <c r="H199" s="9"/>
      <c r="I199" s="12">
        <f t="shared" si="30"/>
        <v>101.83511564523427</v>
      </c>
      <c r="J199" s="12">
        <f t="shared" si="31"/>
        <v>740.43363292274421</v>
      </c>
      <c r="K199" s="12">
        <f t="shared" si="32"/>
        <v>91.514269237642637</v>
      </c>
    </row>
    <row r="200" spans="2:11" x14ac:dyDescent="0.25">
      <c r="B200" s="10">
        <v>196</v>
      </c>
      <c r="C200" s="21">
        <v>44087</v>
      </c>
      <c r="D200" s="12">
        <f t="shared" si="27"/>
        <v>5208.0614243568898</v>
      </c>
      <c r="E200" s="12">
        <f t="shared" si="28"/>
        <v>23517.758487974639</v>
      </c>
      <c r="F200" s="12">
        <f t="shared" si="29"/>
        <v>146016.23027802492</v>
      </c>
      <c r="G200" s="12">
        <f t="shared" si="29"/>
        <v>18046.949809643545</v>
      </c>
      <c r="H200" s="9"/>
      <c r="I200" s="12">
        <f t="shared" si="30"/>
        <v>97.045018954738012</v>
      </c>
      <c r="J200" s="12">
        <f t="shared" si="31"/>
        <v>718.77362025612797</v>
      </c>
      <c r="K200" s="12">
        <f t="shared" si="32"/>
        <v>88.837189020420411</v>
      </c>
    </row>
    <row r="201" spans="2:11" x14ac:dyDescent="0.25">
      <c r="B201" s="10">
        <v>197</v>
      </c>
      <c r="C201" s="21">
        <v>44088</v>
      </c>
      <c r="D201" s="12">
        <f t="shared" si="27"/>
        <v>5115.5386752885461</v>
      </c>
      <c r="E201" s="12">
        <f t="shared" si="28"/>
        <v>22826.355954110495</v>
      </c>
      <c r="F201" s="12">
        <f t="shared" si="29"/>
        <v>146713.92377983482</v>
      </c>
      <c r="G201" s="12">
        <f t="shared" si="29"/>
        <v>18133.181590766118</v>
      </c>
      <c r="H201" s="9"/>
      <c r="I201" s="12">
        <f t="shared" si="30"/>
        <v>92.522749068343629</v>
      </c>
      <c r="J201" s="12">
        <f t="shared" si="31"/>
        <v>697.69350180991421</v>
      </c>
      <c r="K201" s="12">
        <f t="shared" si="32"/>
        <v>86.23178112257375</v>
      </c>
    </row>
    <row r="202" spans="2:11" x14ac:dyDescent="0.25">
      <c r="B202" s="10">
        <v>198</v>
      </c>
      <c r="C202" s="21">
        <v>44089</v>
      </c>
      <c r="D202" s="12">
        <f t="shared" si="27"/>
        <v>5027.2878387308238</v>
      </c>
      <c r="E202" s="12">
        <f t="shared" si="28"/>
        <v>22153.728258864536</v>
      </c>
      <c r="F202" s="12">
        <f t="shared" si="29"/>
        <v>147391.10567314009</v>
      </c>
      <c r="G202" s="12">
        <f t="shared" si="29"/>
        <v>18216.878229264523</v>
      </c>
      <c r="H202" s="9"/>
      <c r="I202" s="12">
        <f t="shared" si="30"/>
        <v>88.25083655772211</v>
      </c>
      <c r="J202" s="12">
        <f t="shared" si="31"/>
        <v>677.18189330527798</v>
      </c>
      <c r="K202" s="12">
        <f t="shared" si="32"/>
        <v>83.696638498405221</v>
      </c>
    </row>
    <row r="203" spans="2:11" x14ac:dyDescent="0.25">
      <c r="B203" s="10">
        <v>199</v>
      </c>
      <c r="C203" s="21">
        <v>44090</v>
      </c>
      <c r="D203" s="12">
        <f t="shared" si="27"/>
        <v>4943.0747460916245</v>
      </c>
      <c r="E203" s="12">
        <f t="shared" si="28"/>
        <v>21499.483742874916</v>
      </c>
      <c r="F203" s="12">
        <f t="shared" si="29"/>
        <v>148048.33294481973</v>
      </c>
      <c r="G203" s="12">
        <f t="shared" si="29"/>
        <v>18298.108566213694</v>
      </c>
      <c r="H203" s="9"/>
      <c r="I203" s="12">
        <f t="shared" si="30"/>
        <v>84.213092639199118</v>
      </c>
      <c r="J203" s="12">
        <f t="shared" si="31"/>
        <v>657.22727167964774</v>
      </c>
      <c r="K203" s="12">
        <f t="shared" si="32"/>
        <v>81.230336949170038</v>
      </c>
    </row>
    <row r="204" spans="2:11" x14ac:dyDescent="0.25">
      <c r="B204" s="20">
        <v>200</v>
      </c>
      <c r="C204" s="21">
        <v>44091</v>
      </c>
      <c r="D204" s="12">
        <f t="shared" si="27"/>
        <v>4862.6802385980709</v>
      </c>
      <c r="E204" s="12">
        <f t="shared" si="28"/>
        <v>20863.228792272639</v>
      </c>
      <c r="F204" s="12">
        <f t="shared" si="29"/>
        <v>148686.15096252502</v>
      </c>
      <c r="G204" s="12">
        <f t="shared" si="29"/>
        <v>18376.940006604236</v>
      </c>
      <c r="H204" s="9"/>
      <c r="I204" s="12">
        <f t="shared" si="30"/>
        <v>80.394507493553974</v>
      </c>
      <c r="J204" s="12">
        <f t="shared" si="31"/>
        <v>637.81801770528909</v>
      </c>
      <c r="K204" s="12">
        <f t="shared" si="32"/>
        <v>78.831440390541431</v>
      </c>
    </row>
    <row r="205" spans="2:11" x14ac:dyDescent="0.25">
      <c r="B205" s="19"/>
      <c r="C205" s="1"/>
      <c r="E205" s="12">
        <f>MAX(E4:E204)</f>
        <v>79680.489909244818</v>
      </c>
      <c r="I205" s="12">
        <f>MAX(I4:I204)</f>
        <v>4296.7761631053118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3E4ED-9EC9-4C82-8C44-52028C391F06}">
  <sheetPr codeName="Hoja9"/>
  <dimension ref="B2:N762"/>
  <sheetViews>
    <sheetView showGridLines="0" topLeftCell="B200" workbookViewId="0">
      <selection activeCell="I205" sqref="I205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4" t="s">
        <v>26</v>
      </c>
      <c r="E2" s="35"/>
      <c r="F2" s="35"/>
      <c r="G2" s="36"/>
      <c r="I2" s="34" t="s">
        <v>27</v>
      </c>
      <c r="J2" s="35"/>
      <c r="K2" s="36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149326</v>
      </c>
    </row>
    <row r="4" spans="2:14" x14ac:dyDescent="0.25">
      <c r="B4" s="10">
        <v>0</v>
      </c>
      <c r="C4" s="11">
        <v>43891</v>
      </c>
      <c r="D4" s="12">
        <f>N3</f>
        <v>149326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149325.86800088396</v>
      </c>
      <c r="E5" s="12">
        <f>E4+I5-J5-K5</f>
        <v>1.0986657827006054</v>
      </c>
      <c r="F5" s="12">
        <f>F4+J5</f>
        <v>2.9666666666666664E-2</v>
      </c>
      <c r="G5" s="12">
        <f>G4+K5</f>
        <v>3.6666666666666701E-3</v>
      </c>
      <c r="H5" s="9"/>
      <c r="I5" s="12">
        <f>E4*N$6*D4/SUM(D4:F4)*N$7</f>
        <v>0.13199911603393893</v>
      </c>
      <c r="J5" s="12">
        <f>E4*N$8/N$5</f>
        <v>2.9666666666666664E-2</v>
      </c>
      <c r="K5" s="12">
        <f>E4*N$9/N$5</f>
        <v>3.6666666666666701E-3</v>
      </c>
      <c r="M5" s="2" t="s">
        <v>7</v>
      </c>
      <c r="N5" s="18">
        <f>Datos!G3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149325.72297809646</v>
      </c>
      <c r="E6" s="12">
        <f t="shared" ref="E6:E69" si="1">E5+I6-J6-K6</f>
        <v>1.2070663774427801</v>
      </c>
      <c r="F6" s="12">
        <f t="shared" ref="F6:G21" si="2">F5+J6</f>
        <v>6.2260418220117963E-2</v>
      </c>
      <c r="G6" s="12">
        <f t="shared" si="2"/>
        <v>7.6951078699022263E-3</v>
      </c>
      <c r="H6" s="9"/>
      <c r="I6" s="12">
        <f t="shared" ref="I6:I69" si="3">E5*N$6*D5/SUM(D5:F5)*N$7</f>
        <v>0.14502278749886158</v>
      </c>
      <c r="J6" s="12">
        <f t="shared" ref="J6:J69" si="4">E5*N$8/N$5</f>
        <v>3.2593751553451296E-2</v>
      </c>
      <c r="K6" s="12">
        <f t="shared" ref="K6:K69" si="5">E5*N$9/N$5</f>
        <v>4.0284412032355566E-3</v>
      </c>
      <c r="M6" s="2" t="s">
        <v>8</v>
      </c>
      <c r="N6" s="3">
        <f>Datos!G4</f>
        <v>2</v>
      </c>
    </row>
    <row r="7" spans="2:14" x14ac:dyDescent="0.25">
      <c r="B7" s="10">
        <v>3</v>
      </c>
      <c r="C7" s="11">
        <v>43894</v>
      </c>
      <c r="D7" s="12">
        <f t="shared" si="0"/>
        <v>149325.563646689</v>
      </c>
      <c r="E7" s="12">
        <f t="shared" si="1"/>
        <v>1.3261622389714578</v>
      </c>
      <c r="F7" s="12">
        <f t="shared" si="2"/>
        <v>9.807005408425376E-2</v>
      </c>
      <c r="G7" s="12">
        <f t="shared" si="2"/>
        <v>1.2121017920525758E-2</v>
      </c>
      <c r="H7" s="9"/>
      <c r="I7" s="12">
        <f t="shared" si="3"/>
        <v>0.15933140744343693</v>
      </c>
      <c r="J7" s="12">
        <f t="shared" si="4"/>
        <v>3.5809635864135804E-2</v>
      </c>
      <c r="K7" s="12">
        <f t="shared" si="5"/>
        <v>4.4259100506235305E-3</v>
      </c>
      <c r="M7" s="2" t="s">
        <v>9</v>
      </c>
      <c r="N7" s="4">
        <f>Datos!G5</f>
        <v>6.6000000000000003E-2</v>
      </c>
    </row>
    <row r="8" spans="2:14" x14ac:dyDescent="0.25">
      <c r="B8" s="10">
        <v>4</v>
      </c>
      <c r="C8" s="11">
        <v>43895</v>
      </c>
      <c r="D8" s="12">
        <f t="shared" si="0"/>
        <v>149325.38859494307</v>
      </c>
      <c r="E8" s="12">
        <f t="shared" si="1"/>
        <v>1.4570085769473735</v>
      </c>
      <c r="F8" s="12">
        <f t="shared" si="2"/>
        <v>0.13741286717374035</v>
      </c>
      <c r="G8" s="12">
        <f t="shared" si="2"/>
        <v>1.6983612796754442E-2</v>
      </c>
      <c r="H8" s="9"/>
      <c r="I8" s="12">
        <f t="shared" si="3"/>
        <v>0.175051745941631</v>
      </c>
      <c r="J8" s="12">
        <f t="shared" si="4"/>
        <v>3.9342813089486582E-2</v>
      </c>
      <c r="K8" s="12">
        <f t="shared" si="5"/>
        <v>4.862594876228683E-3</v>
      </c>
      <c r="M8" s="2" t="s">
        <v>10</v>
      </c>
      <c r="N8" s="5">
        <f>Datos!G6</f>
        <v>0.8899999999999999</v>
      </c>
    </row>
    <row r="9" spans="2:14" x14ac:dyDescent="0.25">
      <c r="B9" s="10">
        <v>5</v>
      </c>
      <c r="C9" s="11">
        <v>43896</v>
      </c>
      <c r="D9" s="12">
        <f t="shared" si="0"/>
        <v>149325.19627186444</v>
      </c>
      <c r="E9" s="12">
        <f t="shared" si="1"/>
        <v>1.6007647030103478</v>
      </c>
      <c r="F9" s="12">
        <f t="shared" si="2"/>
        <v>0.18063745495651243</v>
      </c>
      <c r="G9" s="12">
        <f t="shared" si="2"/>
        <v>2.2325977578894818E-2</v>
      </c>
      <c r="H9" s="9"/>
      <c r="I9" s="12">
        <f t="shared" si="3"/>
        <v>0.19232307862788692</v>
      </c>
      <c r="J9" s="12">
        <f t="shared" si="4"/>
        <v>4.3224587782772071E-2</v>
      </c>
      <c r="K9" s="12">
        <f t="shared" si="5"/>
        <v>5.3423647821403738E-3</v>
      </c>
      <c r="M9" s="2" t="s">
        <v>11</v>
      </c>
      <c r="N9" s="5">
        <f>Datos!G7</f>
        <v>0.1100000000000001</v>
      </c>
    </row>
    <row r="10" spans="2:14" x14ac:dyDescent="0.25">
      <c r="B10" s="10">
        <v>6</v>
      </c>
      <c r="C10" s="11">
        <v>43897</v>
      </c>
      <c r="D10" s="12">
        <f t="shared" si="0"/>
        <v>149324.98497344437</v>
      </c>
      <c r="E10" s="12">
        <f t="shared" si="1"/>
        <v>1.7587042996510034</v>
      </c>
      <c r="F10" s="12">
        <f t="shared" si="2"/>
        <v>0.22812680781248607</v>
      </c>
      <c r="G10" s="12">
        <f t="shared" si="2"/>
        <v>2.8195448156599433E-2</v>
      </c>
      <c r="H10" s="9"/>
      <c r="I10" s="12">
        <f t="shared" si="3"/>
        <v>0.21129842007433394</v>
      </c>
      <c r="J10" s="12">
        <f t="shared" si="4"/>
        <v>4.7489352855973645E-2</v>
      </c>
      <c r="K10" s="12">
        <f t="shared" si="5"/>
        <v>5.8694705777046132E-3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149324.75282756562</v>
      </c>
      <c r="E11" s="12">
        <f t="shared" si="1"/>
        <v>1.9322267017523145</v>
      </c>
      <c r="F11" s="12">
        <f t="shared" si="2"/>
        <v>0.28030170203546584</v>
      </c>
      <c r="G11" s="12">
        <f t="shared" si="2"/>
        <v>3.4644030588653119E-2</v>
      </c>
      <c r="H11" s="9"/>
      <c r="I11" s="12">
        <f t="shared" si="3"/>
        <v>0.23214587875634468</v>
      </c>
      <c r="J11" s="12">
        <f t="shared" si="4"/>
        <v>5.2174894222979759E-2</v>
      </c>
      <c r="K11" s="12">
        <f t="shared" si="5"/>
        <v>6.4485824320536841E-3</v>
      </c>
      <c r="M11" s="2" t="s">
        <v>12</v>
      </c>
      <c r="N11" s="7">
        <v>231480</v>
      </c>
    </row>
    <row r="12" spans="2:14" x14ac:dyDescent="0.25">
      <c r="B12" s="10">
        <v>8</v>
      </c>
      <c r="C12" s="11">
        <v>43899</v>
      </c>
      <c r="D12" s="12">
        <f t="shared" si="0"/>
        <v>149324.49777742004</v>
      </c>
      <c r="E12" s="12">
        <f t="shared" si="1"/>
        <v>2.1228692906086479</v>
      </c>
      <c r="F12" s="12">
        <f t="shared" si="2"/>
        <v>0.33762442752078448</v>
      </c>
      <c r="G12" s="12">
        <f t="shared" si="2"/>
        <v>4.1728861828411609E-2</v>
      </c>
      <c r="H12" s="9"/>
      <c r="I12" s="12">
        <f t="shared" si="3"/>
        <v>0.25505014558141059</v>
      </c>
      <c r="J12" s="12">
        <f t="shared" si="4"/>
        <v>5.7322725485318658E-2</v>
      </c>
      <c r="K12" s="12">
        <f t="shared" si="5"/>
        <v>7.0848312397584923E-3</v>
      </c>
      <c r="M12" s="2" t="s">
        <v>13</v>
      </c>
      <c r="N12" s="7">
        <f>SUM(J5:J204)</f>
        <v>116435.29706585316</v>
      </c>
    </row>
    <row r="13" spans="2:14" x14ac:dyDescent="0.25">
      <c r="B13" s="10">
        <v>9</v>
      </c>
      <c r="C13" s="11">
        <v>43900</v>
      </c>
      <c r="D13" s="12">
        <f t="shared" si="0"/>
        <v>149324.21756329091</v>
      </c>
      <c r="E13" s="12">
        <f t="shared" si="1"/>
        <v>2.3323211100550241</v>
      </c>
      <c r="F13" s="12">
        <f t="shared" si="2"/>
        <v>0.40060288314217435</v>
      </c>
      <c r="G13" s="12">
        <f t="shared" si="2"/>
        <v>4.9512715893976655E-2</v>
      </c>
      <c r="H13" s="9"/>
      <c r="I13" s="12">
        <f t="shared" si="3"/>
        <v>0.2802141291333311</v>
      </c>
      <c r="J13" s="12">
        <f t="shared" si="4"/>
        <v>6.2978455621389887E-2</v>
      </c>
      <c r="K13" s="12">
        <f t="shared" si="5"/>
        <v>7.7838540655650488E-3</v>
      </c>
      <c r="M13" s="2" t="s">
        <v>14</v>
      </c>
      <c r="N13" s="7">
        <f>SUM(K5:K204)</f>
        <v>14390.879412633545</v>
      </c>
    </row>
    <row r="14" spans="2:14" x14ac:dyDescent="0.25">
      <c r="B14" s="10">
        <v>10</v>
      </c>
      <c r="C14" s="11">
        <v>43901</v>
      </c>
      <c r="D14" s="12">
        <f t="shared" si="0"/>
        <v>149323.90970253883</v>
      </c>
      <c r="E14" s="12">
        <f t="shared" si="1"/>
        <v>2.5624378251291251</v>
      </c>
      <c r="F14" s="12">
        <f t="shared" si="2"/>
        <v>0.46979507607380672</v>
      </c>
      <c r="G14" s="12">
        <f t="shared" si="2"/>
        <v>5.8064559964178419E-2</v>
      </c>
      <c r="H14" s="9"/>
      <c r="I14" s="12">
        <f t="shared" si="3"/>
        <v>0.30786075207593544</v>
      </c>
      <c r="J14" s="12">
        <f t="shared" si="4"/>
        <v>6.9192192931632368E-2</v>
      </c>
      <c r="K14" s="12">
        <f t="shared" si="5"/>
        <v>8.5518440702017622E-3</v>
      </c>
      <c r="M14" s="2" t="s">
        <v>15</v>
      </c>
      <c r="N14" s="7">
        <f>SUM(D4:G4)-N11</f>
        <v>-82153</v>
      </c>
    </row>
    <row r="15" spans="2:14" x14ac:dyDescent="0.25">
      <c r="B15" s="10">
        <v>11</v>
      </c>
      <c r="C15" s="11">
        <v>43902</v>
      </c>
      <c r="D15" s="12">
        <f t="shared" si="0"/>
        <v>149323.57146761427</v>
      </c>
      <c r="E15" s="12">
        <f t="shared" si="1"/>
        <v>2.8152581555373106</v>
      </c>
      <c r="F15" s="12">
        <f t="shared" si="2"/>
        <v>0.54581406488597073</v>
      </c>
      <c r="G15" s="12">
        <f t="shared" si="2"/>
        <v>6.7460165322985224E-2</v>
      </c>
      <c r="H15" s="9"/>
      <c r="I15" s="12">
        <f t="shared" si="3"/>
        <v>0.33823492457915627</v>
      </c>
      <c r="J15" s="12">
        <f t="shared" si="4"/>
        <v>7.601898881216404E-2</v>
      </c>
      <c r="K15" s="12">
        <f t="shared" si="5"/>
        <v>9.3956053588067998E-3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149323.19986190207</v>
      </c>
      <c r="E16" s="12">
        <f t="shared" si="1"/>
        <v>3.0930219292068801</v>
      </c>
      <c r="F16" s="12">
        <f t="shared" si="2"/>
        <v>0.62933339016691092</v>
      </c>
      <c r="G16" s="12">
        <f t="shared" si="2"/>
        <v>7.7782778559955371E-2</v>
      </c>
      <c r="H16" s="9"/>
      <c r="I16" s="12">
        <f t="shared" si="3"/>
        <v>0.37160571218748001</v>
      </c>
      <c r="J16" s="12">
        <f t="shared" si="4"/>
        <v>8.3519325280940207E-2</v>
      </c>
      <c r="K16" s="12">
        <f t="shared" si="5"/>
        <v>1.0322613236970148E-2</v>
      </c>
      <c r="M16" s="2" t="s">
        <v>16</v>
      </c>
      <c r="N16" s="7">
        <f>MAX(E4:E204)</f>
        <v>61718.307241825452</v>
      </c>
    </row>
    <row r="17" spans="2:14" x14ac:dyDescent="0.25">
      <c r="B17" s="10">
        <v>13</v>
      </c>
      <c r="C17" s="11">
        <v>43904</v>
      </c>
      <c r="D17" s="12">
        <f t="shared" si="0"/>
        <v>149322.79159318481</v>
      </c>
      <c r="E17" s="12">
        <f t="shared" si="1"/>
        <v>3.3981899154933326</v>
      </c>
      <c r="F17" s="12">
        <f t="shared" si="2"/>
        <v>0.72109304073338165</v>
      </c>
      <c r="G17" s="12">
        <f t="shared" si="2"/>
        <v>8.9123858967047276E-2</v>
      </c>
      <c r="H17" s="9"/>
      <c r="I17" s="12">
        <f t="shared" si="3"/>
        <v>0.40826871726001512</v>
      </c>
      <c r="J17" s="12">
        <f t="shared" si="4"/>
        <v>9.1759650566470771E-2</v>
      </c>
      <c r="K17" s="12">
        <f t="shared" si="5"/>
        <v>1.1341080407091904E-2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149322.34304448983</v>
      </c>
      <c r="E18" s="12">
        <f t="shared" si="1"/>
        <v>3.733465613297509</v>
      </c>
      <c r="F18" s="12">
        <f t="shared" si="2"/>
        <v>0.82190600822635052</v>
      </c>
      <c r="G18" s="12">
        <f t="shared" si="2"/>
        <v>0.10158388865718951</v>
      </c>
      <c r="H18" s="9"/>
      <c r="I18" s="12">
        <f t="shared" si="3"/>
        <v>0.44854869498728756</v>
      </c>
      <c r="J18" s="12">
        <f t="shared" si="4"/>
        <v>0.10081296749296885</v>
      </c>
      <c r="K18" s="12">
        <f t="shared" si="5"/>
        <v>1.2460029690142231E-2</v>
      </c>
      <c r="M18" s="2" t="s">
        <v>17</v>
      </c>
      <c r="N18" s="7">
        <f>MAX(I5:I204)</f>
        <v>3328.0555729119483</v>
      </c>
    </row>
    <row r="19" spans="2:14" x14ac:dyDescent="0.25">
      <c r="B19" s="10">
        <v>15</v>
      </c>
      <c r="C19" s="11">
        <v>43906</v>
      </c>
      <c r="D19" s="12">
        <f t="shared" si="0"/>
        <v>149321.85024206276</v>
      </c>
      <c r="E19" s="12">
        <f t="shared" si="1"/>
        <v>4.1018191865693785</v>
      </c>
      <c r="F19" s="12">
        <f t="shared" si="2"/>
        <v>0.93266548808750993</v>
      </c>
      <c r="G19" s="12">
        <f t="shared" si="2"/>
        <v>0.11527326257261372</v>
      </c>
      <c r="H19" s="9"/>
      <c r="I19" s="12">
        <f t="shared" si="3"/>
        <v>0.49280242704845312</v>
      </c>
      <c r="J19" s="12">
        <f t="shared" si="4"/>
        <v>0.11075947986115943</v>
      </c>
      <c r="K19" s="12">
        <f t="shared" si="5"/>
        <v>1.3689373915424212E-2</v>
      </c>
      <c r="M19" s="2" t="s">
        <v>18</v>
      </c>
      <c r="N19" s="7">
        <f>MAX(J5:J204)</f>
        <v>1830.9764481741549</v>
      </c>
    </row>
    <row r="20" spans="2:14" x14ac:dyDescent="0.25">
      <c r="B20" s="10">
        <v>16</v>
      </c>
      <c r="C20" s="11">
        <v>43907</v>
      </c>
      <c r="D20" s="12">
        <f t="shared" si="0"/>
        <v>149321.30882018452</v>
      </c>
      <c r="E20" s="12">
        <f t="shared" si="1"/>
        <v>4.5065137585818063</v>
      </c>
      <c r="F20" s="12">
        <f t="shared" si="2"/>
        <v>1.0543527906224015</v>
      </c>
      <c r="G20" s="12">
        <f t="shared" si="2"/>
        <v>0.13031326625670145</v>
      </c>
      <c r="H20" s="9"/>
      <c r="I20" s="12">
        <f t="shared" si="3"/>
        <v>0.54142187823140764</v>
      </c>
      <c r="J20" s="12">
        <f t="shared" si="4"/>
        <v>0.12168730253489154</v>
      </c>
      <c r="K20" s="12">
        <f t="shared" si="5"/>
        <v>1.5040003684087734E-2</v>
      </c>
      <c r="M20" s="2" t="s">
        <v>19</v>
      </c>
      <c r="N20" s="7">
        <f>MAX(K5:K204)</f>
        <v>226.30045988669355</v>
      </c>
    </row>
    <row r="21" spans="2:14" x14ac:dyDescent="0.25">
      <c r="B21" s="10">
        <v>17</v>
      </c>
      <c r="C21" s="11">
        <v>43908</v>
      </c>
      <c r="D21" s="12">
        <f t="shared" si="0"/>
        <v>149320.71398252071</v>
      </c>
      <c r="E21" s="12">
        <f t="shared" si="1"/>
        <v>4.9511342971122208</v>
      </c>
      <c r="F21" s="12">
        <f t="shared" si="2"/>
        <v>1.188046032126995</v>
      </c>
      <c r="G21" s="12">
        <f t="shared" si="2"/>
        <v>0.14683715003816808</v>
      </c>
      <c r="H21" s="9"/>
      <c r="I21" s="12">
        <f t="shared" si="3"/>
        <v>0.59483766381647429</v>
      </c>
      <c r="J21" s="12">
        <f t="shared" si="4"/>
        <v>0.13369324150459358</v>
      </c>
      <c r="K21" s="12">
        <f t="shared" si="5"/>
        <v>1.6523883781466638E-2</v>
      </c>
    </row>
    <row r="22" spans="2:14" x14ac:dyDescent="0.25">
      <c r="B22" s="10">
        <v>18</v>
      </c>
      <c r="C22" s="11">
        <v>43909</v>
      </c>
      <c r="D22" s="12">
        <f t="shared" si="0"/>
        <v>149320.06045966246</v>
      </c>
      <c r="E22" s="12">
        <f t="shared" si="1"/>
        <v>5.4396193454513213</v>
      </c>
      <c r="F22" s="12">
        <f t="shared" ref="F22:G37" si="6">F21+J22</f>
        <v>1.3349296829413242</v>
      </c>
      <c r="G22" s="12">
        <f t="shared" si="6"/>
        <v>0.16499130912757956</v>
      </c>
      <c r="H22" s="9"/>
      <c r="I22" s="12">
        <f t="shared" si="3"/>
        <v>0.65352285824284162</v>
      </c>
      <c r="J22" s="12">
        <f t="shared" si="4"/>
        <v>0.14688365081432922</v>
      </c>
      <c r="K22" s="12">
        <f t="shared" si="5"/>
        <v>1.8154159089411492E-2</v>
      </c>
    </row>
    <row r="23" spans="2:14" x14ac:dyDescent="0.25">
      <c r="B23" s="10">
        <v>19</v>
      </c>
      <c r="C23" s="11">
        <v>43910</v>
      </c>
      <c r="D23" s="12">
        <f t="shared" si="0"/>
        <v>149319.34246248391</v>
      </c>
      <c r="E23" s="12">
        <f t="shared" si="1"/>
        <v>5.9762958791615395</v>
      </c>
      <c r="F23" s="12">
        <f t="shared" si="6"/>
        <v>1.49630505685638</v>
      </c>
      <c r="G23" s="12">
        <f t="shared" si="6"/>
        <v>0.18493658006090108</v>
      </c>
      <c r="H23" s="9"/>
      <c r="I23" s="12">
        <f t="shared" si="3"/>
        <v>0.71799717855859591</v>
      </c>
      <c r="J23" s="12">
        <f t="shared" si="4"/>
        <v>0.16137537391505585</v>
      </c>
      <c r="K23" s="12">
        <f t="shared" si="5"/>
        <v>1.9945270933321529E-2</v>
      </c>
    </row>
    <row r="24" spans="2:14" x14ac:dyDescent="0.25">
      <c r="B24" s="10">
        <v>20</v>
      </c>
      <c r="C24" s="11">
        <v>43911</v>
      </c>
      <c r="D24" s="12">
        <f t="shared" si="0"/>
        <v>149318.5536309045</v>
      </c>
      <c r="E24" s="12">
        <f t="shared" si="1"/>
        <v>6.5659175959477407</v>
      </c>
      <c r="F24" s="12">
        <f t="shared" si="6"/>
        <v>1.6736018346048391</v>
      </c>
      <c r="G24" s="12">
        <f t="shared" si="6"/>
        <v>0.20684966495116008</v>
      </c>
      <c r="H24" s="9"/>
      <c r="I24" s="12">
        <f t="shared" si="3"/>
        <v>0.78883157942491844</v>
      </c>
      <c r="J24" s="12">
        <f t="shared" si="4"/>
        <v>0.17729677774845898</v>
      </c>
      <c r="K24" s="12">
        <f t="shared" si="5"/>
        <v>2.1913084890258998E-2</v>
      </c>
    </row>
    <row r="25" spans="2:14" x14ac:dyDescent="0.25">
      <c r="B25" s="10">
        <v>21</v>
      </c>
      <c r="C25" s="11">
        <v>43912</v>
      </c>
      <c r="D25" s="12">
        <f t="shared" si="0"/>
        <v>149317.68697760446</v>
      </c>
      <c r="E25" s="12">
        <f t="shared" si="1"/>
        <v>7.2137069761128103</v>
      </c>
      <c r="F25" s="12">
        <f t="shared" si="6"/>
        <v>1.8683907232846222</v>
      </c>
      <c r="G25" s="12">
        <f t="shared" si="6"/>
        <v>0.23092469613630182</v>
      </c>
      <c r="H25" s="9"/>
      <c r="I25" s="12">
        <f t="shared" si="3"/>
        <v>0.86665330002999375</v>
      </c>
      <c r="J25" s="12">
        <f t="shared" si="4"/>
        <v>0.19478888867978297</v>
      </c>
      <c r="K25" s="12">
        <f t="shared" si="5"/>
        <v>2.4075031185141739E-2</v>
      </c>
    </row>
    <row r="26" spans="2:14" x14ac:dyDescent="0.25">
      <c r="B26" s="10">
        <v>22</v>
      </c>
      <c r="C26" s="11">
        <v>43913</v>
      </c>
      <c r="D26" s="12">
        <f t="shared" si="0"/>
        <v>149316.73482619727</v>
      </c>
      <c r="E26" s="12">
        <f t="shared" si="1"/>
        <v>7.9254014841069971</v>
      </c>
      <c r="F26" s="12">
        <f t="shared" si="6"/>
        <v>2.0823973635759687</v>
      </c>
      <c r="G26" s="12">
        <f t="shared" si="6"/>
        <v>0.25737495504871549</v>
      </c>
      <c r="H26" s="9"/>
      <c r="I26" s="12">
        <f t="shared" si="3"/>
        <v>0.95215140719794655</v>
      </c>
      <c r="J26" s="12">
        <f t="shared" si="4"/>
        <v>0.21400664029134667</v>
      </c>
      <c r="K26" s="12">
        <f t="shared" si="5"/>
        <v>2.6450258912413659E-2</v>
      </c>
    </row>
    <row r="27" spans="2:14" x14ac:dyDescent="0.25">
      <c r="B27" s="10">
        <v>23</v>
      </c>
      <c r="C27" s="11">
        <v>43914</v>
      </c>
      <c r="D27" s="12">
        <f t="shared" si="0"/>
        <v>149315.68874331398</v>
      </c>
      <c r="E27" s="12">
        <f t="shared" si="1"/>
        <v>8.7073043179216629</v>
      </c>
      <c r="F27" s="12">
        <f t="shared" si="6"/>
        <v>2.3175176076044761</v>
      </c>
      <c r="G27" s="12">
        <f t="shared" si="6"/>
        <v>0.2864347604904412</v>
      </c>
      <c r="H27" s="9"/>
      <c r="I27" s="12">
        <f t="shared" si="3"/>
        <v>1.0460828832849003</v>
      </c>
      <c r="J27" s="12">
        <f t="shared" si="4"/>
        <v>0.23512024402850754</v>
      </c>
      <c r="K27" s="12">
        <f t="shared" si="5"/>
        <v>2.9059805441725685E-2</v>
      </c>
    </row>
    <row r="28" spans="2:14" x14ac:dyDescent="0.25">
      <c r="B28" s="10">
        <v>24</v>
      </c>
      <c r="C28" s="11">
        <v>43915</v>
      </c>
      <c r="D28" s="12">
        <f t="shared" si="0"/>
        <v>149314.53946400181</v>
      </c>
      <c r="E28" s="12">
        <f t="shared" si="1"/>
        <v>9.5663401528305876</v>
      </c>
      <c r="F28" s="12">
        <f t="shared" si="6"/>
        <v>2.5758343023694854</v>
      </c>
      <c r="G28" s="12">
        <f t="shared" si="6"/>
        <v>0.31836154298948732</v>
      </c>
      <c r="H28" s="9"/>
      <c r="I28" s="12">
        <f t="shared" si="3"/>
        <v>1.1492793121729785</v>
      </c>
      <c r="J28" s="12">
        <f t="shared" si="4"/>
        <v>0.25831669476500929</v>
      </c>
      <c r="K28" s="12">
        <f t="shared" si="5"/>
        <v>3.1926782499046125E-2</v>
      </c>
    </row>
    <row r="29" spans="2:14" x14ac:dyDescent="0.25">
      <c r="B29" s="10">
        <v>25</v>
      </c>
      <c r="C29" s="11">
        <v>43916</v>
      </c>
      <c r="D29" s="12">
        <f t="shared" si="0"/>
        <v>149313.27680977996</v>
      </c>
      <c r="E29" s="12">
        <f t="shared" si="1"/>
        <v>10.510116369577988</v>
      </c>
      <c r="F29" s="12">
        <f t="shared" si="6"/>
        <v>2.8596357269034596</v>
      </c>
      <c r="G29" s="12">
        <f t="shared" si="6"/>
        <v>0.35343812354986615</v>
      </c>
      <c r="H29" s="9"/>
      <c r="I29" s="12">
        <f t="shared" si="3"/>
        <v>1.2626542218417536</v>
      </c>
      <c r="J29" s="12">
        <f t="shared" si="4"/>
        <v>0.28380142453397406</v>
      </c>
      <c r="K29" s="12">
        <f t="shared" si="5"/>
        <v>3.5076580560378851E-2</v>
      </c>
    </row>
    <row r="30" spans="2:14" x14ac:dyDescent="0.25">
      <c r="B30" s="10">
        <v>26</v>
      </c>
      <c r="C30" s="11">
        <v>43917</v>
      </c>
      <c r="D30" s="12">
        <f t="shared" si="0"/>
        <v>149311.88959863229</v>
      </c>
      <c r="E30" s="12">
        <f t="shared" si="1"/>
        <v>11.546990304915116</v>
      </c>
      <c r="F30" s="12">
        <f t="shared" si="6"/>
        <v>3.1714358458676064</v>
      </c>
      <c r="G30" s="12">
        <f t="shared" si="6"/>
        <v>0.39197521690498549</v>
      </c>
      <c r="H30" s="9"/>
      <c r="I30" s="12">
        <f t="shared" si="3"/>
        <v>1.3872111476563938</v>
      </c>
      <c r="J30" s="12">
        <f t="shared" si="4"/>
        <v>0.31180011896414694</v>
      </c>
      <c r="K30" s="12">
        <f t="shared" si="5"/>
        <v>3.8537093355119324E-2</v>
      </c>
    </row>
    <row r="31" spans="2:14" x14ac:dyDescent="0.25">
      <c r="B31" s="10">
        <v>27</v>
      </c>
      <c r="C31" s="11">
        <v>43918</v>
      </c>
      <c r="D31" s="12">
        <f t="shared" si="0"/>
        <v>149310.36554614559</v>
      </c>
      <c r="E31" s="12">
        <f t="shared" si="1"/>
        <v>12.686143114791822</v>
      </c>
      <c r="F31" s="12">
        <f t="shared" si="6"/>
        <v>3.5139965582467547</v>
      </c>
      <c r="G31" s="12">
        <f t="shared" si="6"/>
        <v>0.43431418135634092</v>
      </c>
      <c r="H31" s="9"/>
      <c r="I31" s="12">
        <f t="shared" si="3"/>
        <v>1.5240524867072081</v>
      </c>
      <c r="J31" s="12">
        <f t="shared" si="4"/>
        <v>0.34256071237914842</v>
      </c>
      <c r="K31" s="12">
        <f t="shared" si="5"/>
        <v>4.233896445135546E-2</v>
      </c>
    </row>
    <row r="32" spans="2:14" x14ac:dyDescent="0.25">
      <c r="B32" s="10">
        <v>28</v>
      </c>
      <c r="C32" s="11">
        <v>43919</v>
      </c>
      <c r="D32" s="12">
        <f t="shared" si="0"/>
        <v>149308.69115692528</v>
      </c>
      <c r="E32" s="12">
        <f t="shared" si="1"/>
        <v>13.937660897946579</v>
      </c>
      <c r="F32" s="12">
        <f t="shared" si="6"/>
        <v>3.8903521373189118</v>
      </c>
      <c r="G32" s="12">
        <f t="shared" si="6"/>
        <v>0.48083003944391101</v>
      </c>
      <c r="H32" s="9"/>
      <c r="I32" s="12">
        <f t="shared" si="3"/>
        <v>1.6743892203144854</v>
      </c>
      <c r="J32" s="12">
        <f t="shared" si="4"/>
        <v>0.37635557907215733</v>
      </c>
      <c r="K32" s="12">
        <f t="shared" si="5"/>
        <v>4.6515858087570056E-2</v>
      </c>
    </row>
    <row r="33" spans="2:11" x14ac:dyDescent="0.25">
      <c r="B33" s="10">
        <v>29</v>
      </c>
      <c r="C33" s="11">
        <v>43920</v>
      </c>
      <c r="D33" s="12">
        <f t="shared" si="0"/>
        <v>149306.85160533607</v>
      </c>
      <c r="E33" s="12">
        <f t="shared" si="1"/>
        <v>15.312623790575865</v>
      </c>
      <c r="F33" s="12">
        <f t="shared" si="6"/>
        <v>4.3038360772913267</v>
      </c>
      <c r="G33" s="12">
        <f t="shared" si="6"/>
        <v>0.53193479606971517</v>
      </c>
      <c r="H33" s="9"/>
      <c r="I33" s="12">
        <f t="shared" si="3"/>
        <v>1.8395515892275067</v>
      </c>
      <c r="J33" s="12">
        <f t="shared" si="4"/>
        <v>0.41348393997241512</v>
      </c>
      <c r="K33" s="12">
        <f t="shared" si="5"/>
        <v>5.1104756625804167E-2</v>
      </c>
    </row>
    <row r="34" spans="2:11" x14ac:dyDescent="0.25">
      <c r="B34" s="10">
        <v>30</v>
      </c>
      <c r="C34" s="13">
        <v>43921</v>
      </c>
      <c r="D34" s="12">
        <f t="shared" si="0"/>
        <v>149304.83060452191</v>
      </c>
      <c r="E34" s="12">
        <f t="shared" si="1"/>
        <v>16.823203811709853</v>
      </c>
      <c r="F34" s="12">
        <f t="shared" si="6"/>
        <v>4.7581105830784107</v>
      </c>
      <c r="G34" s="12">
        <f t="shared" si="6"/>
        <v>0.58808108330182673</v>
      </c>
      <c r="H34" s="9"/>
      <c r="I34" s="12">
        <f t="shared" si="3"/>
        <v>2.0210008141531808</v>
      </c>
      <c r="J34" s="12">
        <f t="shared" si="4"/>
        <v>0.45427450578708395</v>
      </c>
      <c r="K34" s="12">
        <f t="shared" si="5"/>
        <v>5.6146287232111555E-2</v>
      </c>
    </row>
    <row r="35" spans="2:11" x14ac:dyDescent="0.25">
      <c r="B35" s="10">
        <v>31</v>
      </c>
      <c r="C35" s="11">
        <v>43922</v>
      </c>
      <c r="D35" s="12">
        <f t="shared" si="0"/>
        <v>149302.6102625588</v>
      </c>
      <c r="E35" s="12">
        <f t="shared" si="1"/>
        <v>18.482772314427482</v>
      </c>
      <c r="F35" s="12">
        <f t="shared" si="6"/>
        <v>5.2571989628258029</v>
      </c>
      <c r="G35" s="12">
        <f t="shared" si="6"/>
        <v>0.64976616394476294</v>
      </c>
      <c r="H35" s="9"/>
      <c r="I35" s="12">
        <f t="shared" si="3"/>
        <v>2.2203419631079551</v>
      </c>
      <c r="J35" s="12">
        <f t="shared" si="4"/>
        <v>0.49908837974739223</v>
      </c>
      <c r="K35" s="12">
        <f t="shared" si="5"/>
        <v>6.168508064293618E-2</v>
      </c>
    </row>
    <row r="36" spans="2:11" x14ac:dyDescent="0.25">
      <c r="B36" s="10">
        <v>32</v>
      </c>
      <c r="C36" s="11">
        <v>43923</v>
      </c>
      <c r="D36" s="12">
        <f t="shared" si="0"/>
        <v>149300.17092448202</v>
      </c>
      <c r="E36" s="12">
        <f t="shared" si="1"/>
        <v>20.306017980707267</v>
      </c>
      <c r="F36" s="12">
        <f t="shared" si="6"/>
        <v>5.8055212081538183</v>
      </c>
      <c r="G36" s="12">
        <f t="shared" si="6"/>
        <v>0.71753632909766374</v>
      </c>
      <c r="H36" s="9"/>
      <c r="I36" s="12">
        <f t="shared" si="3"/>
        <v>2.4393380767607002</v>
      </c>
      <c r="J36" s="12">
        <f t="shared" si="4"/>
        <v>0.54832224532801521</v>
      </c>
      <c r="K36" s="12">
        <f t="shared" si="5"/>
        <v>6.7770165152900824E-2</v>
      </c>
    </row>
    <row r="37" spans="2:11" x14ac:dyDescent="0.25">
      <c r="B37" s="10">
        <v>33</v>
      </c>
      <c r="C37" s="11">
        <v>43924</v>
      </c>
      <c r="D37" s="12">
        <f t="shared" si="0"/>
        <v>149297.49099880853</v>
      </c>
      <c r="E37" s="12">
        <f t="shared" si="1"/>
        <v>22.30907638817634</v>
      </c>
      <c r="F37" s="12">
        <f t="shared" si="6"/>
        <v>6.4079330749148005</v>
      </c>
      <c r="G37" s="12">
        <f t="shared" si="6"/>
        <v>0.79199172836025711</v>
      </c>
      <c r="H37" s="9"/>
      <c r="I37" s="12">
        <f t="shared" si="3"/>
        <v>2.6799256734926469</v>
      </c>
      <c r="J37" s="12">
        <f t="shared" si="4"/>
        <v>0.60241186676098224</v>
      </c>
      <c r="K37" s="12">
        <f t="shared" si="5"/>
        <v>7.4455399262593383E-2</v>
      </c>
    </row>
    <row r="38" spans="2:11" x14ac:dyDescent="0.25">
      <c r="B38" s="10">
        <v>34</v>
      </c>
      <c r="C38" s="11">
        <v>43925</v>
      </c>
      <c r="D38" s="12">
        <f t="shared" si="0"/>
        <v>149294.54676704112</v>
      </c>
      <c r="E38" s="12">
        <f t="shared" si="1"/>
        <v>24.509672275986471</v>
      </c>
      <c r="F38" s="12">
        <f t="shared" ref="F38:G53" si="7">F37+J38</f>
        <v>7.0697690077640321</v>
      </c>
      <c r="G38" s="12">
        <f t="shared" si="7"/>
        <v>0.8737916751169037</v>
      </c>
      <c r="H38" s="9"/>
      <c r="I38" s="12">
        <f t="shared" si="3"/>
        <v>2.9442317674160114</v>
      </c>
      <c r="J38" s="12">
        <f t="shared" si="4"/>
        <v>0.66183593284923126</v>
      </c>
      <c r="K38" s="12">
        <f t="shared" si="5"/>
        <v>8.1799946756646646E-2</v>
      </c>
    </row>
    <row r="39" spans="2:11" x14ac:dyDescent="0.25">
      <c r="B39" s="10">
        <v>35</v>
      </c>
      <c r="C39" s="11">
        <v>43926</v>
      </c>
      <c r="D39" s="12">
        <f t="shared" si="0"/>
        <v>149291.31217449598</v>
      </c>
      <c r="E39" s="12">
        <f t="shared" si="1"/>
        <v>26.927275745262914</v>
      </c>
      <c r="F39" s="12">
        <f t="shared" si="7"/>
        <v>7.7968892852849638</v>
      </c>
      <c r="G39" s="12">
        <f t="shared" si="7"/>
        <v>0.96366047346218753</v>
      </c>
      <c r="H39" s="9"/>
      <c r="I39" s="12">
        <f t="shared" si="3"/>
        <v>3.234592545142656</v>
      </c>
      <c r="J39" s="12">
        <f t="shared" si="4"/>
        <v>0.72712027752093189</v>
      </c>
      <c r="K39" s="12">
        <f t="shared" si="5"/>
        <v>8.9868798345283801E-2</v>
      </c>
    </row>
    <row r="40" spans="2:11" x14ac:dyDescent="0.25">
      <c r="B40" s="10">
        <v>36</v>
      </c>
      <c r="C40" s="11">
        <v>43927</v>
      </c>
      <c r="D40" s="12">
        <f t="shared" si="0"/>
        <v>149287.75860063522</v>
      </c>
      <c r="E40" s="12">
        <f t="shared" si="1"/>
        <v>29.583273747846626</v>
      </c>
      <c r="F40" s="12">
        <f t="shared" si="7"/>
        <v>8.5957317990610971</v>
      </c>
      <c r="G40" s="12">
        <f t="shared" si="7"/>
        <v>1.0623938178614849</v>
      </c>
      <c r="H40" s="9"/>
      <c r="I40" s="12">
        <f t="shared" si="3"/>
        <v>3.5535738607591401</v>
      </c>
      <c r="J40" s="12">
        <f t="shared" si="4"/>
        <v>0.79884251377613302</v>
      </c>
      <c r="K40" s="12">
        <f t="shared" si="5"/>
        <v>9.8733344399297443E-2</v>
      </c>
    </row>
    <row r="41" spans="2:11" x14ac:dyDescent="0.25">
      <c r="B41" s="10">
        <v>37</v>
      </c>
      <c r="C41" s="11">
        <v>43928</v>
      </c>
      <c r="D41" s="12">
        <f t="shared" si="0"/>
        <v>149283.85460691189</v>
      </c>
      <c r="E41" s="12">
        <f t="shared" si="1"/>
        <v>32.501158346247884</v>
      </c>
      <c r="F41" s="12">
        <f t="shared" si="7"/>
        <v>9.4733689202472142</v>
      </c>
      <c r="G41" s="12">
        <f t="shared" si="7"/>
        <v>1.1708658216035892</v>
      </c>
      <c r="H41" s="9"/>
      <c r="I41" s="12">
        <f t="shared" si="3"/>
        <v>3.9039937233294815</v>
      </c>
      <c r="J41" s="12">
        <f t="shared" si="4"/>
        <v>0.87763712118611648</v>
      </c>
      <c r="K41" s="12">
        <f t="shared" si="5"/>
        <v>0.10847200374210439</v>
      </c>
    </row>
    <row r="42" spans="2:11" x14ac:dyDescent="0.25">
      <c r="B42" s="10">
        <v>38</v>
      </c>
      <c r="C42" s="11">
        <v>43929</v>
      </c>
      <c r="D42" s="12">
        <f t="shared" si="0"/>
        <v>149279.56565994449</v>
      </c>
      <c r="E42" s="12">
        <f t="shared" si="1"/>
        <v>35.706733368772838</v>
      </c>
      <c r="F42" s="12">
        <f t="shared" si="7"/>
        <v>10.437569951185901</v>
      </c>
      <c r="G42" s="12">
        <f t="shared" si="7"/>
        <v>1.2900367355398314</v>
      </c>
      <c r="H42" s="9"/>
      <c r="I42" s="12">
        <f t="shared" si="3"/>
        <v>4.288946967399891</v>
      </c>
      <c r="J42" s="12">
        <f t="shared" si="4"/>
        <v>0.96420103093868714</v>
      </c>
      <c r="K42" s="12">
        <f t="shared" si="5"/>
        <v>0.11917091393624234</v>
      </c>
    </row>
    <row r="43" spans="2:11" x14ac:dyDescent="0.25">
      <c r="B43" s="10">
        <v>39</v>
      </c>
      <c r="C43" s="11">
        <v>43930</v>
      </c>
      <c r="D43" s="12">
        <f t="shared" si="0"/>
        <v>149274.85382763</v>
      </c>
      <c r="E43" s="12">
        <f t="shared" si="1"/>
        <v>39.228341237658121</v>
      </c>
      <c r="F43" s="12">
        <f t="shared" si="7"/>
        <v>11.496869707792829</v>
      </c>
      <c r="G43" s="12">
        <f t="shared" si="7"/>
        <v>1.4209614245586653</v>
      </c>
      <c r="H43" s="9"/>
      <c r="I43" s="12">
        <f t="shared" si="3"/>
        <v>4.7118323145110432</v>
      </c>
      <c r="J43" s="12">
        <f t="shared" si="4"/>
        <v>1.0592997566069273</v>
      </c>
      <c r="K43" s="12">
        <f t="shared" si="5"/>
        <v>0.13092468901883386</v>
      </c>
    </row>
    <row r="44" spans="2:11" x14ac:dyDescent="0.25">
      <c r="B44" s="10">
        <v>40</v>
      </c>
      <c r="C44" s="11">
        <v>43931</v>
      </c>
      <c r="D44" s="12">
        <f t="shared" si="0"/>
        <v>149269.67744557728</v>
      </c>
      <c r="E44" s="12">
        <f t="shared" si="1"/>
        <v>43.097111915794436</v>
      </c>
      <c r="F44" s="12">
        <f t="shared" si="7"/>
        <v>12.660643831176687</v>
      </c>
      <c r="G44" s="12">
        <f t="shared" si="7"/>
        <v>1.5647986757634118</v>
      </c>
      <c r="H44" s="9"/>
      <c r="I44" s="12">
        <f t="shared" si="3"/>
        <v>5.1763820527249189</v>
      </c>
      <c r="J44" s="12">
        <f t="shared" si="4"/>
        <v>1.1637741233838574</v>
      </c>
      <c r="K44" s="12">
        <f t="shared" si="5"/>
        <v>0.14383725120474658</v>
      </c>
    </row>
    <row r="45" spans="2:11" x14ac:dyDescent="0.25">
      <c r="B45" s="10">
        <v>41</v>
      </c>
      <c r="C45" s="11">
        <v>43932</v>
      </c>
      <c r="D45" s="12">
        <f t="shared" si="0"/>
        <v>149263.99075099555</v>
      </c>
      <c r="E45" s="12">
        <f t="shared" si="1"/>
        <v>47.347236100338144</v>
      </c>
      <c r="F45" s="12">
        <f t="shared" si="7"/>
        <v>13.939191484678588</v>
      </c>
      <c r="G45" s="12">
        <f t="shared" si="7"/>
        <v>1.7228214194546583</v>
      </c>
      <c r="H45" s="9"/>
      <c r="I45" s="12">
        <f t="shared" si="3"/>
        <v>5.6866945817368562</v>
      </c>
      <c r="J45" s="12">
        <f t="shared" si="4"/>
        <v>1.2785476535019016</v>
      </c>
      <c r="K45" s="12">
        <f t="shared" si="5"/>
        <v>0.15802274369124639</v>
      </c>
    </row>
    <row r="46" spans="2:11" x14ac:dyDescent="0.25">
      <c r="B46" s="10">
        <v>42</v>
      </c>
      <c r="C46" s="11">
        <v>43933</v>
      </c>
      <c r="D46" s="12">
        <f t="shared" si="0"/>
        <v>149257.74348090219</v>
      </c>
      <c r="E46" s="12">
        <f t="shared" si="1"/>
        <v>52.016264990352752</v>
      </c>
      <c r="F46" s="12">
        <f t="shared" si="7"/>
        <v>15.343826155655286</v>
      </c>
      <c r="G46" s="12">
        <f t="shared" si="7"/>
        <v>1.8964279518225649</v>
      </c>
      <c r="H46" s="9"/>
      <c r="I46" s="12">
        <f t="shared" si="3"/>
        <v>6.2472700933592158</v>
      </c>
      <c r="J46" s="12">
        <f t="shared" si="4"/>
        <v>1.4046346709766981</v>
      </c>
      <c r="K46" s="12">
        <f t="shared" si="5"/>
        <v>0.17360653236790669</v>
      </c>
    </row>
    <row r="47" spans="2:11" x14ac:dyDescent="0.25">
      <c r="B47" s="10">
        <v>43</v>
      </c>
      <c r="C47" s="11">
        <v>43934</v>
      </c>
      <c r="D47" s="12">
        <f t="shared" si="0"/>
        <v>149250.88043122107</v>
      </c>
      <c r="E47" s="12">
        <f t="shared" si="1"/>
        <v>57.145439171791544</v>
      </c>
      <c r="F47" s="12">
        <f t="shared" si="7"/>
        <v>16.886975350369084</v>
      </c>
      <c r="G47" s="12">
        <f t="shared" si="7"/>
        <v>2.0871542567871919</v>
      </c>
      <c r="H47" s="9"/>
      <c r="I47" s="12">
        <f t="shared" si="3"/>
        <v>6.8630496811172188</v>
      </c>
      <c r="J47" s="12">
        <f t="shared" si="4"/>
        <v>1.5431491947137981</v>
      </c>
      <c r="K47" s="12">
        <f t="shared" si="5"/>
        <v>0.19072630496462695</v>
      </c>
    </row>
    <row r="48" spans="2:11" x14ac:dyDescent="0.25">
      <c r="B48" s="10">
        <v>44</v>
      </c>
      <c r="C48" s="11">
        <v>43935</v>
      </c>
      <c r="D48" s="12">
        <f t="shared" si="0"/>
        <v>149243.3409730226</v>
      </c>
      <c r="E48" s="12">
        <f t="shared" si="1"/>
        <v>62.780049397867209</v>
      </c>
      <c r="F48" s="12">
        <f t="shared" si="7"/>
        <v>18.582290045798899</v>
      </c>
      <c r="G48" s="12">
        <f t="shared" si="7"/>
        <v>2.2966875337504278</v>
      </c>
      <c r="H48" s="9"/>
      <c r="I48" s="12">
        <f t="shared" si="3"/>
        <v>7.539458198468715</v>
      </c>
      <c r="J48" s="12">
        <f t="shared" si="4"/>
        <v>1.6953146954298155</v>
      </c>
      <c r="K48" s="12">
        <f t="shared" si="5"/>
        <v>0.20953327696323584</v>
      </c>
    </row>
    <row r="49" spans="2:11" x14ac:dyDescent="0.25">
      <c r="B49" s="10">
        <v>45</v>
      </c>
      <c r="C49" s="11">
        <v>43936</v>
      </c>
      <c r="D49" s="12">
        <f t="shared" si="0"/>
        <v>149235.05852180978</v>
      </c>
      <c r="E49" s="12">
        <f t="shared" si="1"/>
        <v>68.969832297421206</v>
      </c>
      <c r="F49" s="12">
        <f t="shared" si="7"/>
        <v>20.444764844602293</v>
      </c>
      <c r="G49" s="12">
        <f t="shared" si="7"/>
        <v>2.5268810482092743</v>
      </c>
      <c r="H49" s="9"/>
      <c r="I49" s="12">
        <f t="shared" si="3"/>
        <v>8.2824512128162375</v>
      </c>
      <c r="J49" s="12">
        <f t="shared" si="4"/>
        <v>1.8624747988033936</v>
      </c>
      <c r="K49" s="12">
        <f t="shared" si="5"/>
        <v>0.23019351445884664</v>
      </c>
    </row>
    <row r="50" spans="2:11" x14ac:dyDescent="0.25">
      <c r="B50" s="10">
        <v>46</v>
      </c>
      <c r="C50" s="11">
        <v>43937</v>
      </c>
      <c r="D50" s="12">
        <f t="shared" si="0"/>
        <v>149225.95995537771</v>
      </c>
      <c r="E50" s="12">
        <f t="shared" si="1"/>
        <v>75.769404319580616</v>
      </c>
      <c r="F50" s="12">
        <f t="shared" si="7"/>
        <v>22.49086986942579</v>
      </c>
      <c r="G50" s="12">
        <f t="shared" si="7"/>
        <v>2.7797704332998188</v>
      </c>
      <c r="H50" s="9"/>
      <c r="I50" s="12">
        <f t="shared" si="3"/>
        <v>9.0985664320734418</v>
      </c>
      <c r="J50" s="12">
        <f t="shared" si="4"/>
        <v>2.0461050248234955</v>
      </c>
      <c r="K50" s="12">
        <f t="shared" si="5"/>
        <v>0.25288938509054465</v>
      </c>
    </row>
    <row r="51" spans="2:11" x14ac:dyDescent="0.25">
      <c r="B51" s="10">
        <v>47</v>
      </c>
      <c r="C51" s="11">
        <v>43938</v>
      </c>
      <c r="D51" s="12">
        <f t="shared" si="0"/>
        <v>149215.96497536561</v>
      </c>
      <c r="E51" s="12">
        <f t="shared" si="1"/>
        <v>83.238737521037891</v>
      </c>
      <c r="F51" s="12">
        <f t="shared" si="7"/>
        <v>24.738695530906682</v>
      </c>
      <c r="G51" s="12">
        <f t="shared" si="7"/>
        <v>3.0575915824716144</v>
      </c>
      <c r="H51" s="9"/>
      <c r="I51" s="12">
        <f t="shared" si="3"/>
        <v>9.9949800121099663</v>
      </c>
      <c r="J51" s="12">
        <f t="shared" si="4"/>
        <v>2.2478256614808911</v>
      </c>
      <c r="K51" s="12">
        <f t="shared" si="5"/>
        <v>0.27782114917179584</v>
      </c>
    </row>
    <row r="52" spans="2:11" x14ac:dyDescent="0.25">
      <c r="B52" s="10">
        <v>48</v>
      </c>
      <c r="C52" s="11">
        <v>43939</v>
      </c>
      <c r="D52" s="12">
        <f t="shared" si="0"/>
        <v>149204.98540717867</v>
      </c>
      <c r="E52" s="12">
        <f t="shared" si="1"/>
        <v>91.443681123932663</v>
      </c>
      <c r="F52" s="12">
        <f t="shared" si="7"/>
        <v>27.208111410697473</v>
      </c>
      <c r="G52" s="12">
        <f t="shared" si="7"/>
        <v>3.3628002867154203</v>
      </c>
      <c r="H52" s="9"/>
      <c r="I52" s="12">
        <f t="shared" si="3"/>
        <v>10.979568186929372</v>
      </c>
      <c r="J52" s="12">
        <f t="shared" si="4"/>
        <v>2.4694158797907901</v>
      </c>
      <c r="K52" s="12">
        <f t="shared" si="5"/>
        <v>0.30520870424380586</v>
      </c>
    </row>
    <row r="53" spans="2:11" x14ac:dyDescent="0.25">
      <c r="B53" s="10">
        <v>49</v>
      </c>
      <c r="C53" s="11">
        <v>43940</v>
      </c>
      <c r="D53" s="12">
        <f t="shared" si="0"/>
        <v>149192.92443247978</v>
      </c>
      <c r="E53" s="12">
        <f t="shared" si="1"/>
        <v>100.4565331186992</v>
      </c>
      <c r="F53" s="12">
        <f t="shared" si="7"/>
        <v>29.920940617374143</v>
      </c>
      <c r="G53" s="12">
        <f t="shared" si="7"/>
        <v>3.6980937841698402</v>
      </c>
      <c r="H53" s="9"/>
      <c r="I53" s="12">
        <f t="shared" si="3"/>
        <v>12.060974698897621</v>
      </c>
      <c r="J53" s="12">
        <f t="shared" si="4"/>
        <v>2.7128292066766684</v>
      </c>
      <c r="K53" s="12">
        <f t="shared" si="5"/>
        <v>0.33529349745442005</v>
      </c>
    </row>
    <row r="54" spans="2:11" x14ac:dyDescent="0.25">
      <c r="B54" s="10">
        <v>50</v>
      </c>
      <c r="C54" s="11">
        <v>43941</v>
      </c>
      <c r="D54" s="12">
        <f t="shared" si="0"/>
        <v>149179.67574793613</v>
      </c>
      <c r="E54" s="12">
        <f t="shared" si="1"/>
        <v>110.35666655838919</v>
      </c>
      <c r="F54" s="12">
        <f t="shared" ref="F54:G69" si="8">F53+J54</f>
        <v>32.90115109989555</v>
      </c>
      <c r="G54" s="12">
        <f t="shared" si="8"/>
        <v>4.0664344056050714</v>
      </c>
      <c r="H54" s="9"/>
      <c r="I54" s="12">
        <f t="shared" si="3"/>
        <v>13.248684543646641</v>
      </c>
      <c r="J54" s="12">
        <f t="shared" si="4"/>
        <v>2.9802104825214091</v>
      </c>
      <c r="K54" s="12">
        <f t="shared" si="5"/>
        <v>0.36834062143523078</v>
      </c>
    </row>
    <row r="55" spans="2:11" x14ac:dyDescent="0.25">
      <c r="B55" s="10">
        <v>51</v>
      </c>
      <c r="C55" s="11">
        <v>43942</v>
      </c>
      <c r="D55" s="12">
        <f t="shared" si="0"/>
        <v>149165.12264335284</v>
      </c>
      <c r="E55" s="12">
        <f t="shared" si="1"/>
        <v>121.23121558972161</v>
      </c>
      <c r="F55" s="12">
        <f t="shared" si="8"/>
        <v>36.175065541127765</v>
      </c>
      <c r="G55" s="12">
        <f t="shared" si="8"/>
        <v>4.4710755163191651</v>
      </c>
      <c r="H55" s="9"/>
      <c r="I55" s="12">
        <f t="shared" si="3"/>
        <v>14.553104583278722</v>
      </c>
      <c r="J55" s="12">
        <f t="shared" si="4"/>
        <v>3.2739144412322125</v>
      </c>
      <c r="K55" s="12">
        <f t="shared" si="5"/>
        <v>0.40464111071409403</v>
      </c>
    </row>
    <row r="56" spans="2:11" x14ac:dyDescent="0.25">
      <c r="B56" s="10">
        <v>52</v>
      </c>
      <c r="C56" s="11">
        <v>43943</v>
      </c>
      <c r="D56" s="12">
        <f t="shared" si="0"/>
        <v>149149.13699173086</v>
      </c>
      <c r="E56" s="12">
        <f t="shared" si="1"/>
        <v>133.17582669202494</v>
      </c>
      <c r="F56" s="12">
        <f t="shared" si="8"/>
        <v>39.771591603622838</v>
      </c>
      <c r="G56" s="12">
        <f t="shared" si="8"/>
        <v>4.9155899734814783</v>
      </c>
      <c r="H56" s="9"/>
      <c r="I56" s="12">
        <f t="shared" si="3"/>
        <v>15.98565162196074</v>
      </c>
      <c r="J56" s="12">
        <f t="shared" si="4"/>
        <v>3.5965260624950739</v>
      </c>
      <c r="K56" s="12">
        <f t="shared" si="5"/>
        <v>0.44451445716231297</v>
      </c>
    </row>
    <row r="57" spans="2:11" x14ac:dyDescent="0.25">
      <c r="B57" s="10">
        <v>53</v>
      </c>
      <c r="C57" s="11">
        <v>43944</v>
      </c>
      <c r="D57" s="12">
        <f t="shared" si="0"/>
        <v>149131.57814315127</v>
      </c>
      <c r="E57" s="12">
        <f t="shared" si="1"/>
        <v>146.29548104854746</v>
      </c>
      <c r="F57" s="12">
        <f t="shared" si="8"/>
        <v>43.72247446215291</v>
      </c>
      <c r="G57" s="12">
        <f t="shared" si="8"/>
        <v>5.4039013380189038</v>
      </c>
      <c r="H57" s="9"/>
      <c r="I57" s="12">
        <f t="shared" si="3"/>
        <v>17.558848579589991</v>
      </c>
      <c r="J57" s="12">
        <f t="shared" si="4"/>
        <v>3.9508828585300728</v>
      </c>
      <c r="K57" s="12">
        <f t="shared" si="5"/>
        <v>0.48831136453742524</v>
      </c>
    </row>
    <row r="58" spans="2:11" x14ac:dyDescent="0.25">
      <c r="B58" s="10">
        <v>54</v>
      </c>
      <c r="C58" s="11">
        <v>43945</v>
      </c>
      <c r="D58" s="12">
        <f t="shared" si="0"/>
        <v>149112.2917137098</v>
      </c>
      <c r="E58" s="12">
        <f t="shared" si="1"/>
        <v>160.70539445507268</v>
      </c>
      <c r="F58" s="12">
        <f t="shared" si="8"/>
        <v>48.062573733259818</v>
      </c>
      <c r="G58" s="12">
        <f t="shared" si="8"/>
        <v>5.9403181018635784</v>
      </c>
      <c r="H58" s="9"/>
      <c r="I58" s="12">
        <f t="shared" si="3"/>
        <v>19.286429441476788</v>
      </c>
      <c r="J58" s="12">
        <f t="shared" si="4"/>
        <v>4.3400992711069071</v>
      </c>
      <c r="K58" s="12">
        <f t="shared" si="5"/>
        <v>0.5364167638446744</v>
      </c>
    </row>
    <row r="59" spans="2:11" x14ac:dyDescent="0.25">
      <c r="B59" s="10">
        <v>55</v>
      </c>
      <c r="C59" s="11">
        <v>43946</v>
      </c>
      <c r="D59" s="12">
        <f t="shared" si="0"/>
        <v>149091.10826000548</v>
      </c>
      <c r="E59" s="12">
        <f t="shared" si="1"/>
        <v>176.53200167754432</v>
      </c>
      <c r="F59" s="12">
        <f t="shared" si="8"/>
        <v>52.83016710209364</v>
      </c>
      <c r="G59" s="12">
        <f t="shared" si="8"/>
        <v>6.5295712148655118</v>
      </c>
      <c r="H59" s="9"/>
      <c r="I59" s="12">
        <f t="shared" si="3"/>
        <v>21.183453704307393</v>
      </c>
      <c r="J59" s="12">
        <f t="shared" si="4"/>
        <v>4.7675933688338228</v>
      </c>
      <c r="K59" s="12">
        <f t="shared" si="5"/>
        <v>0.58925311300193373</v>
      </c>
    </row>
    <row r="60" spans="2:11" x14ac:dyDescent="0.25">
      <c r="B60" s="10">
        <v>56</v>
      </c>
      <c r="C60" s="11">
        <v>43947</v>
      </c>
      <c r="D60" s="12">
        <f t="shared" si="0"/>
        <v>149067.84182892527</v>
      </c>
      <c r="E60" s="12">
        <f t="shared" si="1"/>
        <v>193.91403270184389</v>
      </c>
      <c r="F60" s="12">
        <f t="shared" si="8"/>
        <v>58.067283151860785</v>
      </c>
      <c r="G60" s="12">
        <f t="shared" si="8"/>
        <v>7.176855221016508</v>
      </c>
      <c r="H60" s="9"/>
      <c r="I60" s="12">
        <f t="shared" si="3"/>
        <v>23.2664310802177</v>
      </c>
      <c r="J60" s="12">
        <f t="shared" si="4"/>
        <v>5.2371160497671481</v>
      </c>
      <c r="K60" s="12">
        <f t="shared" si="5"/>
        <v>0.64728400615099646</v>
      </c>
    </row>
    <row r="61" spans="2:11" x14ac:dyDescent="0.25">
      <c r="B61" s="10">
        <v>57</v>
      </c>
      <c r="C61" s="11">
        <v>43948</v>
      </c>
      <c r="D61" s="12">
        <f t="shared" si="0"/>
        <v>149042.2883716647</v>
      </c>
      <c r="E61" s="12">
        <f t="shared" si="1"/>
        <v>213.00368887236189</v>
      </c>
      <c r="F61" s="12">
        <f t="shared" si="8"/>
        <v>63.82006612201549</v>
      </c>
      <c r="G61" s="12">
        <f t="shared" si="8"/>
        <v>7.8878733409232691</v>
      </c>
      <c r="H61" s="9"/>
      <c r="I61" s="12">
        <f t="shared" si="3"/>
        <v>25.553457260579446</v>
      </c>
      <c r="J61" s="12">
        <f t="shared" si="4"/>
        <v>5.7527829701547013</v>
      </c>
      <c r="K61" s="12">
        <f t="shared" si="5"/>
        <v>0.71101811990676156</v>
      </c>
    </row>
    <row r="62" spans="2:11" x14ac:dyDescent="0.25">
      <c r="B62" s="10">
        <v>58</v>
      </c>
      <c r="C62" s="11">
        <v>43949</v>
      </c>
      <c r="D62" s="12">
        <f t="shared" si="0"/>
        <v>149014.22401008697</v>
      </c>
      <c r="E62" s="12">
        <f t="shared" si="1"/>
        <v>233.96792748769789</v>
      </c>
      <c r="F62" s="12">
        <f t="shared" si="8"/>
        <v>70.139175558562229</v>
      </c>
      <c r="G62" s="12">
        <f t="shared" si="8"/>
        <v>8.668886866788597</v>
      </c>
      <c r="H62" s="9"/>
      <c r="I62" s="12">
        <f t="shared" si="3"/>
        <v>28.064361577748052</v>
      </c>
      <c r="J62" s="12">
        <f t="shared" si="4"/>
        <v>6.3191094365467357</v>
      </c>
      <c r="K62" s="12">
        <f t="shared" si="5"/>
        <v>0.78101352586532768</v>
      </c>
    </row>
    <row r="63" spans="2:11" x14ac:dyDescent="0.25">
      <c r="B63" s="10">
        <v>59</v>
      </c>
      <c r="C63" s="11">
        <v>43950</v>
      </c>
      <c r="D63" s="12">
        <f t="shared" si="0"/>
        <v>148983.4031426521</v>
      </c>
      <c r="E63" s="12">
        <f t="shared" si="1"/>
        <v>256.98986400630685</v>
      </c>
      <c r="F63" s="12">
        <f t="shared" si="8"/>
        <v>77.080224074030596</v>
      </c>
      <c r="G63" s="12">
        <f t="shared" si="8"/>
        <v>9.5267692675768227</v>
      </c>
      <c r="H63" s="9"/>
      <c r="I63" s="12">
        <f t="shared" si="3"/>
        <v>30.820867434865583</v>
      </c>
      <c r="J63" s="12">
        <f t="shared" si="4"/>
        <v>6.9410485154683697</v>
      </c>
      <c r="K63" s="12">
        <f t="shared" si="5"/>
        <v>0.85788240078822631</v>
      </c>
    </row>
    <row r="64" spans="2:11" x14ac:dyDescent="0.25">
      <c r="B64" s="10">
        <v>60</v>
      </c>
      <c r="C64" s="13">
        <v>43951</v>
      </c>
      <c r="D64" s="12">
        <f t="shared" si="0"/>
        <v>148949.55637625334</v>
      </c>
      <c r="E64" s="12">
        <f t="shared" si="1"/>
        <v>282.27030160485299</v>
      </c>
      <c r="F64" s="12">
        <f t="shared" si="8"/>
        <v>84.704256706217691</v>
      </c>
      <c r="G64" s="12">
        <f t="shared" si="8"/>
        <v>10.46906543559995</v>
      </c>
      <c r="H64" s="9"/>
      <c r="I64" s="12">
        <f t="shared" si="3"/>
        <v>33.846766398756358</v>
      </c>
      <c r="J64" s="12">
        <f t="shared" si="4"/>
        <v>7.6240326321871015</v>
      </c>
      <c r="K64" s="12">
        <f t="shared" si="5"/>
        <v>0.94229616802312599</v>
      </c>
    </row>
    <row r="65" spans="2:11" x14ac:dyDescent="0.25">
      <c r="B65" s="10">
        <v>61</v>
      </c>
      <c r="C65" s="11">
        <v>43952</v>
      </c>
      <c r="D65" s="12">
        <f t="shared" si="0"/>
        <v>148912.38826938695</v>
      </c>
      <c r="E65" s="12">
        <f t="shared" si="1"/>
        <v>310.02939841775049</v>
      </c>
      <c r="F65" s="12">
        <f t="shared" si="8"/>
        <v>93.078275653828328</v>
      </c>
      <c r="G65" s="12">
        <f t="shared" si="8"/>
        <v>11.504056541484411</v>
      </c>
      <c r="H65" s="9"/>
      <c r="I65" s="12">
        <f t="shared" si="3"/>
        <v>37.168106866392549</v>
      </c>
      <c r="J65" s="12">
        <f t="shared" si="4"/>
        <v>8.3740189476106384</v>
      </c>
      <c r="K65" s="12">
        <f t="shared" si="5"/>
        <v>1.0349911058844619</v>
      </c>
    </row>
    <row r="66" spans="2:11" x14ac:dyDescent="0.25">
      <c r="B66" s="10">
        <v>62</v>
      </c>
      <c r="C66" s="11">
        <v>43953</v>
      </c>
      <c r="D66" s="12">
        <f t="shared" si="0"/>
        <v>148871.57487116882</v>
      </c>
      <c r="E66" s="12">
        <f t="shared" si="1"/>
        <v>340.50848335529133</v>
      </c>
      <c r="F66" s="12">
        <f t="shared" si="8"/>
        <v>102.27581447355493</v>
      </c>
      <c r="G66" s="12">
        <f t="shared" si="8"/>
        <v>12.640831002349497</v>
      </c>
      <c r="H66" s="9"/>
      <c r="I66" s="12">
        <f t="shared" si="3"/>
        <v>40.813398218132527</v>
      </c>
      <c r="J66" s="12">
        <f t="shared" si="4"/>
        <v>9.1975388197265957</v>
      </c>
      <c r="K66" s="12">
        <f t="shared" si="5"/>
        <v>1.1367744608650863</v>
      </c>
    </row>
    <row r="67" spans="2:11" x14ac:dyDescent="0.25">
      <c r="B67" s="10">
        <v>63</v>
      </c>
      <c r="C67" s="11">
        <v>43954</v>
      </c>
      <c r="D67" s="12">
        <f t="shared" si="0"/>
        <v>148826.7610398118</v>
      </c>
      <c r="E67" s="12">
        <f t="shared" si="1"/>
        <v>373.97203193379903</v>
      </c>
      <c r="F67" s="12">
        <f t="shared" si="8"/>
        <v>112.37756614642858</v>
      </c>
      <c r="G67" s="12">
        <f t="shared" si="8"/>
        <v>13.889362107985566</v>
      </c>
      <c r="H67" s="9"/>
      <c r="I67" s="12">
        <f t="shared" si="3"/>
        <v>44.813831357017442</v>
      </c>
      <c r="J67" s="12">
        <f t="shared" si="4"/>
        <v>10.101751672873641</v>
      </c>
      <c r="K67" s="12">
        <f t="shared" si="5"/>
        <v>1.2485311056360693</v>
      </c>
    </row>
    <row r="68" spans="2:11" x14ac:dyDescent="0.25">
      <c r="B68" s="10">
        <v>64</v>
      </c>
      <c r="C68" s="11">
        <v>43955</v>
      </c>
      <c r="D68" s="12">
        <f t="shared" si="0"/>
        <v>148777.55752331374</v>
      </c>
      <c r="E68" s="12">
        <f t="shared" si="1"/>
        <v>410.70981403406677</v>
      </c>
      <c r="F68" s="12">
        <f t="shared" si="8"/>
        <v>123.47206976046462</v>
      </c>
      <c r="G68" s="12">
        <f t="shared" si="8"/>
        <v>15.26059289174283</v>
      </c>
      <c r="H68" s="9"/>
      <c r="I68" s="12">
        <f t="shared" si="3"/>
        <v>49.203516498061063</v>
      </c>
      <c r="J68" s="12">
        <f t="shared" si="4"/>
        <v>11.094503614036036</v>
      </c>
      <c r="K68" s="12">
        <f t="shared" si="5"/>
        <v>1.3712307837572644</v>
      </c>
    </row>
    <row r="69" spans="2:11" x14ac:dyDescent="0.25">
      <c r="B69" s="10">
        <v>65</v>
      </c>
      <c r="C69" s="11">
        <v>43956</v>
      </c>
      <c r="D69" s="12">
        <f t="shared" si="0"/>
        <v>148723.53778430485</v>
      </c>
      <c r="E69" s="12">
        <f t="shared" si="1"/>
        <v>451.03922590848703</v>
      </c>
      <c r="F69" s="12">
        <f t="shared" si="8"/>
        <v>135.65646091014193</v>
      </c>
      <c r="G69" s="12">
        <f t="shared" si="8"/>
        <v>16.766528876534409</v>
      </c>
      <c r="H69" s="9"/>
      <c r="I69" s="12">
        <f t="shared" si="3"/>
        <v>54.019739008889154</v>
      </c>
      <c r="J69" s="12">
        <f t="shared" si="4"/>
        <v>12.184391149677312</v>
      </c>
      <c r="K69" s="12">
        <f t="shared" si="5"/>
        <v>1.5059359847915796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148664.23455029857</v>
      </c>
      <c r="E70" s="12">
        <f t="shared" ref="E70:E133" si="10">E69+I70-J70-K70</f>
        <v>495.30781905116055</v>
      </c>
      <c r="F70" s="12">
        <f t="shared" ref="F70:G85" si="11">F69+J70</f>
        <v>149.03729127876036</v>
      </c>
      <c r="G70" s="12">
        <f t="shared" si="11"/>
        <v>18.420339371532197</v>
      </c>
      <c r="H70" s="9"/>
      <c r="I70" s="12">
        <f t="shared" ref="I70:I133" si="12">E69*N$6*D69/SUM(D69:F69)*N$7</f>
        <v>59.303234006289749</v>
      </c>
      <c r="J70" s="12">
        <f t="shared" ref="J70:J133" si="13">E69*N$8/N$5</f>
        <v>13.380830368618446</v>
      </c>
      <c r="K70" s="12">
        <f t="shared" ref="K70:K133" si="14">E69*N$9/N$5</f>
        <v>1.6538104949977872</v>
      </c>
    </row>
    <row r="71" spans="2:11" x14ac:dyDescent="0.25">
      <c r="B71" s="10">
        <v>67</v>
      </c>
      <c r="C71" s="11">
        <v>43958</v>
      </c>
      <c r="D71" s="12">
        <f t="shared" si="9"/>
        <v>148599.13607002472</v>
      </c>
      <c r="E71" s="12">
        <f t="shared" si="10"/>
        <v>543.89603868997506</v>
      </c>
      <c r="F71" s="12">
        <f t="shared" si="11"/>
        <v>163.73142324394479</v>
      </c>
      <c r="G71" s="12">
        <f t="shared" si="11"/>
        <v>20.236468041386455</v>
      </c>
      <c r="H71" s="9"/>
      <c r="I71" s="12">
        <f t="shared" si="12"/>
        <v>65.098480273853127</v>
      </c>
      <c r="J71" s="12">
        <f t="shared" si="13"/>
        <v>14.694131965184427</v>
      </c>
      <c r="K71" s="12">
        <f t="shared" si="14"/>
        <v>1.8161286698542571</v>
      </c>
    </row>
    <row r="72" spans="2:11" x14ac:dyDescent="0.25">
      <c r="B72" s="10">
        <v>68</v>
      </c>
      <c r="C72" s="11">
        <v>43959</v>
      </c>
      <c r="D72" s="12">
        <f t="shared" si="9"/>
        <v>148527.68205615078</v>
      </c>
      <c r="E72" s="12">
        <f t="shared" si="10"/>
        <v>597.22018460756863</v>
      </c>
      <c r="F72" s="12">
        <f t="shared" si="11"/>
        <v>179.8670057250807</v>
      </c>
      <c r="G72" s="12">
        <f t="shared" si="11"/>
        <v>22.230753516583032</v>
      </c>
      <c r="H72" s="9"/>
      <c r="I72" s="12">
        <f t="shared" si="12"/>
        <v>71.454013873925945</v>
      </c>
      <c r="J72" s="12">
        <f t="shared" si="13"/>
        <v>16.135582481135923</v>
      </c>
      <c r="K72" s="12">
        <f t="shared" si="14"/>
        <v>1.9942854751965771</v>
      </c>
    </row>
    <row r="73" spans="2:11" x14ac:dyDescent="0.25">
      <c r="B73" s="10">
        <v>69</v>
      </c>
      <c r="C73" s="11">
        <v>43960</v>
      </c>
      <c r="D73" s="12">
        <f t="shared" si="9"/>
        <v>148449.25929458003</v>
      </c>
      <c r="E73" s="12">
        <f t="shared" si="10"/>
        <v>655.73560669139374</v>
      </c>
      <c r="F73" s="12">
        <f t="shared" si="11"/>
        <v>197.58453786843856</v>
      </c>
      <c r="G73" s="12">
        <f t="shared" si="11"/>
        <v>24.420560860144118</v>
      </c>
      <c r="H73" s="9"/>
      <c r="I73" s="12">
        <f t="shared" si="12"/>
        <v>78.422761570744115</v>
      </c>
      <c r="J73" s="12">
        <f t="shared" si="13"/>
        <v>17.717532143357868</v>
      </c>
      <c r="K73" s="12">
        <f t="shared" si="14"/>
        <v>2.1898073435610867</v>
      </c>
    </row>
    <row r="74" spans="2:11" x14ac:dyDescent="0.25">
      <c r="B74" s="10">
        <v>70</v>
      </c>
      <c r="C74" s="11">
        <v>43961</v>
      </c>
      <c r="D74" s="12">
        <f t="shared" si="9"/>
        <v>148363.19690073314</v>
      </c>
      <c r="E74" s="12">
        <f t="shared" si="10"/>
        <v>719.94014698190074</v>
      </c>
      <c r="F74" s="12">
        <f t="shared" si="11"/>
        <v>217.03802753361657</v>
      </c>
      <c r="G74" s="12">
        <f t="shared" si="11"/>
        <v>26.824924751345897</v>
      </c>
      <c r="H74" s="9"/>
      <c r="I74" s="12">
        <f t="shared" si="12"/>
        <v>86.062393846886877</v>
      </c>
      <c r="J74" s="12">
        <f t="shared" si="13"/>
        <v>19.453489665178015</v>
      </c>
      <c r="K74" s="12">
        <f t="shared" si="14"/>
        <v>2.4043638912017795</v>
      </c>
    </row>
    <row r="75" spans="2:11" x14ac:dyDescent="0.25">
      <c r="B75" s="10">
        <v>71</v>
      </c>
      <c r="C75" s="11">
        <v>43962</v>
      </c>
      <c r="D75" s="12">
        <f t="shared" si="9"/>
        <v>148268.76120386738</v>
      </c>
      <c r="E75" s="12">
        <f t="shared" si="10"/>
        <v>790.37783894826509</v>
      </c>
      <c r="F75" s="12">
        <f t="shared" si="11"/>
        <v>238.39625189407963</v>
      </c>
      <c r="G75" s="12">
        <f t="shared" si="11"/>
        <v>29.464705290279536</v>
      </c>
      <c r="H75" s="9"/>
      <c r="I75" s="12">
        <f t="shared" si="12"/>
        <v>94.435696865761088</v>
      </c>
      <c r="J75" s="12">
        <f t="shared" si="13"/>
        <v>21.358224360463051</v>
      </c>
      <c r="K75" s="12">
        <f t="shared" si="14"/>
        <v>2.6397805389336382</v>
      </c>
    </row>
    <row r="76" spans="2:11" x14ac:dyDescent="0.25">
      <c r="B76" s="10">
        <v>72</v>
      </c>
      <c r="C76" s="11">
        <v>43963</v>
      </c>
      <c r="D76" s="12">
        <f t="shared" si="9"/>
        <v>148165.15024167774</v>
      </c>
      <c r="E76" s="12">
        <f t="shared" si="10"/>
        <v>867.64287317297283</v>
      </c>
      <c r="F76" s="12">
        <f t="shared" si="11"/>
        <v>261.84412778287816</v>
      </c>
      <c r="G76" s="12">
        <f t="shared" si="11"/>
        <v>32.362757366423175</v>
      </c>
      <c r="H76" s="9"/>
      <c r="I76" s="12">
        <f t="shared" si="12"/>
        <v>103.61096218964983</v>
      </c>
      <c r="J76" s="12">
        <f t="shared" si="13"/>
        <v>23.447875888798528</v>
      </c>
      <c r="K76" s="12">
        <f t="shared" si="14"/>
        <v>2.8980520761436415</v>
      </c>
    </row>
    <row r="77" spans="2:11" x14ac:dyDescent="0.25">
      <c r="B77" s="10">
        <v>73</v>
      </c>
      <c r="C77" s="11">
        <v>43964</v>
      </c>
      <c r="D77" s="12">
        <f t="shared" si="9"/>
        <v>148051.48784929377</v>
      </c>
      <c r="E77" s="12">
        <f t="shared" si="10"/>
        <v>952.38383645116505</v>
      </c>
      <c r="F77" s="12">
        <f t="shared" si="11"/>
        <v>287.58419968700969</v>
      </c>
      <c r="G77" s="12">
        <f t="shared" si="11"/>
        <v>35.54411456805741</v>
      </c>
      <c r="H77" s="9"/>
      <c r="I77" s="12">
        <f t="shared" si="12"/>
        <v>113.66239238395788</v>
      </c>
      <c r="J77" s="12">
        <f t="shared" si="13"/>
        <v>25.740071904131526</v>
      </c>
      <c r="K77" s="12">
        <f t="shared" si="14"/>
        <v>3.1813572016342366</v>
      </c>
    </row>
    <row r="78" spans="2:11" x14ac:dyDescent="0.25">
      <c r="B78" s="10">
        <v>74</v>
      </c>
      <c r="C78" s="11">
        <v>43965</v>
      </c>
      <c r="D78" s="12">
        <f t="shared" si="9"/>
        <v>147926.8173294953</v>
      </c>
      <c r="E78" s="12">
        <f t="shared" si="10"/>
        <v>1045.3082283679362</v>
      </c>
      <c r="F78" s="12">
        <f t="shared" si="11"/>
        <v>315.83825350172759</v>
      </c>
      <c r="G78" s="12">
        <f t="shared" si="11"/>
        <v>39.036188635045015</v>
      </c>
      <c r="H78" s="9"/>
      <c r="I78" s="12">
        <f t="shared" si="12"/>
        <v>124.67051979847686</v>
      </c>
      <c r="J78" s="12">
        <f t="shared" si="13"/>
        <v>28.254053814717896</v>
      </c>
      <c r="K78" s="12">
        <f t="shared" si="14"/>
        <v>3.492074066987608</v>
      </c>
    </row>
    <row r="79" spans="2:11" x14ac:dyDescent="0.25">
      <c r="B79" s="10">
        <v>75</v>
      </c>
      <c r="C79" s="11">
        <v>43966</v>
      </c>
      <c r="D79" s="12">
        <f t="shared" si="9"/>
        <v>147790.0946947081</v>
      </c>
      <c r="E79" s="12">
        <f t="shared" si="10"/>
        <v>1147.1872555428708</v>
      </c>
      <c r="F79" s="12">
        <f t="shared" si="11"/>
        <v>346.84906427664305</v>
      </c>
      <c r="G79" s="12">
        <f t="shared" si="11"/>
        <v>42.868985472394115</v>
      </c>
      <c r="H79" s="9"/>
      <c r="I79" s="12">
        <f t="shared" si="12"/>
        <v>136.72263478719927</v>
      </c>
      <c r="J79" s="12">
        <f t="shared" si="13"/>
        <v>31.010810774915438</v>
      </c>
      <c r="K79" s="12">
        <f t="shared" si="14"/>
        <v>3.8327968373491026</v>
      </c>
    </row>
    <row r="80" spans="2:11" x14ac:dyDescent="0.25">
      <c r="B80" s="10">
        <v>76</v>
      </c>
      <c r="C80" s="11">
        <v>43967</v>
      </c>
      <c r="D80" s="12">
        <f t="shared" si="9"/>
        <v>147640.1814763307</v>
      </c>
      <c r="E80" s="12">
        <f t="shared" si="10"/>
        <v>1258.8608987355008</v>
      </c>
      <c r="F80" s="12">
        <f t="shared" si="11"/>
        <v>380.88228619108156</v>
      </c>
      <c r="G80" s="12">
        <f t="shared" si="11"/>
        <v>47.075338742717982</v>
      </c>
      <c r="H80" s="9"/>
      <c r="I80" s="12">
        <f t="shared" si="12"/>
        <v>149.91321837739216</v>
      </c>
      <c r="J80" s="12">
        <f t="shared" si="13"/>
        <v>34.033221914438499</v>
      </c>
      <c r="K80" s="12">
        <f t="shared" si="14"/>
        <v>4.2063532703238637</v>
      </c>
    </row>
    <row r="81" spans="2:11" x14ac:dyDescent="0.25">
      <c r="B81" s="10">
        <v>77</v>
      </c>
      <c r="C81" s="11">
        <v>43968</v>
      </c>
      <c r="D81" s="12">
        <f t="shared" si="9"/>
        <v>147475.83710343987</v>
      </c>
      <c r="E81" s="12">
        <f t="shared" si="10"/>
        <v>1381.2432416684837</v>
      </c>
      <c r="F81" s="12">
        <f t="shared" si="11"/>
        <v>418.22849285356807</v>
      </c>
      <c r="G81" s="12">
        <f t="shared" si="11"/>
        <v>51.691162038081487</v>
      </c>
      <c r="H81" s="9"/>
      <c r="I81" s="12">
        <f t="shared" si="12"/>
        <v>164.344372890833</v>
      </c>
      <c r="J81" s="12">
        <f t="shared" si="13"/>
        <v>37.346206662486523</v>
      </c>
      <c r="K81" s="12">
        <f t="shared" si="14"/>
        <v>4.6158232953635077</v>
      </c>
    </row>
    <row r="82" spans="2:11" x14ac:dyDescent="0.25">
      <c r="B82" s="10">
        <v>78</v>
      </c>
      <c r="C82" s="11">
        <v>43969</v>
      </c>
      <c r="D82" s="12">
        <f t="shared" si="9"/>
        <v>147295.71086122314</v>
      </c>
      <c r="E82" s="12">
        <f t="shared" si="10"/>
        <v>1515.3280424962766</v>
      </c>
      <c r="F82" s="12">
        <f t="shared" si="11"/>
        <v>459.2053756897331</v>
      </c>
      <c r="G82" s="12">
        <f t="shared" si="11"/>
        <v>56.755720590865934</v>
      </c>
      <c r="H82" s="9"/>
      <c r="I82" s="12">
        <f t="shared" si="12"/>
        <v>180.12624221674247</v>
      </c>
      <c r="J82" s="12">
        <f t="shared" si="13"/>
        <v>40.976882836165011</v>
      </c>
      <c r="K82" s="12">
        <f t="shared" si="14"/>
        <v>5.0645585527844448</v>
      </c>
    </row>
    <row r="83" spans="2:11" x14ac:dyDescent="0.25">
      <c r="B83" s="10">
        <v>79</v>
      </c>
      <c r="C83" s="11">
        <v>43970</v>
      </c>
      <c r="D83" s="12">
        <f t="shared" si="9"/>
        <v>147098.33344992722</v>
      </c>
      <c r="E83" s="12">
        <f t="shared" si="10"/>
        <v>1662.1945190423342</v>
      </c>
      <c r="F83" s="12">
        <f t="shared" si="11"/>
        <v>504.16010761712266</v>
      </c>
      <c r="G83" s="12">
        <f t="shared" si="11"/>
        <v>62.311923413352289</v>
      </c>
      <c r="H83" s="9"/>
      <c r="I83" s="12">
        <f t="shared" si="12"/>
        <v>197.37741129593343</v>
      </c>
      <c r="J83" s="12">
        <f t="shared" si="13"/>
        <v>44.954731927389531</v>
      </c>
      <c r="K83" s="12">
        <f t="shared" si="14"/>
        <v>5.5562028224863527</v>
      </c>
    </row>
    <row r="84" spans="2:11" x14ac:dyDescent="0.25">
      <c r="B84" s="10">
        <v>80</v>
      </c>
      <c r="C84" s="11">
        <v>43971</v>
      </c>
      <c r="D84" s="12">
        <f t="shared" si="9"/>
        <v>146882.10817807072</v>
      </c>
      <c r="E84" s="12">
        <f t="shared" si="10"/>
        <v>1823.0133069307619</v>
      </c>
      <c r="F84" s="12">
        <f t="shared" si="11"/>
        <v>553.47187834871193</v>
      </c>
      <c r="G84" s="12">
        <f t="shared" si="11"/>
        <v>68.406636649840848</v>
      </c>
      <c r="H84" s="9"/>
      <c r="I84" s="12">
        <f t="shared" si="12"/>
        <v>216.22527185650551</v>
      </c>
      <c r="J84" s="12">
        <f t="shared" si="13"/>
        <v>49.311770731589242</v>
      </c>
      <c r="K84" s="12">
        <f t="shared" si="14"/>
        <v>6.0947132364885634</v>
      </c>
    </row>
    <row r="85" spans="2:11" x14ac:dyDescent="0.25">
      <c r="B85" s="10">
        <v>81</v>
      </c>
      <c r="C85" s="11">
        <v>43972</v>
      </c>
      <c r="D85" s="12">
        <f t="shared" si="9"/>
        <v>146645.30183956999</v>
      </c>
      <c r="E85" s="12">
        <f t="shared" si="10"/>
        <v>1999.0525352004643</v>
      </c>
      <c r="F85" s="12">
        <f t="shared" si="11"/>
        <v>607.55460645432447</v>
      </c>
      <c r="G85" s="12">
        <f t="shared" si="11"/>
        <v>75.091018775253644</v>
      </c>
      <c r="H85" s="9"/>
      <c r="I85" s="12">
        <f t="shared" si="12"/>
        <v>236.80633850072786</v>
      </c>
      <c r="J85" s="12">
        <f t="shared" si="13"/>
        <v>54.082728105612595</v>
      </c>
      <c r="K85" s="12">
        <f t="shared" si="14"/>
        <v>6.6843821254127995</v>
      </c>
    </row>
    <row r="86" spans="2:11" x14ac:dyDescent="0.25">
      <c r="B86" s="10">
        <v>82</v>
      </c>
      <c r="C86" s="11">
        <v>43973</v>
      </c>
      <c r="D86" s="12">
        <f t="shared" si="9"/>
        <v>146386.03534372911</v>
      </c>
      <c r="E86" s="12">
        <f t="shared" si="10"/>
        <v>2191.6839465346825</v>
      </c>
      <c r="F86" s="12">
        <f t="shared" ref="F86:G101" si="15">F85+J86</f>
        <v>666.8598316652716</v>
      </c>
      <c r="G86" s="12">
        <f t="shared" si="15"/>
        <v>82.420878070988692</v>
      </c>
      <c r="H86" s="9"/>
      <c r="I86" s="12">
        <f t="shared" si="12"/>
        <v>259.26649584090018</v>
      </c>
      <c r="J86" s="12">
        <f t="shared" si="13"/>
        <v>59.3052252109471</v>
      </c>
      <c r="K86" s="12">
        <f t="shared" si="14"/>
        <v>7.3298592957350426</v>
      </c>
    </row>
    <row r="87" spans="2:11" x14ac:dyDescent="0.25">
      <c r="B87" s="10">
        <v>83</v>
      </c>
      <c r="C87" s="11">
        <v>43974</v>
      </c>
      <c r="D87" s="12">
        <f t="shared" si="9"/>
        <v>146102.27419024371</v>
      </c>
      <c r="E87" s="12">
        <f t="shared" si="10"/>
        <v>2402.388968468927</v>
      </c>
      <c r="F87" s="12">
        <f t="shared" si="15"/>
        <v>731.87978874580051</v>
      </c>
      <c r="G87" s="12">
        <f t="shared" si="15"/>
        <v>90.457052541615866</v>
      </c>
      <c r="H87" s="9"/>
      <c r="I87" s="12">
        <f t="shared" si="12"/>
        <v>283.76115348540031</v>
      </c>
      <c r="J87" s="12">
        <f t="shared" si="13"/>
        <v>65.019957080528897</v>
      </c>
      <c r="K87" s="12">
        <f t="shared" si="14"/>
        <v>8.0361744706271772</v>
      </c>
    </row>
    <row r="88" spans="2:11" x14ac:dyDescent="0.25">
      <c r="B88" s="10">
        <v>84</v>
      </c>
      <c r="C88" s="11">
        <v>43975</v>
      </c>
      <c r="D88" s="12">
        <f t="shared" si="9"/>
        <v>145791.8189089816</v>
      </c>
      <c r="E88" s="12">
        <f t="shared" si="10"/>
        <v>2632.7646174487386</v>
      </c>
      <c r="F88" s="12">
        <f t="shared" si="15"/>
        <v>803.15066147704533</v>
      </c>
      <c r="G88" s="12">
        <f t="shared" si="15"/>
        <v>99.265812092668611</v>
      </c>
      <c r="H88" s="9"/>
      <c r="I88" s="12">
        <f t="shared" si="12"/>
        <v>310.45528126210911</v>
      </c>
      <c r="J88" s="12">
        <f t="shared" si="13"/>
        <v>71.270872731244836</v>
      </c>
      <c r="K88" s="12">
        <f t="shared" si="14"/>
        <v>8.8087595510527397</v>
      </c>
    </row>
    <row r="89" spans="2:11" x14ac:dyDescent="0.25">
      <c r="B89" s="10">
        <v>85</v>
      </c>
      <c r="C89" s="11">
        <v>43976</v>
      </c>
      <c r="D89" s="12">
        <f t="shared" si="9"/>
        <v>145452.29561685218</v>
      </c>
      <c r="E89" s="12">
        <f t="shared" si="10"/>
        <v>2884.5290889965318</v>
      </c>
      <c r="F89" s="12">
        <f t="shared" si="15"/>
        <v>881.25601179469118</v>
      </c>
      <c r="G89" s="12">
        <f t="shared" si="15"/>
        <v>108.91928235664733</v>
      </c>
      <c r="H89" s="9"/>
      <c r="I89" s="12">
        <f t="shared" si="12"/>
        <v>339.523292129418</v>
      </c>
      <c r="J89" s="12">
        <f t="shared" si="13"/>
        <v>78.1053503176459</v>
      </c>
      <c r="K89" s="12">
        <f t="shared" si="14"/>
        <v>9.6534702639787167</v>
      </c>
    </row>
    <row r="90" spans="2:11" x14ac:dyDescent="0.25">
      <c r="B90" s="10">
        <v>86</v>
      </c>
      <c r="C90" s="11">
        <v>43977</v>
      </c>
      <c r="D90" s="12">
        <f t="shared" si="9"/>
        <v>145081.14688206723</v>
      </c>
      <c r="E90" s="12">
        <f t="shared" si="10"/>
        <v>3159.5268541482751</v>
      </c>
      <c r="F90" s="12">
        <f t="shared" si="15"/>
        <v>966.83037476825496</v>
      </c>
      <c r="G90" s="12">
        <f t="shared" si="15"/>
        <v>119.49588901630129</v>
      </c>
      <c r="H90" s="9"/>
      <c r="I90" s="12">
        <f t="shared" si="12"/>
        <v>371.14873478496105</v>
      </c>
      <c r="J90" s="12">
        <f t="shared" si="13"/>
        <v>85.574362973563765</v>
      </c>
      <c r="K90" s="12">
        <f t="shared" si="14"/>
        <v>10.576606659653958</v>
      </c>
    </row>
    <row r="91" spans="2:11" x14ac:dyDescent="0.25">
      <c r="B91" s="10">
        <v>87</v>
      </c>
      <c r="C91" s="11">
        <v>43978</v>
      </c>
      <c r="D91" s="12">
        <f t="shared" si="9"/>
        <v>144675.62312997237</v>
      </c>
      <c r="E91" s="12">
        <f t="shared" si="10"/>
        <v>3459.7330444382028</v>
      </c>
      <c r="F91" s="12">
        <f t="shared" si="15"/>
        <v>1060.5630047746538</v>
      </c>
      <c r="G91" s="12">
        <f t="shared" si="15"/>
        <v>131.08082081484497</v>
      </c>
      <c r="H91" s="9"/>
      <c r="I91" s="12">
        <f t="shared" si="12"/>
        <v>405.52375209486991</v>
      </c>
      <c r="J91" s="12">
        <f t="shared" si="13"/>
        <v>93.732630006398807</v>
      </c>
      <c r="K91" s="12">
        <f t="shared" si="14"/>
        <v>11.584931798543685</v>
      </c>
    </row>
    <row r="92" spans="2:11" x14ac:dyDescent="0.25">
      <c r="B92" s="10">
        <v>88</v>
      </c>
      <c r="C92" s="11">
        <v>43979</v>
      </c>
      <c r="D92" s="12">
        <f t="shared" si="9"/>
        <v>144232.77487473591</v>
      </c>
      <c r="E92" s="12">
        <f t="shared" si="10"/>
        <v>3787.2568648600677</v>
      </c>
      <c r="F92" s="12">
        <f t="shared" si="15"/>
        <v>1163.2017517596537</v>
      </c>
      <c r="G92" s="12">
        <f t="shared" si="15"/>
        <v>143.76650864445173</v>
      </c>
      <c r="H92" s="9"/>
      <c r="I92" s="12">
        <f t="shared" si="12"/>
        <v>442.84825523647186</v>
      </c>
      <c r="J92" s="12">
        <f t="shared" si="13"/>
        <v>102.638746985</v>
      </c>
      <c r="K92" s="12">
        <f t="shared" si="14"/>
        <v>12.685687829606755</v>
      </c>
    </row>
    <row r="93" spans="2:11" x14ac:dyDescent="0.25">
      <c r="B93" s="10">
        <v>89</v>
      </c>
      <c r="C93" s="11">
        <v>43980</v>
      </c>
      <c r="D93" s="12">
        <f t="shared" si="9"/>
        <v>143749.44611769149</v>
      </c>
      <c r="E93" s="12">
        <f t="shared" si="10"/>
        <v>4144.3437264091572</v>
      </c>
      <c r="F93" s="12">
        <f t="shared" si="15"/>
        <v>1275.5570387505024</v>
      </c>
      <c r="G93" s="12">
        <f t="shared" si="15"/>
        <v>157.65311714893866</v>
      </c>
      <c r="H93" s="9"/>
      <c r="I93" s="12">
        <f t="shared" si="12"/>
        <v>483.328757044425</v>
      </c>
      <c r="J93" s="12">
        <f t="shared" si="13"/>
        <v>112.35528699084867</v>
      </c>
      <c r="K93" s="12">
        <f t="shared" si="14"/>
        <v>13.886608504486928</v>
      </c>
    </row>
    <row r="94" spans="2:11" x14ac:dyDescent="0.25">
      <c r="B94" s="10">
        <v>90</v>
      </c>
      <c r="C94" s="11">
        <v>43981</v>
      </c>
      <c r="D94" s="12">
        <f t="shared" si="9"/>
        <v>143222.26931596434</v>
      </c>
      <c r="E94" s="12">
        <f t="shared" si="10"/>
        <v>4533.3757372560012</v>
      </c>
      <c r="F94" s="12">
        <f t="shared" si="15"/>
        <v>1398.5059026339741</v>
      </c>
      <c r="G94" s="12">
        <f t="shared" si="15"/>
        <v>172.84904414577224</v>
      </c>
      <c r="H94" s="9"/>
      <c r="I94" s="12">
        <f t="shared" si="12"/>
        <v>527.17680172714984</v>
      </c>
      <c r="J94" s="12">
        <f t="shared" si="13"/>
        <v>122.94886388347165</v>
      </c>
      <c r="K94" s="12">
        <f t="shared" si="14"/>
        <v>15.195926996833588</v>
      </c>
    </row>
    <row r="95" spans="2:11" x14ac:dyDescent="0.25">
      <c r="B95" s="10">
        <v>91</v>
      </c>
      <c r="C95" s="13">
        <v>43982</v>
      </c>
      <c r="D95" s="12">
        <f t="shared" si="9"/>
        <v>142647.66239372993</v>
      </c>
      <c r="E95" s="12">
        <f t="shared" si="10"/>
        <v>4956.8701349152061</v>
      </c>
      <c r="F95" s="12">
        <f t="shared" si="15"/>
        <v>1532.9960495059022</v>
      </c>
      <c r="G95" s="12">
        <f t="shared" si="15"/>
        <v>189.47142184904425</v>
      </c>
      <c r="H95" s="9"/>
      <c r="I95" s="12">
        <f t="shared" si="12"/>
        <v>574.60692223440537</v>
      </c>
      <c r="J95" s="12">
        <f t="shared" si="13"/>
        <v>134.49014687192803</v>
      </c>
      <c r="K95" s="12">
        <f t="shared" si="14"/>
        <v>16.622377703272019</v>
      </c>
    </row>
    <row r="96" spans="2:11" x14ac:dyDescent="0.25">
      <c r="B96" s="10">
        <v>92</v>
      </c>
      <c r="C96" s="11">
        <v>43983</v>
      </c>
      <c r="D96" s="12">
        <f t="shared" si="9"/>
        <v>142021.82834213704</v>
      </c>
      <c r="E96" s="12">
        <f t="shared" si="10"/>
        <v>5417.4751820109104</v>
      </c>
      <c r="F96" s="12">
        <f t="shared" si="15"/>
        <v>1680.0498635083866</v>
      </c>
      <c r="G96" s="12">
        <f t="shared" si="15"/>
        <v>207.64661234373335</v>
      </c>
      <c r="H96" s="9"/>
      <c r="I96" s="12">
        <f t="shared" si="12"/>
        <v>625.83405159287861</v>
      </c>
      <c r="J96" s="12">
        <f t="shared" si="13"/>
        <v>147.05381400248444</v>
      </c>
      <c r="K96" s="12">
        <f t="shared" si="14"/>
        <v>18.175190494689105</v>
      </c>
    </row>
    <row r="97" spans="2:11" x14ac:dyDescent="0.25">
      <c r="B97" s="10">
        <v>93</v>
      </c>
      <c r="C97" s="11">
        <v>43984</v>
      </c>
      <c r="D97" s="12">
        <f t="shared" si="9"/>
        <v>141340.75803101633</v>
      </c>
      <c r="E97" s="12">
        <f t="shared" si="10"/>
        <v>5917.9629870645822</v>
      </c>
      <c r="F97" s="12">
        <f t="shared" si="15"/>
        <v>1840.7682939080437</v>
      </c>
      <c r="G97" s="12">
        <f t="shared" si="15"/>
        <v>227.51068801110671</v>
      </c>
      <c r="H97" s="9"/>
      <c r="I97" s="12">
        <f t="shared" si="12"/>
        <v>681.07031112070217</v>
      </c>
      <c r="J97" s="12">
        <f t="shared" si="13"/>
        <v>160.718430399657</v>
      </c>
      <c r="K97" s="12">
        <f t="shared" si="14"/>
        <v>19.864075667373356</v>
      </c>
    </row>
    <row r="98" spans="2:11" x14ac:dyDescent="0.25">
      <c r="B98" s="10">
        <v>94</v>
      </c>
      <c r="C98" s="11">
        <v>43985</v>
      </c>
      <c r="D98" s="12">
        <f t="shared" si="9"/>
        <v>140600.23693362341</v>
      </c>
      <c r="E98" s="12">
        <f t="shared" si="10"/>
        <v>6461.2186515553576</v>
      </c>
      <c r="F98" s="12">
        <f t="shared" si="15"/>
        <v>2016.3345291909595</v>
      </c>
      <c r="G98" s="12">
        <f t="shared" si="15"/>
        <v>249.20988563034354</v>
      </c>
      <c r="H98" s="9"/>
      <c r="I98" s="12">
        <f t="shared" si="12"/>
        <v>740.52109739292769</v>
      </c>
      <c r="J98" s="12">
        <f t="shared" si="13"/>
        <v>175.56623528291593</v>
      </c>
      <c r="K98" s="12">
        <f t="shared" si="14"/>
        <v>21.69919761923682</v>
      </c>
    </row>
    <row r="99" spans="2:11" x14ac:dyDescent="0.25">
      <c r="B99" s="10">
        <v>95</v>
      </c>
      <c r="C99" s="11">
        <v>43986</v>
      </c>
      <c r="D99" s="12">
        <f t="shared" si="9"/>
        <v>139795.85654146638</v>
      </c>
      <c r="E99" s="12">
        <f t="shared" si="10"/>
        <v>7050.2250886605361</v>
      </c>
      <c r="F99" s="12">
        <f t="shared" si="15"/>
        <v>2208.0173491871019</v>
      </c>
      <c r="G99" s="12">
        <f t="shared" si="15"/>
        <v>272.90102068604654</v>
      </c>
      <c r="H99" s="9"/>
      <c r="I99" s="12">
        <f t="shared" si="12"/>
        <v>804.38039215702349</v>
      </c>
      <c r="J99" s="12">
        <f t="shared" si="13"/>
        <v>191.68281999614226</v>
      </c>
      <c r="K99" s="12">
        <f t="shared" si="14"/>
        <v>23.691135055703</v>
      </c>
    </row>
    <row r="100" spans="2:11" x14ac:dyDescent="0.25">
      <c r="B100" s="10">
        <v>96</v>
      </c>
      <c r="C100" s="11">
        <v>43987</v>
      </c>
      <c r="D100" s="12">
        <f t="shared" si="9"/>
        <v>138923.0313151803</v>
      </c>
      <c r="E100" s="12">
        <f t="shared" si="10"/>
        <v>7688.0428119912513</v>
      </c>
      <c r="F100" s="12">
        <f t="shared" si="15"/>
        <v>2417.1740268173644</v>
      </c>
      <c r="G100" s="12">
        <f t="shared" si="15"/>
        <v>298.75184601113517</v>
      </c>
      <c r="H100" s="9"/>
      <c r="I100" s="12">
        <f t="shared" si="12"/>
        <v>872.82522628606614</v>
      </c>
      <c r="J100" s="12">
        <f t="shared" si="13"/>
        <v>209.15667763026255</v>
      </c>
      <c r="K100" s="12">
        <f t="shared" si="14"/>
        <v>25.850825325088653</v>
      </c>
    </row>
    <row r="101" spans="2:11" x14ac:dyDescent="0.25">
      <c r="B101" s="10">
        <v>97</v>
      </c>
      <c r="C101" s="11">
        <v>43988</v>
      </c>
      <c r="D101" s="12">
        <f t="shared" si="9"/>
        <v>137977.02207348993</v>
      </c>
      <c r="E101" s="12">
        <f t="shared" si="10"/>
        <v>8377.7839599485651</v>
      </c>
      <c r="F101" s="12">
        <f t="shared" si="15"/>
        <v>2645.2526302397714</v>
      </c>
      <c r="G101" s="12">
        <f t="shared" si="15"/>
        <v>326.94133632176977</v>
      </c>
      <c r="H101" s="9"/>
      <c r="I101" s="12">
        <f t="shared" si="12"/>
        <v>946.00924169035693</v>
      </c>
      <c r="J101" s="12">
        <f t="shared" si="13"/>
        <v>228.0786034224071</v>
      </c>
      <c r="K101" s="12">
        <f t="shared" si="14"/>
        <v>28.189490310634611</v>
      </c>
    </row>
    <row r="102" spans="2:11" x14ac:dyDescent="0.25">
      <c r="B102" s="10">
        <v>98</v>
      </c>
      <c r="C102" s="11">
        <v>43989</v>
      </c>
      <c r="D102" s="12">
        <f t="shared" si="9"/>
        <v>136952.9667580683</v>
      </c>
      <c r="E102" s="12">
        <f t="shared" si="10"/>
        <v>9122.5798100385819</v>
      </c>
      <c r="F102" s="12">
        <f t="shared" ref="F102:G117" si="16">F101+J102</f>
        <v>2893.7935543849121</v>
      </c>
      <c r="G102" s="12">
        <f t="shared" si="16"/>
        <v>357.65987750824786</v>
      </c>
      <c r="H102" s="9"/>
      <c r="I102" s="12">
        <f t="shared" si="12"/>
        <v>1024.0553154216366</v>
      </c>
      <c r="J102" s="12">
        <f t="shared" si="13"/>
        <v>248.54092414514074</v>
      </c>
      <c r="K102" s="12">
        <f t="shared" si="14"/>
        <v>30.718541186478099</v>
      </c>
    </row>
    <row r="103" spans="2:11" x14ac:dyDescent="0.25">
      <c r="B103" s="10">
        <v>99</v>
      </c>
      <c r="C103" s="11">
        <v>43990</v>
      </c>
      <c r="D103" s="12">
        <f t="shared" si="9"/>
        <v>135845.91951845036</v>
      </c>
      <c r="E103" s="12">
        <f t="shared" si="10"/>
        <v>9925.5410559885604</v>
      </c>
      <c r="F103" s="12">
        <f t="shared" si="16"/>
        <v>3164.4300887493901</v>
      </c>
      <c r="G103" s="12">
        <f t="shared" si="16"/>
        <v>391.1093368117227</v>
      </c>
      <c r="H103" s="9"/>
      <c r="I103" s="12">
        <f t="shared" si="12"/>
        <v>1107.0472396179305</v>
      </c>
      <c r="J103" s="12">
        <f t="shared" si="13"/>
        <v>270.63653436447788</v>
      </c>
      <c r="K103" s="12">
        <f t="shared" si="14"/>
        <v>33.449459303474832</v>
      </c>
    </row>
    <row r="104" spans="2:11" x14ac:dyDescent="0.25">
      <c r="B104" s="10">
        <v>100</v>
      </c>
      <c r="C104" s="11">
        <v>43991</v>
      </c>
      <c r="D104" s="12">
        <f t="shared" si="9"/>
        <v>134650.89902740976</v>
      </c>
      <c r="E104" s="12">
        <f t="shared" si="10"/>
        <v>10789.710178496221</v>
      </c>
      <c r="F104" s="12">
        <f t="shared" si="16"/>
        <v>3458.8878067437172</v>
      </c>
      <c r="G104" s="12">
        <f t="shared" si="16"/>
        <v>427.50298735034744</v>
      </c>
      <c r="H104" s="9"/>
      <c r="I104" s="12">
        <f t="shared" si="12"/>
        <v>1195.0204910406133</v>
      </c>
      <c r="J104" s="12">
        <f t="shared" si="13"/>
        <v>294.45771799432725</v>
      </c>
      <c r="K104" s="12">
        <f t="shared" si="14"/>
        <v>36.393650538624755</v>
      </c>
    </row>
    <row r="105" spans="2:11" x14ac:dyDescent="0.25">
      <c r="B105" s="10">
        <v>101</v>
      </c>
      <c r="C105" s="11">
        <v>43992</v>
      </c>
      <c r="D105" s="12">
        <f t="shared" si="9"/>
        <v>133362.94685127426</v>
      </c>
      <c r="E105" s="12">
        <f t="shared" si="10"/>
        <v>11718.005348681836</v>
      </c>
      <c r="F105" s="12">
        <f t="shared" si="16"/>
        <v>3778.9825420391053</v>
      </c>
      <c r="G105" s="12">
        <f t="shared" si="16"/>
        <v>467.06525800483359</v>
      </c>
      <c r="H105" s="9"/>
      <c r="I105" s="12">
        <f t="shared" si="12"/>
        <v>1287.9521761354879</v>
      </c>
      <c r="J105" s="12">
        <f t="shared" si="13"/>
        <v>320.09473529538786</v>
      </c>
      <c r="K105" s="12">
        <f t="shared" si="14"/>
        <v>39.562270654486177</v>
      </c>
    </row>
    <row r="106" spans="2:11" x14ac:dyDescent="0.25">
      <c r="B106" s="10">
        <v>102</v>
      </c>
      <c r="C106" s="11">
        <v>43993</v>
      </c>
      <c r="D106" s="12">
        <f t="shared" si="9"/>
        <v>131977.19654852111</v>
      </c>
      <c r="E106" s="12">
        <f t="shared" si="10"/>
        <v>12713.155473145596</v>
      </c>
      <c r="F106" s="12">
        <f t="shared" si="16"/>
        <v>4126.6167007166659</v>
      </c>
      <c r="G106" s="12">
        <f t="shared" si="16"/>
        <v>510.03127761666701</v>
      </c>
      <c r="H106" s="9"/>
      <c r="I106" s="12">
        <f t="shared" si="12"/>
        <v>1385.7503027531554</v>
      </c>
      <c r="J106" s="12">
        <f t="shared" si="13"/>
        <v>347.63415867756106</v>
      </c>
      <c r="K106" s="12">
        <f t="shared" si="14"/>
        <v>42.966019611833438</v>
      </c>
    </row>
    <row r="107" spans="2:11" x14ac:dyDescent="0.25">
      <c r="B107" s="10">
        <v>103</v>
      </c>
      <c r="C107" s="11">
        <v>43994</v>
      </c>
      <c r="D107" s="12">
        <f t="shared" si="9"/>
        <v>130488.95394043194</v>
      </c>
      <c r="E107" s="12">
        <f t="shared" si="10"/>
        <v>13777.626232129911</v>
      </c>
      <c r="F107" s="12">
        <f t="shared" si="16"/>
        <v>4503.7736464199852</v>
      </c>
      <c r="G107" s="12">
        <f t="shared" si="16"/>
        <v>556.64618101820088</v>
      </c>
      <c r="H107" s="9"/>
      <c r="I107" s="12">
        <f t="shared" si="12"/>
        <v>1488.2426080891689</v>
      </c>
      <c r="J107" s="12">
        <f t="shared" si="13"/>
        <v>377.15694570331931</v>
      </c>
      <c r="K107" s="12">
        <f t="shared" si="14"/>
        <v>46.614903401533894</v>
      </c>
    </row>
    <row r="108" spans="2:11" x14ac:dyDescent="0.25">
      <c r="B108" s="10">
        <v>104</v>
      </c>
      <c r="C108" s="11">
        <v>43995</v>
      </c>
      <c r="D108" s="12">
        <f t="shared" si="9"/>
        <v>128893.78867730394</v>
      </c>
      <c r="E108" s="12">
        <f t="shared" si="10"/>
        <v>14913.537287520241</v>
      </c>
      <c r="F108" s="12">
        <f t="shared" si="16"/>
        <v>4912.5098913065058</v>
      </c>
      <c r="G108" s="12">
        <f t="shared" si="16"/>
        <v>607.16414386934389</v>
      </c>
      <c r="H108" s="9"/>
      <c r="I108" s="12">
        <f t="shared" si="12"/>
        <v>1595.1652631279949</v>
      </c>
      <c r="J108" s="12">
        <f t="shared" si="13"/>
        <v>408.73624488652064</v>
      </c>
      <c r="K108" s="12">
        <f t="shared" si="14"/>
        <v>50.517962851143047</v>
      </c>
    </row>
    <row r="109" spans="2:11" x14ac:dyDescent="0.25">
      <c r="B109" s="10">
        <v>105</v>
      </c>
      <c r="C109" s="11">
        <v>43996</v>
      </c>
      <c r="D109" s="12">
        <f t="shared" si="9"/>
        <v>127187.63680287251</v>
      </c>
      <c r="E109" s="12">
        <f t="shared" si="10"/>
        <v>16122.571252367665</v>
      </c>
      <c r="F109" s="12">
        <f t="shared" si="16"/>
        <v>5354.9448308362726</v>
      </c>
      <c r="G109" s="12">
        <f t="shared" si="16"/>
        <v>661.84711392358486</v>
      </c>
      <c r="H109" s="9"/>
      <c r="I109" s="12">
        <f t="shared" si="12"/>
        <v>1706.1518744314294</v>
      </c>
      <c r="J109" s="12">
        <f t="shared" si="13"/>
        <v>442.43493952976706</v>
      </c>
      <c r="K109" s="12">
        <f t="shared" si="14"/>
        <v>54.682970054240933</v>
      </c>
    </row>
    <row r="110" spans="2:11" x14ac:dyDescent="0.25">
      <c r="B110" s="10">
        <v>106</v>
      </c>
      <c r="C110" s="11">
        <v>43997</v>
      </c>
      <c r="D110" s="12">
        <f t="shared" si="9"/>
        <v>125366.91349280626</v>
      </c>
      <c r="E110" s="12">
        <f t="shared" si="10"/>
        <v>17405.875520688332</v>
      </c>
      <c r="F110" s="12">
        <f t="shared" si="16"/>
        <v>5833.2477779898463</v>
      </c>
      <c r="G110" s="12">
        <f t="shared" si="16"/>
        <v>720.96320851559972</v>
      </c>
      <c r="H110" s="9"/>
      <c r="I110" s="12">
        <f t="shared" si="12"/>
        <v>1820.7233100662586</v>
      </c>
      <c r="J110" s="12">
        <f t="shared" si="13"/>
        <v>478.302947153574</v>
      </c>
      <c r="K110" s="12">
        <f t="shared" si="14"/>
        <v>59.116094592014825</v>
      </c>
    </row>
    <row r="111" spans="2:11" x14ac:dyDescent="0.25">
      <c r="B111" s="10">
        <v>107</v>
      </c>
      <c r="C111" s="11">
        <v>43998</v>
      </c>
      <c r="D111" s="12">
        <f t="shared" si="9"/>
        <v>123428.63451176844</v>
      </c>
      <c r="E111" s="12">
        <f t="shared" si="10"/>
        <v>18763.958651036537</v>
      </c>
      <c r="F111" s="12">
        <f t="shared" si="16"/>
        <v>6349.6220851036005</v>
      </c>
      <c r="G111" s="12">
        <f t="shared" si="16"/>
        <v>784.78475209145699</v>
      </c>
      <c r="H111" s="9"/>
      <c r="I111" s="12">
        <f t="shared" si="12"/>
        <v>1938.2789810378176</v>
      </c>
      <c r="J111" s="12">
        <f t="shared" si="13"/>
        <v>516.37430711375384</v>
      </c>
      <c r="K111" s="12">
        <f t="shared" si="14"/>
        <v>63.821543575857277</v>
      </c>
    </row>
    <row r="112" spans="2:11" x14ac:dyDescent="0.25">
      <c r="B112" s="10">
        <v>108</v>
      </c>
      <c r="C112" s="11">
        <v>43999</v>
      </c>
      <c r="D112" s="12">
        <f t="shared" si="9"/>
        <v>121370.54420833717</v>
      </c>
      <c r="E112" s="12">
        <f t="shared" si="10"/>
        <v>20196.583666099908</v>
      </c>
      <c r="F112" s="12">
        <f t="shared" si="16"/>
        <v>6906.2861917510181</v>
      </c>
      <c r="G112" s="12">
        <f t="shared" si="16"/>
        <v>853.58593381192441</v>
      </c>
      <c r="H112" s="9"/>
      <c r="I112" s="12">
        <f t="shared" si="12"/>
        <v>2058.0903034312591</v>
      </c>
      <c r="J112" s="12">
        <f t="shared" si="13"/>
        <v>556.66410664741716</v>
      </c>
      <c r="K112" s="12">
        <f t="shared" si="14"/>
        <v>68.801181720467369</v>
      </c>
    </row>
    <row r="113" spans="2:11" x14ac:dyDescent="0.25">
      <c r="B113" s="10">
        <v>109</v>
      </c>
      <c r="C113" s="11">
        <v>44000</v>
      </c>
      <c r="D113" s="12">
        <f t="shared" si="9"/>
        <v>119191.24707067822</v>
      </c>
      <c r="E113" s="12">
        <f t="shared" si="10"/>
        <v>21702.661348222195</v>
      </c>
      <c r="F113" s="12">
        <f t="shared" si="16"/>
        <v>7505.4515071786482</v>
      </c>
      <c r="G113" s="12">
        <f t="shared" si="16"/>
        <v>927.64007392095743</v>
      </c>
      <c r="H113" s="9"/>
      <c r="I113" s="12">
        <f t="shared" si="12"/>
        <v>2179.297137658953</v>
      </c>
      <c r="J113" s="12">
        <f t="shared" si="13"/>
        <v>599.1653154276305</v>
      </c>
      <c r="K113" s="12">
        <f t="shared" si="14"/>
        <v>74.054140109033071</v>
      </c>
    </row>
    <row r="114" spans="2:11" x14ac:dyDescent="0.25">
      <c r="B114" s="10">
        <v>110</v>
      </c>
      <c r="C114" s="11">
        <v>44001</v>
      </c>
      <c r="D114" s="12">
        <f t="shared" si="9"/>
        <v>116890.33903494332</v>
      </c>
      <c r="E114" s="12">
        <f t="shared" si="10"/>
        <v>23280.147339016363</v>
      </c>
      <c r="F114" s="12">
        <f t="shared" si="16"/>
        <v>8149.297127175907</v>
      </c>
      <c r="G114" s="12">
        <f t="shared" si="16"/>
        <v>1007.2164988644389</v>
      </c>
      <c r="H114" s="9"/>
      <c r="I114" s="12">
        <f t="shared" si="12"/>
        <v>2300.9080357349048</v>
      </c>
      <c r="J114" s="12">
        <f t="shared" si="13"/>
        <v>643.84561999725838</v>
      </c>
      <c r="K114" s="12">
        <f t="shared" si="14"/>
        <v>79.576424943481456</v>
      </c>
    </row>
    <row r="115" spans="2:11" x14ac:dyDescent="0.25">
      <c r="B115" s="10">
        <v>111</v>
      </c>
      <c r="C115" s="11">
        <v>44002</v>
      </c>
      <c r="D115" s="12">
        <f t="shared" si="9"/>
        <v>114468.53392484438</v>
      </c>
      <c r="E115" s="12">
        <f t="shared" si="10"/>
        <v>24925.947537814765</v>
      </c>
      <c r="F115" s="12">
        <f t="shared" si="16"/>
        <v>8839.9414982333928</v>
      </c>
      <c r="G115" s="12">
        <f t="shared" si="16"/>
        <v>1092.5770391074989</v>
      </c>
      <c r="H115" s="9"/>
      <c r="I115" s="12">
        <f t="shared" si="12"/>
        <v>2421.8051100989455</v>
      </c>
      <c r="J115" s="12">
        <f t="shared" si="13"/>
        <v>690.64437105748539</v>
      </c>
      <c r="K115" s="12">
        <f t="shared" si="14"/>
        <v>85.360540243060072</v>
      </c>
    </row>
    <row r="116" spans="2:11" x14ac:dyDescent="0.25">
      <c r="B116" s="10">
        <v>112</v>
      </c>
      <c r="C116" s="11">
        <v>44003</v>
      </c>
      <c r="D116" s="12">
        <f t="shared" si="9"/>
        <v>111927.77967158698</v>
      </c>
      <c r="E116" s="12">
        <f t="shared" si="10"/>
        <v>26635.836873145003</v>
      </c>
      <c r="F116" s="12">
        <f t="shared" si="16"/>
        <v>9579.4112751885641</v>
      </c>
      <c r="G116" s="12">
        <f t="shared" si="16"/>
        <v>1183.9721800794864</v>
      </c>
      <c r="H116" s="9"/>
      <c r="I116" s="12">
        <f t="shared" si="12"/>
        <v>2540.7542532573984</v>
      </c>
      <c r="J116" s="12">
        <f t="shared" si="13"/>
        <v>739.46977695517126</v>
      </c>
      <c r="K116" s="12">
        <f t="shared" si="14"/>
        <v>91.395140971987558</v>
      </c>
    </row>
    <row r="117" spans="2:11" x14ac:dyDescent="0.25">
      <c r="B117" s="10">
        <v>113</v>
      </c>
      <c r="C117" s="11">
        <v>44004</v>
      </c>
      <c r="D117" s="12">
        <f t="shared" si="9"/>
        <v>109271.35839769537</v>
      </c>
      <c r="E117" s="12">
        <f t="shared" si="10"/>
        <v>28404.396917931776</v>
      </c>
      <c r="F117" s="12">
        <f t="shared" si="16"/>
        <v>10369.607769091866</v>
      </c>
      <c r="G117" s="12">
        <f t="shared" si="16"/>
        <v>1281.6369152810182</v>
      </c>
      <c r="H117" s="9"/>
      <c r="I117" s="12">
        <f t="shared" si="12"/>
        <v>2656.4212738916076</v>
      </c>
      <c r="J117" s="12">
        <f t="shared" si="13"/>
        <v>790.19649390330176</v>
      </c>
      <c r="K117" s="12">
        <f t="shared" si="14"/>
        <v>97.664735201531769</v>
      </c>
    </row>
    <row r="118" spans="2:11" x14ac:dyDescent="0.25">
      <c r="B118" s="10">
        <v>114</v>
      </c>
      <c r="C118" s="11">
        <v>44005</v>
      </c>
      <c r="D118" s="12">
        <f t="shared" si="9"/>
        <v>106503.9641330294</v>
      </c>
      <c r="E118" s="12">
        <f t="shared" si="10"/>
        <v>30224.977952000019</v>
      </c>
      <c r="F118" s="12">
        <f t="shared" ref="F118:G133" si="17">F117+J118</f>
        <v>11212.271544323843</v>
      </c>
      <c r="G118" s="12">
        <f t="shared" si="17"/>
        <v>1385.7863706467681</v>
      </c>
      <c r="H118" s="9"/>
      <c r="I118" s="12">
        <f t="shared" si="12"/>
        <v>2767.3942646659707</v>
      </c>
      <c r="J118" s="12">
        <f t="shared" si="13"/>
        <v>842.66377523197593</v>
      </c>
      <c r="K118" s="12">
        <f t="shared" si="14"/>
        <v>104.14945536574993</v>
      </c>
    </row>
    <row r="119" spans="2:11" x14ac:dyDescent="0.25">
      <c r="B119" s="10">
        <v>115</v>
      </c>
      <c r="C119" s="11">
        <v>44006</v>
      </c>
      <c r="D119" s="12">
        <f t="shared" si="9"/>
        <v>103631.75195283326</v>
      </c>
      <c r="E119" s="12">
        <f t="shared" si="10"/>
        <v>32089.690867129488</v>
      </c>
      <c r="F119" s="12">
        <f t="shared" si="17"/>
        <v>12108.945890233177</v>
      </c>
      <c r="G119" s="12">
        <f t="shared" si="17"/>
        <v>1496.6112898041015</v>
      </c>
      <c r="H119" s="9"/>
      <c r="I119" s="12">
        <f t="shared" si="12"/>
        <v>2872.2121801961339</v>
      </c>
      <c r="J119" s="12">
        <f t="shared" si="13"/>
        <v>896.67434590933385</v>
      </c>
      <c r="K119" s="12">
        <f t="shared" si="14"/>
        <v>110.8249191573335</v>
      </c>
    </row>
    <row r="120" spans="2:11" x14ac:dyDescent="0.25">
      <c r="B120" s="10">
        <v>116</v>
      </c>
      <c r="C120" s="11">
        <v>44007</v>
      </c>
      <c r="D120" s="12">
        <f t="shared" si="9"/>
        <v>100662.35276135156</v>
      </c>
      <c r="E120" s="12">
        <f t="shared" si="10"/>
        <v>33989.43369637354</v>
      </c>
      <c r="F120" s="12">
        <f t="shared" si="17"/>
        <v>13060.940052624685</v>
      </c>
      <c r="G120" s="12">
        <f t="shared" si="17"/>
        <v>1614.2734896502429</v>
      </c>
      <c r="H120" s="9"/>
      <c r="I120" s="12">
        <f t="shared" si="12"/>
        <v>2969.3991914816984</v>
      </c>
      <c r="J120" s="12">
        <f t="shared" si="13"/>
        <v>951.99416239150798</v>
      </c>
      <c r="K120" s="12">
        <f t="shared" si="14"/>
        <v>117.66219984614155</v>
      </c>
    </row>
    <row r="121" spans="2:11" x14ac:dyDescent="0.25">
      <c r="B121" s="10">
        <v>117</v>
      </c>
      <c r="C121" s="11">
        <v>44008</v>
      </c>
      <c r="D121" s="12">
        <f t="shared" si="9"/>
        <v>97604.848842516643</v>
      </c>
      <c r="E121" s="12">
        <f t="shared" si="10"/>
        <v>35913.95649199601</v>
      </c>
      <c r="F121" s="12">
        <f t="shared" si="17"/>
        <v>14069.293252283765</v>
      </c>
      <c r="G121" s="12">
        <f t="shared" si="17"/>
        <v>1738.9014132036127</v>
      </c>
      <c r="H121" s="9"/>
      <c r="I121" s="12">
        <f t="shared" si="12"/>
        <v>3057.5039188349242</v>
      </c>
      <c r="J121" s="12">
        <f t="shared" si="13"/>
        <v>1008.3531996590815</v>
      </c>
      <c r="K121" s="12">
        <f t="shared" si="14"/>
        <v>124.62792355336975</v>
      </c>
    </row>
    <row r="122" spans="2:11" x14ac:dyDescent="0.25">
      <c r="B122" s="10">
        <v>118</v>
      </c>
      <c r="C122" s="11">
        <v>44009</v>
      </c>
      <c r="D122" s="12">
        <f t="shared" si="9"/>
        <v>94469.706677694354</v>
      </c>
      <c r="E122" s="12">
        <f t="shared" si="10"/>
        <v>37851.966773751767</v>
      </c>
      <c r="F122" s="12">
        <f t="shared" si="17"/>
        <v>15134.74062821298</v>
      </c>
      <c r="G122" s="12">
        <f t="shared" si="17"/>
        <v>1870.5859203409316</v>
      </c>
      <c r="H122" s="9"/>
      <c r="I122" s="12">
        <f t="shared" si="12"/>
        <v>3135.1421648222909</v>
      </c>
      <c r="J122" s="12">
        <f t="shared" si="13"/>
        <v>1065.4473759292148</v>
      </c>
      <c r="K122" s="12">
        <f t="shared" si="14"/>
        <v>131.6845071373188</v>
      </c>
    </row>
    <row r="123" spans="2:11" x14ac:dyDescent="0.25">
      <c r="B123" s="10">
        <v>119</v>
      </c>
      <c r="C123" s="11">
        <v>44010</v>
      </c>
      <c r="D123" s="12">
        <f t="shared" si="9"/>
        <v>91268.665359008082</v>
      </c>
      <c r="E123" s="12">
        <f t="shared" si="10"/>
        <v>39791.27586664632</v>
      </c>
      <c r="F123" s="12">
        <f t="shared" si="17"/>
        <v>16257.682309167616</v>
      </c>
      <c r="G123" s="12">
        <f t="shared" si="17"/>
        <v>2009.3764651780216</v>
      </c>
      <c r="H123" s="9"/>
      <c r="I123" s="12">
        <f t="shared" si="12"/>
        <v>3201.0413186862756</v>
      </c>
      <c r="J123" s="12">
        <f t="shared" si="13"/>
        <v>1122.9416809546356</v>
      </c>
      <c r="K123" s="12">
        <f t="shared" si="14"/>
        <v>138.79054483708993</v>
      </c>
    </row>
    <row r="124" spans="2:11" x14ac:dyDescent="0.25">
      <c r="B124" s="10">
        <v>120</v>
      </c>
      <c r="C124" s="11">
        <v>44011</v>
      </c>
      <c r="D124" s="12">
        <f t="shared" si="9"/>
        <v>88014.581121518553</v>
      </c>
      <c r="E124" s="12">
        <f t="shared" si="10"/>
        <v>41718.984241914302</v>
      </c>
      <c r="F124" s="12">
        <f t="shared" si="17"/>
        <v>17438.15682654479</v>
      </c>
      <c r="G124" s="12">
        <f t="shared" si="17"/>
        <v>2155.2778100223913</v>
      </c>
      <c r="H124" s="9"/>
      <c r="I124" s="12">
        <f t="shared" si="12"/>
        <v>3254.084237489531</v>
      </c>
      <c r="J124" s="12">
        <f t="shared" si="13"/>
        <v>1180.4745173771739</v>
      </c>
      <c r="K124" s="12">
        <f t="shared" si="14"/>
        <v>145.90134484436996</v>
      </c>
    </row>
    <row r="125" spans="2:11" x14ac:dyDescent="0.25">
      <c r="B125" s="10">
        <v>121</v>
      </c>
      <c r="C125" s="13">
        <v>44012</v>
      </c>
      <c r="D125" s="12">
        <f t="shared" si="9"/>
        <v>84721.230941156973</v>
      </c>
      <c r="E125" s="12">
        <f t="shared" si="10"/>
        <v>43621.701614212063</v>
      </c>
      <c r="F125" s="12">
        <f t="shared" si="17"/>
        <v>18675.820025721579</v>
      </c>
      <c r="G125" s="12">
        <f t="shared" si="17"/>
        <v>2308.2474189094105</v>
      </c>
      <c r="H125" s="9"/>
      <c r="I125" s="12">
        <f t="shared" si="12"/>
        <v>3293.3501803615741</v>
      </c>
      <c r="J125" s="12">
        <f t="shared" si="13"/>
        <v>1237.6631991767908</v>
      </c>
      <c r="K125" s="12">
        <f t="shared" si="14"/>
        <v>152.96960888701923</v>
      </c>
    </row>
    <row r="126" spans="2:11" x14ac:dyDescent="0.25">
      <c r="B126" s="10">
        <v>122</v>
      </c>
      <c r="C126" s="11">
        <v>44013</v>
      </c>
      <c r="D126" s="12">
        <f t="shared" si="9"/>
        <v>81403.080614793376</v>
      </c>
      <c r="E126" s="12">
        <f t="shared" si="10"/>
        <v>45485.795220101929</v>
      </c>
      <c r="F126" s="12">
        <f t="shared" si="17"/>
        <v>19969.930506943205</v>
      </c>
      <c r="G126" s="12">
        <f t="shared" si="17"/>
        <v>2468.1936581615214</v>
      </c>
      <c r="H126" s="9"/>
      <c r="I126" s="12">
        <f t="shared" si="12"/>
        <v>3318.1503263635973</v>
      </c>
      <c r="J126" s="12">
        <f t="shared" si="13"/>
        <v>1294.1104812216245</v>
      </c>
      <c r="K126" s="12">
        <f t="shared" si="14"/>
        <v>159.94623925211104</v>
      </c>
    </row>
    <row r="127" spans="2:11" x14ac:dyDescent="0.25">
      <c r="B127" s="10">
        <v>123</v>
      </c>
      <c r="C127" s="11">
        <v>44014</v>
      </c>
      <c r="D127" s="12">
        <f t="shared" si="9"/>
        <v>78075.025041881425</v>
      </c>
      <c r="E127" s="12">
        <f t="shared" si="10"/>
        <v>47297.657619010482</v>
      </c>
      <c r="F127" s="12">
        <f t="shared" si="17"/>
        <v>21319.342431806228</v>
      </c>
      <c r="G127" s="12">
        <f t="shared" si="17"/>
        <v>2634.9749073018952</v>
      </c>
      <c r="H127" s="9"/>
      <c r="I127" s="12">
        <f t="shared" si="12"/>
        <v>3328.0555729119483</v>
      </c>
      <c r="J127" s="12">
        <f t="shared" si="13"/>
        <v>1349.4119248630236</v>
      </c>
      <c r="K127" s="12">
        <f t="shared" si="14"/>
        <v>166.78124914037389</v>
      </c>
    </row>
    <row r="128" spans="2:11" x14ac:dyDescent="0.25">
      <c r="B128" s="10">
        <v>124</v>
      </c>
      <c r="C128" s="11">
        <v>44015</v>
      </c>
      <c r="D128" s="12">
        <f t="shared" si="9"/>
        <v>74752.110345656591</v>
      </c>
      <c r="E128" s="12">
        <f t="shared" si="10"/>
        <v>49043.983727934959</v>
      </c>
      <c r="F128" s="12">
        <f t="shared" si="17"/>
        <v>22722.506274503539</v>
      </c>
      <c r="G128" s="12">
        <f t="shared" si="17"/>
        <v>2808.3996519049338</v>
      </c>
      <c r="H128" s="9"/>
      <c r="I128" s="12">
        <f t="shared" si="12"/>
        <v>3322.9146962248301</v>
      </c>
      <c r="J128" s="12">
        <f t="shared" si="13"/>
        <v>1403.1638426973109</v>
      </c>
      <c r="K128" s="12">
        <f t="shared" si="14"/>
        <v>173.42474460303859</v>
      </c>
    </row>
    <row r="129" spans="2:11" x14ac:dyDescent="0.25">
      <c r="B129" s="10">
        <v>125</v>
      </c>
      <c r="C129" s="11">
        <v>44016</v>
      </c>
      <c r="D129" s="12">
        <f t="shared" si="9"/>
        <v>71449.248809565703</v>
      </c>
      <c r="E129" s="12">
        <f t="shared" si="10"/>
        <v>50712.045806428017</v>
      </c>
      <c r="F129" s="12">
        <f t="shared" si="17"/>
        <v>24177.47779176561</v>
      </c>
      <c r="G129" s="12">
        <f t="shared" si="17"/>
        <v>2988.2275922406952</v>
      </c>
      <c r="H129" s="9"/>
      <c r="I129" s="12">
        <f t="shared" si="12"/>
        <v>3302.8615360908852</v>
      </c>
      <c r="J129" s="12">
        <f t="shared" si="13"/>
        <v>1454.9715172620704</v>
      </c>
      <c r="K129" s="12">
        <f t="shared" si="14"/>
        <v>179.82794033576167</v>
      </c>
    </row>
    <row r="130" spans="2:11" x14ac:dyDescent="0.25">
      <c r="B130" s="10">
        <v>126</v>
      </c>
      <c r="C130" s="11">
        <v>44017</v>
      </c>
      <c r="D130" s="12">
        <f t="shared" si="9"/>
        <v>68180.938214306836</v>
      </c>
      <c r="E130" s="12">
        <f t="shared" si="10"/>
        <v>52289.954874805939</v>
      </c>
      <c r="F130" s="12">
        <f t="shared" si="17"/>
        <v>25681.935150689642</v>
      </c>
      <c r="G130" s="12">
        <f t="shared" si="17"/>
        <v>3174.1717601975979</v>
      </c>
      <c r="H130" s="9"/>
      <c r="I130" s="12">
        <f t="shared" si="12"/>
        <v>3268.3105952588621</v>
      </c>
      <c r="J130" s="12">
        <f t="shared" si="13"/>
        <v>1504.457358924031</v>
      </c>
      <c r="K130" s="12">
        <f t="shared" si="14"/>
        <v>185.94416795690287</v>
      </c>
    </row>
    <row r="131" spans="2:11" x14ac:dyDescent="0.25">
      <c r="B131" s="10">
        <v>127</v>
      </c>
      <c r="C131" s="11">
        <v>44018</v>
      </c>
      <c r="D131" s="12">
        <f t="shared" si="9"/>
        <v>64960.996966750608</v>
      </c>
      <c r="E131" s="12">
        <f t="shared" si="10"/>
        <v>53766.897626535298</v>
      </c>
      <c r="F131" s="12">
        <f t="shared" si="17"/>
        <v>27233.203811975553</v>
      </c>
      <c r="G131" s="12">
        <f t="shared" si="17"/>
        <v>3365.9015947385533</v>
      </c>
      <c r="H131" s="9"/>
      <c r="I131" s="12">
        <f t="shared" si="12"/>
        <v>3219.9412475562299</v>
      </c>
      <c r="J131" s="12">
        <f t="shared" si="13"/>
        <v>1551.2686612859095</v>
      </c>
      <c r="K131" s="12">
        <f t="shared" si="14"/>
        <v>191.7298345409553</v>
      </c>
    </row>
    <row r="132" spans="2:11" x14ac:dyDescent="0.25">
      <c r="B132" s="10">
        <v>128</v>
      </c>
      <c r="C132" s="11">
        <v>44019</v>
      </c>
      <c r="D132" s="12">
        <f t="shared" si="9"/>
        <v>61802.325422371476</v>
      </c>
      <c r="E132" s="12">
        <f t="shared" si="10"/>
        <v>55133.339250029923</v>
      </c>
      <c r="F132" s="12">
        <f t="shared" si="17"/>
        <v>28828.288441562767</v>
      </c>
      <c r="G132" s="12">
        <f t="shared" si="17"/>
        <v>3563.0468860358496</v>
      </c>
      <c r="H132" s="9"/>
      <c r="I132" s="12">
        <f t="shared" si="12"/>
        <v>3158.6715443791304</v>
      </c>
      <c r="J132" s="12">
        <f t="shared" si="13"/>
        <v>1595.0846295872136</v>
      </c>
      <c r="K132" s="12">
        <f t="shared" si="14"/>
        <v>197.14529129729627</v>
      </c>
    </row>
    <row r="133" spans="2:11" x14ac:dyDescent="0.25">
      <c r="B133" s="10">
        <v>129</v>
      </c>
      <c r="C133" s="11">
        <v>44020</v>
      </c>
      <c r="D133" s="12">
        <f t="shared" si="9"/>
        <v>58716.702110481325</v>
      </c>
      <c r="E133" s="12">
        <f t="shared" si="10"/>
        <v>56381.18458691908</v>
      </c>
      <c r="F133" s="12">
        <f t="shared" si="17"/>
        <v>30463.910839313656</v>
      </c>
      <c r="G133" s="12">
        <f t="shared" si="17"/>
        <v>3765.2024632859593</v>
      </c>
      <c r="H133" s="9"/>
      <c r="I133" s="12">
        <f t="shared" si="12"/>
        <v>3085.6233118901519</v>
      </c>
      <c r="J133" s="12">
        <f t="shared" si="13"/>
        <v>1635.6223977508876</v>
      </c>
      <c r="K133" s="12">
        <f t="shared" si="14"/>
        <v>202.15557725010987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55714.621341773876</v>
      </c>
      <c r="E134" s="12">
        <f t="shared" ref="E134:E197" si="19">E133+I134-J134-K134</f>
        <v>57503.892536062565</v>
      </c>
      <c r="F134" s="12">
        <f t="shared" ref="F134:G149" si="20">F133+J134</f>
        <v>32136.552648725588</v>
      </c>
      <c r="G134" s="12">
        <f t="shared" si="20"/>
        <v>3971.9334734379963</v>
      </c>
      <c r="H134" s="9"/>
      <c r="I134" s="12">
        <f t="shared" ref="I134:I197" si="21">E133*N$6*D133/SUM(D133:F133)*N$7</f>
        <v>3002.0807687074516</v>
      </c>
      <c r="J134" s="12">
        <f t="shared" ref="J134:J197" si="22">E133*N$8/N$5</f>
        <v>1672.6418094119326</v>
      </c>
      <c r="K134" s="12">
        <f t="shared" ref="K134:K197" si="23">E133*N$9/N$5</f>
        <v>206.73101015203682</v>
      </c>
    </row>
    <row r="135" spans="2:11" x14ac:dyDescent="0.25">
      <c r="B135" s="10">
        <v>131</v>
      </c>
      <c r="C135" s="11">
        <v>44022</v>
      </c>
      <c r="D135" s="12">
        <f t="shared" si="18"/>
        <v>52805.176125417485</v>
      </c>
      <c r="E135" s="12">
        <f t="shared" si="19"/>
        <v>58496.541334550202</v>
      </c>
      <c r="F135" s="12">
        <f t="shared" si="20"/>
        <v>33842.50146062878</v>
      </c>
      <c r="G135" s="12">
        <f t="shared" si="20"/>
        <v>4182.7810794035595</v>
      </c>
      <c r="H135" s="9"/>
      <c r="I135" s="12">
        <f t="shared" si="21"/>
        <v>2909.4452163563942</v>
      </c>
      <c r="J135" s="12">
        <f t="shared" si="22"/>
        <v>1705.9488119031892</v>
      </c>
      <c r="K135" s="12">
        <f t="shared" si="23"/>
        <v>210.84760596556291</v>
      </c>
    </row>
    <row r="136" spans="2:11" x14ac:dyDescent="0.25">
      <c r="B136" s="10">
        <v>132</v>
      </c>
      <c r="C136" s="11">
        <v>44023</v>
      </c>
      <c r="D136" s="12">
        <f t="shared" si="18"/>
        <v>49995.987683777341</v>
      </c>
      <c r="E136" s="12">
        <f t="shared" si="19"/>
        <v>59355.845065038673</v>
      </c>
      <c r="F136" s="12">
        <f t="shared" si="20"/>
        <v>35577.898853553772</v>
      </c>
      <c r="G136" s="12">
        <f t="shared" si="20"/>
        <v>4397.2683976302442</v>
      </c>
      <c r="H136" s="9"/>
      <c r="I136" s="12">
        <f t="shared" si="21"/>
        <v>2809.1884416401472</v>
      </c>
      <c r="J136" s="12">
        <f t="shared" si="22"/>
        <v>1735.3973929249892</v>
      </c>
      <c r="K136" s="12">
        <f t="shared" si="23"/>
        <v>214.48731822668427</v>
      </c>
    </row>
    <row r="137" spans="2:11" x14ac:dyDescent="0.25">
      <c r="B137" s="10">
        <v>133</v>
      </c>
      <c r="C137" s="11">
        <v>44024</v>
      </c>
      <c r="D137" s="12">
        <f t="shared" si="18"/>
        <v>47293.18035283903</v>
      </c>
      <c r="E137" s="12">
        <f t="shared" si="19"/>
        <v>60080.124227142362</v>
      </c>
      <c r="F137" s="12">
        <f t="shared" si="20"/>
        <v>37338.788923816588</v>
      </c>
      <c r="G137" s="12">
        <f t="shared" si="20"/>
        <v>4614.9064962020529</v>
      </c>
      <c r="H137" s="9"/>
      <c r="I137" s="12">
        <f t="shared" si="21"/>
        <v>2702.8073309383108</v>
      </c>
      <c r="J137" s="12">
        <f t="shared" si="22"/>
        <v>1760.8900702628137</v>
      </c>
      <c r="K137" s="12">
        <f t="shared" si="23"/>
        <v>217.63809857180865</v>
      </c>
    </row>
    <row r="138" spans="2:11" x14ac:dyDescent="0.25">
      <c r="B138" s="10">
        <v>134</v>
      </c>
      <c r="C138" s="11">
        <v>44025</v>
      </c>
      <c r="D138" s="12">
        <f t="shared" si="18"/>
        <v>44701.39848574908</v>
      </c>
      <c r="E138" s="12">
        <f t="shared" si="19"/>
        <v>60669.2352866609</v>
      </c>
      <c r="F138" s="12">
        <f t="shared" si="20"/>
        <v>39121.165942555148</v>
      </c>
      <c r="G138" s="12">
        <f t="shared" si="20"/>
        <v>4835.2002850349081</v>
      </c>
      <c r="H138" s="9"/>
      <c r="I138" s="12">
        <f t="shared" si="21"/>
        <v>2591.7818670899478</v>
      </c>
      <c r="J138" s="12">
        <f t="shared" si="22"/>
        <v>1782.3770187385564</v>
      </c>
      <c r="K138" s="12">
        <f t="shared" si="23"/>
        <v>220.29378883285554</v>
      </c>
    </row>
    <row r="139" spans="2:11" x14ac:dyDescent="0.25">
      <c r="B139" s="10">
        <v>135</v>
      </c>
      <c r="C139" s="11">
        <v>44026</v>
      </c>
      <c r="D139" s="12">
        <f t="shared" si="18"/>
        <v>42223.86027154146</v>
      </c>
      <c r="E139" s="12">
        <f t="shared" si="19"/>
        <v>61124.465657979825</v>
      </c>
      <c r="F139" s="12">
        <f t="shared" si="20"/>
        <v>40921.019922726089</v>
      </c>
      <c r="G139" s="12">
        <f t="shared" si="20"/>
        <v>5057.6541477526653</v>
      </c>
      <c r="H139" s="9"/>
      <c r="I139" s="12">
        <f t="shared" si="21"/>
        <v>2477.5382142076223</v>
      </c>
      <c r="J139" s="12">
        <f t="shared" si="22"/>
        <v>1799.8539801709398</v>
      </c>
      <c r="K139" s="12">
        <f t="shared" si="23"/>
        <v>222.45386271775683</v>
      </c>
    </row>
    <row r="140" spans="2:11" x14ac:dyDescent="0.25">
      <c r="B140" s="10">
        <v>136</v>
      </c>
      <c r="C140" s="11">
        <v>44027</v>
      </c>
      <c r="D140" s="12">
        <f t="shared" si="18"/>
        <v>39862.442214180133</v>
      </c>
      <c r="E140" s="12">
        <f t="shared" si="19"/>
        <v>61448.401526741822</v>
      </c>
      <c r="F140" s="12">
        <f t="shared" si="20"/>
        <v>42734.379070579489</v>
      </c>
      <c r="G140" s="12">
        <f t="shared" si="20"/>
        <v>5281.7771884985914</v>
      </c>
      <c r="H140" s="9"/>
      <c r="I140" s="12">
        <f t="shared" si="21"/>
        <v>2361.4180573613248</v>
      </c>
      <c r="J140" s="12">
        <f t="shared" si="22"/>
        <v>1813.3591478534013</v>
      </c>
      <c r="K140" s="12">
        <f t="shared" si="23"/>
        <v>224.1230407459262</v>
      </c>
    </row>
    <row r="141" spans="2:11" x14ac:dyDescent="0.25">
      <c r="B141" s="10">
        <v>137</v>
      </c>
      <c r="C141" s="11">
        <v>44028</v>
      </c>
      <c r="D141" s="12">
        <f t="shared" si="18"/>
        <v>37617.787399873007</v>
      </c>
      <c r="E141" s="12">
        <f t="shared" si="19"/>
        <v>61644.776290157555</v>
      </c>
      <c r="F141" s="12">
        <f t="shared" si="20"/>
        <v>44557.348315872827</v>
      </c>
      <c r="G141" s="12">
        <f t="shared" si="20"/>
        <v>5507.0879940966452</v>
      </c>
      <c r="H141" s="9"/>
      <c r="I141" s="12">
        <f t="shared" si="21"/>
        <v>2244.65481430713</v>
      </c>
      <c r="J141" s="12">
        <f t="shared" si="22"/>
        <v>1822.9692452933405</v>
      </c>
      <c r="K141" s="12">
        <f t="shared" si="23"/>
        <v>225.31080559805352</v>
      </c>
    </row>
    <row r="142" spans="2:11" x14ac:dyDescent="0.25">
      <c r="B142" s="10">
        <v>138</v>
      </c>
      <c r="C142" s="11">
        <v>44029</v>
      </c>
      <c r="D142" s="12">
        <f t="shared" si="18"/>
        <v>35489.43057186652</v>
      </c>
      <c r="E142" s="12">
        <f t="shared" si="19"/>
        <v>61718.307241825452</v>
      </c>
      <c r="F142" s="12">
        <f t="shared" si="20"/>
        <v>46386.143345814169</v>
      </c>
      <c r="G142" s="12">
        <f t="shared" si="20"/>
        <v>5733.1188404938894</v>
      </c>
      <c r="H142" s="9"/>
      <c r="I142" s="12">
        <f t="shared" si="21"/>
        <v>2128.3568280064833</v>
      </c>
      <c r="J142" s="12">
        <f t="shared" si="22"/>
        <v>1828.7950299413408</v>
      </c>
      <c r="K142" s="12">
        <f t="shared" si="23"/>
        <v>226.03084639724457</v>
      </c>
    </row>
    <row r="143" spans="2:11" x14ac:dyDescent="0.25">
      <c r="B143" s="10">
        <v>139</v>
      </c>
      <c r="C143" s="11">
        <v>44030</v>
      </c>
      <c r="D143" s="12">
        <f t="shared" si="18"/>
        <v>33475.933351731321</v>
      </c>
      <c r="E143" s="12">
        <f t="shared" si="19"/>
        <v>61674.527553899803</v>
      </c>
      <c r="F143" s="12">
        <f t="shared" si="20"/>
        <v>48217.119793988328</v>
      </c>
      <c r="G143" s="12">
        <f t="shared" si="20"/>
        <v>5959.4193003805831</v>
      </c>
      <c r="H143" s="9"/>
      <c r="I143" s="12">
        <f t="shared" si="21"/>
        <v>2013.4972201351979</v>
      </c>
      <c r="J143" s="12">
        <f t="shared" si="22"/>
        <v>1830.9764481741549</v>
      </c>
      <c r="K143" s="12">
        <f t="shared" si="23"/>
        <v>226.30045988669355</v>
      </c>
    </row>
    <row r="144" spans="2:11" x14ac:dyDescent="0.25">
      <c r="B144" s="10">
        <v>140</v>
      </c>
      <c r="C144" s="11">
        <v>44031</v>
      </c>
      <c r="D144" s="12">
        <f t="shared" si="18"/>
        <v>31575.023592188216</v>
      </c>
      <c r="E144" s="12">
        <f t="shared" si="19"/>
        <v>61519.619728312922</v>
      </c>
      <c r="F144" s="12">
        <f t="shared" si="20"/>
        <v>50046.797444754018</v>
      </c>
      <c r="G144" s="12">
        <f t="shared" si="20"/>
        <v>6185.5592347448828</v>
      </c>
      <c r="H144" s="9"/>
      <c r="I144" s="12">
        <f t="shared" si="21"/>
        <v>1900.9097595431058</v>
      </c>
      <c r="J144" s="12">
        <f t="shared" si="22"/>
        <v>1829.6776507656939</v>
      </c>
      <c r="K144" s="12">
        <f t="shared" si="23"/>
        <v>226.13993436429948</v>
      </c>
    </row>
    <row r="145" spans="2:11" x14ac:dyDescent="0.25">
      <c r="B145" s="10">
        <v>141</v>
      </c>
      <c r="C145" s="11">
        <v>44032</v>
      </c>
      <c r="D145" s="12">
        <f t="shared" si="18"/>
        <v>29783.733709416847</v>
      </c>
      <c r="E145" s="12">
        <f t="shared" si="19"/>
        <v>61260.255620140524</v>
      </c>
      <c r="F145" s="12">
        <f t="shared" si="20"/>
        <v>51871.879496693968</v>
      </c>
      <c r="G145" s="12">
        <f t="shared" si="20"/>
        <v>6411.1311737486967</v>
      </c>
      <c r="H145" s="9"/>
      <c r="I145" s="12">
        <f t="shared" si="21"/>
        <v>1791.2898827713673</v>
      </c>
      <c r="J145" s="12">
        <f t="shared" si="22"/>
        <v>1825.0820519399499</v>
      </c>
      <c r="K145" s="12">
        <f t="shared" si="23"/>
        <v>225.57193900381426</v>
      </c>
    </row>
    <row r="146" spans="2:11" x14ac:dyDescent="0.25">
      <c r="B146" s="10">
        <v>142</v>
      </c>
      <c r="C146" s="11">
        <v>44033</v>
      </c>
      <c r="D146" s="12">
        <f t="shared" si="18"/>
        <v>28098.533818700282</v>
      </c>
      <c r="E146" s="12">
        <f t="shared" si="19"/>
        <v>60903.44699018573</v>
      </c>
      <c r="F146" s="12">
        <f t="shared" si="20"/>
        <v>53689.267080091471</v>
      </c>
      <c r="G146" s="12">
        <f t="shared" si="20"/>
        <v>6635.7521110225453</v>
      </c>
      <c r="H146" s="9"/>
      <c r="I146" s="12">
        <f t="shared" si="21"/>
        <v>1685.1998907165637</v>
      </c>
      <c r="J146" s="12">
        <f t="shared" si="22"/>
        <v>1817.3875833975021</v>
      </c>
      <c r="K146" s="12">
        <f t="shared" si="23"/>
        <v>224.6209372738488</v>
      </c>
    </row>
    <row r="147" spans="2:11" x14ac:dyDescent="0.25">
      <c r="B147" s="10">
        <v>143</v>
      </c>
      <c r="C147" s="11">
        <v>44034</v>
      </c>
      <c r="D147" s="12">
        <f t="shared" si="18"/>
        <v>26515.456496772273</v>
      </c>
      <c r="E147" s="12">
        <f t="shared" si="19"/>
        <v>60456.40941244088</v>
      </c>
      <c r="F147" s="12">
        <f t="shared" si="20"/>
        <v>55496.069340800314</v>
      </c>
      <c r="G147" s="12">
        <f t="shared" si="20"/>
        <v>6859.0647499865599</v>
      </c>
      <c r="H147" s="9"/>
      <c r="I147" s="12">
        <f t="shared" si="21"/>
        <v>1583.07732192801</v>
      </c>
      <c r="J147" s="12">
        <f t="shared" si="22"/>
        <v>1806.8022607088431</v>
      </c>
      <c r="K147" s="12">
        <f t="shared" si="23"/>
        <v>223.31263896401455</v>
      </c>
    </row>
    <row r="148" spans="2:11" x14ac:dyDescent="0.25">
      <c r="B148" s="10">
        <v>144</v>
      </c>
      <c r="C148" s="11">
        <v>44035</v>
      </c>
      <c r="D148" s="12">
        <f t="shared" si="18"/>
        <v>25030.210947304713</v>
      </c>
      <c r="E148" s="12">
        <f t="shared" si="19"/>
        <v>59926.441314827076</v>
      </c>
      <c r="F148" s="12">
        <f t="shared" si="20"/>
        <v>57289.609486702728</v>
      </c>
      <c r="G148" s="12">
        <f t="shared" si="20"/>
        <v>7080.7382511655096</v>
      </c>
      <c r="H148" s="9"/>
      <c r="I148" s="12">
        <f t="shared" si="21"/>
        <v>1485.2455494675607</v>
      </c>
      <c r="J148" s="12">
        <f t="shared" si="22"/>
        <v>1793.5401459024126</v>
      </c>
      <c r="K148" s="12">
        <f t="shared" si="23"/>
        <v>221.67350117895009</v>
      </c>
    </row>
    <row r="149" spans="2:11" x14ac:dyDescent="0.25">
      <c r="B149" s="10">
        <v>145</v>
      </c>
      <c r="C149" s="11">
        <v>44036</v>
      </c>
      <c r="D149" s="12">
        <f t="shared" si="18"/>
        <v>23638.285203410309</v>
      </c>
      <c r="E149" s="12">
        <f t="shared" si="19"/>
        <v>59320.81901489391</v>
      </c>
      <c r="F149" s="12">
        <f t="shared" si="20"/>
        <v>59067.427245709267</v>
      </c>
      <c r="G149" s="12">
        <f t="shared" si="20"/>
        <v>7300.4685359865425</v>
      </c>
      <c r="H149" s="9"/>
      <c r="I149" s="12">
        <f t="shared" si="21"/>
        <v>1391.9257438944037</v>
      </c>
      <c r="J149" s="12">
        <f t="shared" si="22"/>
        <v>1777.8177590065363</v>
      </c>
      <c r="K149" s="12">
        <f t="shared" si="23"/>
        <v>219.73028482103282</v>
      </c>
    </row>
    <row r="150" spans="2:11" x14ac:dyDescent="0.25">
      <c r="B150" s="10">
        <v>146</v>
      </c>
      <c r="C150" s="11">
        <v>44037</v>
      </c>
      <c r="D150" s="12">
        <f t="shared" si="18"/>
        <v>22335.035733347311</v>
      </c>
      <c r="E150" s="12">
        <f t="shared" si="19"/>
        <v>58646.70785112711</v>
      </c>
      <c r="F150" s="12">
        <f t="shared" ref="F150:G165" si="24">F149+J150</f>
        <v>60827.278209817785</v>
      </c>
      <c r="G150" s="12">
        <f t="shared" si="24"/>
        <v>7517.9782057078201</v>
      </c>
      <c r="H150" s="9"/>
      <c r="I150" s="12">
        <f t="shared" si="21"/>
        <v>1303.2494700629968</v>
      </c>
      <c r="J150" s="12">
        <f t="shared" si="22"/>
        <v>1759.8509641085191</v>
      </c>
      <c r="K150" s="12">
        <f t="shared" si="23"/>
        <v>217.50966972127787</v>
      </c>
    </row>
    <row r="151" spans="2:11" x14ac:dyDescent="0.25">
      <c r="B151" s="10">
        <v>147</v>
      </c>
      <c r="C151" s="11">
        <v>44038</v>
      </c>
      <c r="D151" s="12">
        <f t="shared" si="18"/>
        <v>21115.764410140786</v>
      </c>
      <c r="E151" s="12">
        <f t="shared" si="19"/>
        <v>57911.088912629399</v>
      </c>
      <c r="F151" s="12">
        <f t="shared" si="24"/>
        <v>62567.130542734558</v>
      </c>
      <c r="G151" s="12">
        <f t="shared" si="24"/>
        <v>7733.0161344952867</v>
      </c>
      <c r="H151" s="9"/>
      <c r="I151" s="12">
        <f t="shared" si="21"/>
        <v>1219.2713232065264</v>
      </c>
      <c r="J151" s="12">
        <f t="shared" si="22"/>
        <v>1739.8523329167706</v>
      </c>
      <c r="K151" s="12">
        <f t="shared" si="23"/>
        <v>215.03792878746626</v>
      </c>
    </row>
    <row r="152" spans="2:11" x14ac:dyDescent="0.25">
      <c r="B152" s="10">
        <v>148</v>
      </c>
      <c r="C152" s="11">
        <v>44039</v>
      </c>
      <c r="D152" s="12">
        <f t="shared" si="18"/>
        <v>19975.78326304951</v>
      </c>
      <c r="E152" s="12">
        <f t="shared" si="19"/>
        <v>57120.700429299693</v>
      </c>
      <c r="F152" s="12">
        <f t="shared" si="24"/>
        <v>64285.159513809231</v>
      </c>
      <c r="G152" s="12">
        <f t="shared" si="24"/>
        <v>7945.3567938415945</v>
      </c>
      <c r="H152" s="9"/>
      <c r="I152" s="12">
        <f t="shared" si="21"/>
        <v>1139.9811470912739</v>
      </c>
      <c r="J152" s="12">
        <f t="shared" si="22"/>
        <v>1718.028971074672</v>
      </c>
      <c r="K152" s="12">
        <f t="shared" si="23"/>
        <v>212.34065934630797</v>
      </c>
    </row>
    <row r="153" spans="2:11" x14ac:dyDescent="0.25">
      <c r="B153" s="10">
        <v>149</v>
      </c>
      <c r="C153" s="11">
        <v>44040</v>
      </c>
      <c r="D153" s="12">
        <f t="shared" si="18"/>
        <v>18910.467758456034</v>
      </c>
      <c r="E153" s="12">
        <f t="shared" si="19"/>
        <v>56281.992586249842</v>
      </c>
      <c r="F153" s="12">
        <f t="shared" si="24"/>
        <v>65979.740293211784</v>
      </c>
      <c r="G153" s="12">
        <f t="shared" si="24"/>
        <v>8154.7993620823599</v>
      </c>
      <c r="H153" s="9"/>
      <c r="I153" s="12">
        <f t="shared" si="21"/>
        <v>1065.3155045934773</v>
      </c>
      <c r="J153" s="12">
        <f t="shared" si="22"/>
        <v>1694.5807794025573</v>
      </c>
      <c r="K153" s="12">
        <f t="shared" si="23"/>
        <v>209.44256824076575</v>
      </c>
    </row>
    <row r="154" spans="2:11" x14ac:dyDescent="0.25">
      <c r="B154" s="10">
        <v>150</v>
      </c>
      <c r="C154" s="11">
        <v>44041</v>
      </c>
      <c r="D154" s="12">
        <f t="shared" si="18"/>
        <v>17915.299575333262</v>
      </c>
      <c r="E154" s="12">
        <f t="shared" si="19"/>
        <v>55401.094349830943</v>
      </c>
      <c r="F154" s="12">
        <f t="shared" si="24"/>
        <v>67649.439406603866</v>
      </c>
      <c r="G154" s="12">
        <f t="shared" si="24"/>
        <v>8361.1666682319428</v>
      </c>
      <c r="H154" s="9"/>
      <c r="I154" s="12">
        <f t="shared" si="21"/>
        <v>995.16818312277212</v>
      </c>
      <c r="J154" s="12">
        <f t="shared" si="22"/>
        <v>1669.6991133920785</v>
      </c>
      <c r="K154" s="12">
        <f t="shared" si="23"/>
        <v>206.36730614958293</v>
      </c>
    </row>
    <row r="155" spans="2:11" x14ac:dyDescent="0.25">
      <c r="B155" s="10">
        <v>151</v>
      </c>
      <c r="C155" s="11">
        <v>44042</v>
      </c>
      <c r="D155" s="12">
        <f t="shared" si="18"/>
        <v>16985.899964251475</v>
      </c>
      <c r="E155" s="12">
        <f t="shared" si="19"/>
        <v>54483.790815918372</v>
      </c>
      <c r="F155" s="12">
        <f t="shared" si="24"/>
        <v>69293.005205648849</v>
      </c>
      <c r="G155" s="12">
        <f t="shared" si="24"/>
        <v>8564.3040141813235</v>
      </c>
      <c r="H155" s="9"/>
      <c r="I155" s="12">
        <f t="shared" si="21"/>
        <v>929.39961108178682</v>
      </c>
      <c r="J155" s="12">
        <f t="shared" si="22"/>
        <v>1643.5657990449845</v>
      </c>
      <c r="K155" s="12">
        <f t="shared" si="23"/>
        <v>203.13734594938029</v>
      </c>
    </row>
    <row r="156" spans="2:11" x14ac:dyDescent="0.25">
      <c r="B156" s="10">
        <v>152</v>
      </c>
      <c r="C156" s="13">
        <v>44043</v>
      </c>
      <c r="D156" s="12">
        <f t="shared" si="18"/>
        <v>16118.054827819427</v>
      </c>
      <c r="E156" s="12">
        <f t="shared" si="19"/>
        <v>53535.509591819813</v>
      </c>
      <c r="F156" s="12">
        <f t="shared" si="24"/>
        <v>70909.3576665211</v>
      </c>
      <c r="G156" s="12">
        <f t="shared" si="24"/>
        <v>8764.0779138396902</v>
      </c>
      <c r="H156" s="9"/>
      <c r="I156" s="12">
        <f t="shared" si="21"/>
        <v>867.84513643204889</v>
      </c>
      <c r="J156" s="12">
        <f t="shared" si="22"/>
        <v>1616.3524608722448</v>
      </c>
      <c r="K156" s="12">
        <f t="shared" si="23"/>
        <v>199.77389965836755</v>
      </c>
    </row>
    <row r="157" spans="2:11" x14ac:dyDescent="0.25">
      <c r="B157" s="10">
        <v>153</v>
      </c>
      <c r="C157" s="21">
        <v>44044</v>
      </c>
      <c r="D157" s="12">
        <f t="shared" si="18"/>
        <v>15307.732652412735</v>
      </c>
      <c r="E157" s="12">
        <f t="shared" si="19"/>
        <v>52561.314780832508</v>
      </c>
      <c r="F157" s="12">
        <f t="shared" si="24"/>
        <v>72497.577784411755</v>
      </c>
      <c r="G157" s="12">
        <f t="shared" si="24"/>
        <v>8960.3747823430294</v>
      </c>
      <c r="H157" s="9"/>
      <c r="I157" s="12">
        <f t="shared" si="21"/>
        <v>810.32217540669353</v>
      </c>
      <c r="J157" s="12">
        <f t="shared" si="22"/>
        <v>1588.2201178906544</v>
      </c>
      <c r="K157" s="12">
        <f t="shared" si="23"/>
        <v>196.29686850333948</v>
      </c>
    </row>
    <row r="158" spans="2:11" x14ac:dyDescent="0.25">
      <c r="B158" s="10">
        <v>154</v>
      </c>
      <c r="C158" s="21">
        <v>44045</v>
      </c>
      <c r="D158" s="12">
        <f t="shared" si="18"/>
        <v>14551.096372011181</v>
      </c>
      <c r="E158" s="12">
        <f t="shared" si="19"/>
        <v>51565.907235206309</v>
      </c>
      <c r="F158" s="12">
        <f t="shared" si="24"/>
        <v>74056.896789576451</v>
      </c>
      <c r="G158" s="12">
        <f t="shared" si="24"/>
        <v>9153.099603206083</v>
      </c>
      <c r="H158" s="9"/>
      <c r="I158" s="12">
        <f t="shared" si="21"/>
        <v>756.63628040155277</v>
      </c>
      <c r="J158" s="12">
        <f t="shared" si="22"/>
        <v>1559.3190051646975</v>
      </c>
      <c r="K158" s="12">
        <f t="shared" si="23"/>
        <v>192.72482086305268</v>
      </c>
    </row>
    <row r="159" spans="2:11" x14ac:dyDescent="0.25">
      <c r="B159" s="10">
        <v>155</v>
      </c>
      <c r="C159" s="21">
        <v>44046</v>
      </c>
      <c r="D159" s="12">
        <f t="shared" si="18"/>
        <v>13844.510168512041</v>
      </c>
      <c r="E159" s="12">
        <f t="shared" si="19"/>
        <v>50553.62986419857</v>
      </c>
      <c r="F159" s="12">
        <f t="shared" si="24"/>
        <v>75586.685370887571</v>
      </c>
      <c r="G159" s="12">
        <f t="shared" si="24"/>
        <v>9342.1745964018392</v>
      </c>
      <c r="H159" s="9"/>
      <c r="I159" s="12">
        <f t="shared" si="21"/>
        <v>706.58620349913974</v>
      </c>
      <c r="J159" s="12">
        <f t="shared" si="22"/>
        <v>1529.7885813111204</v>
      </c>
      <c r="K159" s="12">
        <f t="shared" si="23"/>
        <v>189.07499319575663</v>
      </c>
    </row>
    <row r="160" spans="2:11" x14ac:dyDescent="0.25">
      <c r="B160" s="10">
        <v>156</v>
      </c>
      <c r="C160" s="21">
        <v>44047</v>
      </c>
      <c r="D160" s="12">
        <f t="shared" si="18"/>
        <v>13184.542120037</v>
      </c>
      <c r="E160" s="12">
        <f t="shared" si="19"/>
        <v>49528.476917200329</v>
      </c>
      <c r="F160" s="12">
        <f t="shared" si="24"/>
        <v>77086.4430568588</v>
      </c>
      <c r="G160" s="12">
        <f t="shared" si="24"/>
        <v>9527.5379059039005</v>
      </c>
      <c r="H160" s="9"/>
      <c r="I160" s="12">
        <f t="shared" si="21"/>
        <v>659.96804847504086</v>
      </c>
      <c r="J160" s="12">
        <f t="shared" si="22"/>
        <v>1499.7576859712242</v>
      </c>
      <c r="K160" s="12">
        <f t="shared" si="23"/>
        <v>185.36330950206158</v>
      </c>
    </row>
    <row r="161" spans="2:11" x14ac:dyDescent="0.25">
      <c r="B161" s="10">
        <v>157</v>
      </c>
      <c r="C161" s="21">
        <v>44048</v>
      </c>
      <c r="D161" s="12">
        <f t="shared" si="18"/>
        <v>12567.963508100793</v>
      </c>
      <c r="E161" s="12">
        <f t="shared" si="19"/>
        <v>48494.106298563194</v>
      </c>
      <c r="F161" s="12">
        <f t="shared" si="24"/>
        <v>78555.787872069079</v>
      </c>
      <c r="G161" s="12">
        <f t="shared" si="24"/>
        <v>9709.1423212669688</v>
      </c>
      <c r="H161" s="9"/>
      <c r="I161" s="12">
        <f t="shared" si="21"/>
        <v>616.57861193620761</v>
      </c>
      <c r="J161" s="12">
        <f t="shared" si="22"/>
        <v>1469.3448152102762</v>
      </c>
      <c r="K161" s="12">
        <f t="shared" si="23"/>
        <v>181.60441536306806</v>
      </c>
    </row>
    <row r="162" spans="2:11" x14ac:dyDescent="0.25">
      <c r="B162" s="10">
        <v>158</v>
      </c>
      <c r="C162" s="21">
        <v>44049</v>
      </c>
      <c r="D162" s="12">
        <f t="shared" si="18"/>
        <v>11991.745492471762</v>
      </c>
      <c r="E162" s="12">
        <f t="shared" si="19"/>
        <v>47453.854104240119</v>
      </c>
      <c r="F162" s="12">
        <f t="shared" si="24"/>
        <v>79994.446358926449</v>
      </c>
      <c r="G162" s="12">
        <f t="shared" si="24"/>
        <v>9886.9540443617007</v>
      </c>
      <c r="H162" s="9"/>
      <c r="I162" s="12">
        <f t="shared" si="21"/>
        <v>576.21801562903067</v>
      </c>
      <c r="J162" s="12">
        <f t="shared" si="22"/>
        <v>1438.6584868573746</v>
      </c>
      <c r="K162" s="12">
        <f t="shared" si="23"/>
        <v>177.81172309473186</v>
      </c>
    </row>
    <row r="163" spans="2:11" x14ac:dyDescent="0.25">
      <c r="B163" s="10">
        <v>159</v>
      </c>
      <c r="C163" s="21">
        <v>44050</v>
      </c>
      <c r="D163" s="12">
        <f t="shared" si="18"/>
        <v>11453.053763675656</v>
      </c>
      <c r="E163" s="12">
        <f t="shared" si="19"/>
        <v>46410.75069622822</v>
      </c>
      <c r="F163" s="12">
        <f t="shared" si="24"/>
        <v>81402.244030685571</v>
      </c>
      <c r="G163" s="12">
        <f t="shared" si="24"/>
        <v>10060.951509410581</v>
      </c>
      <c r="H163" s="9"/>
      <c r="I163" s="12">
        <f t="shared" si="21"/>
        <v>538.69172879610608</v>
      </c>
      <c r="J163" s="12">
        <f t="shared" si="22"/>
        <v>1407.7976717591234</v>
      </c>
      <c r="K163" s="12">
        <f t="shared" si="23"/>
        <v>173.9974650488806</v>
      </c>
    </row>
    <row r="164" spans="2:11" x14ac:dyDescent="0.25">
      <c r="B164" s="10">
        <v>160</v>
      </c>
      <c r="C164" s="21">
        <v>44051</v>
      </c>
      <c r="D164" s="12">
        <f t="shared" si="18"/>
        <v>10949.241690395265</v>
      </c>
      <c r="E164" s="12">
        <f t="shared" si="19"/>
        <v>45367.537746300994</v>
      </c>
      <c r="F164" s="12">
        <f t="shared" si="24"/>
        <v>82779.096301340338</v>
      </c>
      <c r="G164" s="12">
        <f t="shared" si="24"/>
        <v>10231.124261963418</v>
      </c>
      <c r="H164" s="9"/>
      <c r="I164" s="12">
        <f t="shared" si="21"/>
        <v>503.81207328039068</v>
      </c>
      <c r="J164" s="12">
        <f t="shared" si="22"/>
        <v>1376.8522706547703</v>
      </c>
      <c r="K164" s="12">
        <f t="shared" si="23"/>
        <v>170.17275255283695</v>
      </c>
    </row>
    <row r="165" spans="2:11" x14ac:dyDescent="0.25">
      <c r="B165" s="10">
        <v>161</v>
      </c>
      <c r="C165" s="21">
        <v>44052</v>
      </c>
      <c r="D165" s="12">
        <f t="shared" si="18"/>
        <v>10477.842394318626</v>
      </c>
      <c r="E165" s="12">
        <f t="shared" si="19"/>
        <v>44326.685784167603</v>
      </c>
      <c r="F165" s="12">
        <f t="shared" si="24"/>
        <v>84124.99992114726</v>
      </c>
      <c r="G165" s="12">
        <f t="shared" si="24"/>
        <v>10397.471900366521</v>
      </c>
      <c r="H165" s="9"/>
      <c r="I165" s="12">
        <f t="shared" si="21"/>
        <v>471.39929607663925</v>
      </c>
      <c r="J165" s="12">
        <f t="shared" si="22"/>
        <v>1345.9036198069293</v>
      </c>
      <c r="K165" s="12">
        <f t="shared" si="23"/>
        <v>166.34763840310379</v>
      </c>
    </row>
    <row r="166" spans="2:11" x14ac:dyDescent="0.25">
      <c r="B166" s="10">
        <v>162</v>
      </c>
      <c r="C166" s="21">
        <v>44053</v>
      </c>
      <c r="D166" s="12">
        <f t="shared" si="18"/>
        <v>10036.560109193319</v>
      </c>
      <c r="E166" s="12">
        <f t="shared" si="19"/>
        <v>43290.411876487327</v>
      </c>
      <c r="F166" s="12">
        <f t="shared" ref="F166:G181" si="25">F165+J166</f>
        <v>85440.024932744229</v>
      </c>
      <c r="G166" s="12">
        <f t="shared" si="25"/>
        <v>10560.003081575136</v>
      </c>
      <c r="H166" s="9"/>
      <c r="I166" s="12">
        <f t="shared" si="21"/>
        <v>441.28228512530796</v>
      </c>
      <c r="J166" s="12">
        <f t="shared" si="22"/>
        <v>1315.025011596972</v>
      </c>
      <c r="K166" s="12">
        <f t="shared" si="23"/>
        <v>162.5311812086147</v>
      </c>
    </row>
    <row r="167" spans="2:11" x14ac:dyDescent="0.25">
      <c r="B167" s="10">
        <v>163</v>
      </c>
      <c r="C167" s="21">
        <v>44054</v>
      </c>
      <c r="D167" s="12">
        <f t="shared" si="18"/>
        <v>9623.2611141943253</v>
      </c>
      <c r="E167" s="12">
        <f t="shared" si="19"/>
        <v>42260.697142270074</v>
      </c>
      <c r="F167" s="12">
        <f t="shared" si="25"/>
        <v>86724.307151746689</v>
      </c>
      <c r="G167" s="12">
        <f t="shared" si="25"/>
        <v>10718.734591788923</v>
      </c>
      <c r="H167" s="9"/>
      <c r="I167" s="12">
        <f t="shared" si="21"/>
        <v>413.29899499899318</v>
      </c>
      <c r="J167" s="12">
        <f t="shared" si="22"/>
        <v>1284.2822190024572</v>
      </c>
      <c r="K167" s="12">
        <f t="shared" si="23"/>
        <v>158.731510213787</v>
      </c>
    </row>
    <row r="168" spans="2:11" x14ac:dyDescent="0.25">
      <c r="B168" s="10">
        <v>164</v>
      </c>
      <c r="C168" s="21">
        <v>44055</v>
      </c>
      <c r="D168" s="12">
        <f t="shared" si="18"/>
        <v>9235.9644739855266</v>
      </c>
      <c r="E168" s="12">
        <f t="shared" si="19"/>
        <v>41239.303877736536</v>
      </c>
      <c r="F168" s="12">
        <f t="shared" si="25"/>
        <v>87978.041166967363</v>
      </c>
      <c r="G168" s="12">
        <f t="shared" si="25"/>
        <v>10873.690481310581</v>
      </c>
      <c r="H168" s="9"/>
      <c r="I168" s="12">
        <f t="shared" si="21"/>
        <v>387.29664020879795</v>
      </c>
      <c r="J168" s="12">
        <f t="shared" si="22"/>
        <v>1253.7340152206787</v>
      </c>
      <c r="K168" s="12">
        <f t="shared" si="23"/>
        <v>154.95588952165707</v>
      </c>
    </row>
    <row r="169" spans="2:11" x14ac:dyDescent="0.25">
      <c r="B169" s="10">
        <v>165</v>
      </c>
      <c r="C169" s="21">
        <v>44056</v>
      </c>
      <c r="D169" s="12">
        <f t="shared" si="18"/>
        <v>8872.8327685251134</v>
      </c>
      <c r="E169" s="12">
        <f t="shared" si="19"/>
        <v>40227.792120605736</v>
      </c>
      <c r="F169" s="12">
        <f t="shared" si="25"/>
        <v>89201.473848673544</v>
      </c>
      <c r="G169" s="12">
        <f t="shared" si="25"/>
        <v>11024.901262195615</v>
      </c>
      <c r="H169" s="9"/>
      <c r="I169" s="12">
        <f t="shared" si="21"/>
        <v>363.13170546041357</v>
      </c>
      <c r="J169" s="12">
        <f t="shared" si="22"/>
        <v>1223.4326817061838</v>
      </c>
      <c r="K169" s="12">
        <f t="shared" si="23"/>
        <v>151.2107808850341</v>
      </c>
    </row>
    <row r="170" spans="2:11" x14ac:dyDescent="0.25">
      <c r="B170" s="10">
        <v>166</v>
      </c>
      <c r="C170" s="21">
        <v>44057</v>
      </c>
      <c r="D170" s="12">
        <f t="shared" si="18"/>
        <v>8532.1629540279755</v>
      </c>
      <c r="E170" s="12">
        <f t="shared" si="19"/>
        <v>39227.535531082685</v>
      </c>
      <c r="F170" s="12">
        <f t="shared" si="25"/>
        <v>90394.898348251518</v>
      </c>
      <c r="G170" s="12">
        <f t="shared" si="25"/>
        <v>11172.403166637836</v>
      </c>
      <c r="H170" s="9"/>
      <c r="I170" s="12">
        <f t="shared" si="21"/>
        <v>340.66981449713847</v>
      </c>
      <c r="J170" s="12">
        <f t="shared" si="22"/>
        <v>1193.42449957797</v>
      </c>
      <c r="K170" s="12">
        <f t="shared" si="23"/>
        <v>147.50190444222116</v>
      </c>
    </row>
    <row r="171" spans="2:11" x14ac:dyDescent="0.25">
      <c r="B171" s="10">
        <v>167</v>
      </c>
      <c r="C171" s="21">
        <v>44058</v>
      </c>
      <c r="D171" s="12">
        <f t="shared" si="18"/>
        <v>8212.3774617590771</v>
      </c>
      <c r="E171" s="12">
        <f t="shared" si="19"/>
        <v>38239.736505648834</v>
      </c>
      <c r="F171" s="12">
        <f t="shared" si="25"/>
        <v>91558.648569006968</v>
      </c>
      <c r="G171" s="12">
        <f t="shared" si="25"/>
        <v>11316.237463585139</v>
      </c>
      <c r="H171" s="9"/>
      <c r="I171" s="12">
        <f t="shared" si="21"/>
        <v>319.78549226889766</v>
      </c>
      <c r="J171" s="12">
        <f t="shared" si="22"/>
        <v>1163.7502207554528</v>
      </c>
      <c r="K171" s="12">
        <f t="shared" si="23"/>
        <v>143.8342969473033</v>
      </c>
    </row>
    <row r="172" spans="2:11" x14ac:dyDescent="0.25">
      <c r="B172" s="10">
        <v>168</v>
      </c>
      <c r="C172" s="21">
        <v>44059</v>
      </c>
      <c r="D172" s="12">
        <f t="shared" si="18"/>
        <v>7912.0156126717993</v>
      </c>
      <c r="E172" s="12">
        <f t="shared" si="19"/>
        <v>37265.440471214482</v>
      </c>
      <c r="F172" s="12">
        <f t="shared" si="25"/>
        <v>92693.094085341218</v>
      </c>
      <c r="G172" s="12">
        <f t="shared" si="25"/>
        <v>11456.449830772519</v>
      </c>
      <c r="H172" s="9"/>
      <c r="I172" s="12">
        <f t="shared" si="21"/>
        <v>300.36184908727734</v>
      </c>
      <c r="J172" s="12">
        <f t="shared" si="22"/>
        <v>1134.4455163342486</v>
      </c>
      <c r="K172" s="12">
        <f t="shared" si="23"/>
        <v>140.21236718737919</v>
      </c>
    </row>
    <row r="173" spans="2:11" x14ac:dyDescent="0.25">
      <c r="B173" s="10">
        <v>169</v>
      </c>
      <c r="C173" s="21">
        <v>44060</v>
      </c>
      <c r="D173" s="12">
        <f t="shared" si="18"/>
        <v>7629.725402524341</v>
      </c>
      <c r="E173" s="12">
        <f t="shared" si="19"/>
        <v>36305.549332321461</v>
      </c>
      <c r="F173" s="12">
        <f t="shared" si="25"/>
        <v>93798.635485987252</v>
      </c>
      <c r="G173" s="12">
        <f t="shared" si="25"/>
        <v>11593.089779166972</v>
      </c>
      <c r="H173" s="9"/>
      <c r="I173" s="12">
        <f t="shared" si="21"/>
        <v>282.29021014745842</v>
      </c>
      <c r="J173" s="12">
        <f t="shared" si="22"/>
        <v>1105.5414006460296</v>
      </c>
      <c r="K173" s="12">
        <f t="shared" si="23"/>
        <v>136.63994839445323</v>
      </c>
    </row>
    <row r="174" spans="2:11" x14ac:dyDescent="0.25">
      <c r="B174" s="10">
        <v>170</v>
      </c>
      <c r="C174" s="21">
        <v>44061</v>
      </c>
      <c r="D174" s="12">
        <f t="shared" si="18"/>
        <v>7364.2556932529924</v>
      </c>
      <c r="E174" s="12">
        <f t="shared" si="19"/>
        <v>35360.834063848757</v>
      </c>
      <c r="F174" s="12">
        <f t="shared" si="25"/>
        <v>94875.700116179461</v>
      </c>
      <c r="G174" s="12">
        <f t="shared" si="25"/>
        <v>11726.210126718817</v>
      </c>
      <c r="H174" s="9"/>
      <c r="I174" s="12">
        <f t="shared" si="21"/>
        <v>265.46970927134879</v>
      </c>
      <c r="J174" s="12">
        <f t="shared" si="22"/>
        <v>1077.0646301922031</v>
      </c>
      <c r="K174" s="12">
        <f t="shared" si="23"/>
        <v>133.12034755184547</v>
      </c>
    </row>
    <row r="175" spans="2:11" x14ac:dyDescent="0.25">
      <c r="B175" s="10">
        <v>171</v>
      </c>
      <c r="C175" s="21">
        <v>44062</v>
      </c>
      <c r="D175" s="12">
        <f t="shared" si="18"/>
        <v>7114.4488313645224</v>
      </c>
      <c r="E175" s="12">
        <f t="shared" si="19"/>
        <v>34431.946456942271</v>
      </c>
      <c r="F175" s="12">
        <f t="shared" si="25"/>
        <v>95924.738193406971</v>
      </c>
      <c r="G175" s="12">
        <f t="shared" si="25"/>
        <v>11855.866518286262</v>
      </c>
      <c r="H175" s="9"/>
      <c r="I175" s="12">
        <f t="shared" si="21"/>
        <v>249.80686188847028</v>
      </c>
      <c r="J175" s="12">
        <f t="shared" si="22"/>
        <v>1049.038077227513</v>
      </c>
      <c r="K175" s="12">
        <f t="shared" si="23"/>
        <v>129.65639156744555</v>
      </c>
    </row>
    <row r="176" spans="2:11" x14ac:dyDescent="0.25">
      <c r="B176" s="10">
        <v>172</v>
      </c>
      <c r="C176" s="21">
        <v>44063</v>
      </c>
      <c r="D176" s="12">
        <f t="shared" si="18"/>
        <v>6879.2337023138016</v>
      </c>
      <c r="E176" s="12">
        <f t="shared" si="19"/>
        <v>33519.430037428254</v>
      </c>
      <c r="F176" s="12">
        <f t="shared" si="25"/>
        <v>96946.219271629598</v>
      </c>
      <c r="G176" s="12">
        <f t="shared" si="25"/>
        <v>11982.116988628384</v>
      </c>
      <c r="H176" s="9"/>
      <c r="I176" s="12">
        <f t="shared" si="21"/>
        <v>235.21512905072129</v>
      </c>
      <c r="J176" s="12">
        <f t="shared" si="22"/>
        <v>1021.4810782226207</v>
      </c>
      <c r="K176" s="12">
        <f t="shared" si="23"/>
        <v>126.25047034212177</v>
      </c>
    </row>
    <row r="177" spans="2:11" x14ac:dyDescent="0.25">
      <c r="B177" s="10">
        <v>173</v>
      </c>
      <c r="C177" s="21">
        <v>44064</v>
      </c>
      <c r="D177" s="12">
        <f t="shared" si="18"/>
        <v>6657.6192207132826</v>
      </c>
      <c r="E177" s="12">
        <f t="shared" si="19"/>
        <v>32623.730184447832</v>
      </c>
      <c r="F177" s="12">
        <f t="shared" si="25"/>
        <v>97940.629029406642</v>
      </c>
      <c r="G177" s="12">
        <f t="shared" si="25"/>
        <v>12105.021565432287</v>
      </c>
      <c r="H177" s="9"/>
      <c r="I177" s="12">
        <f t="shared" si="21"/>
        <v>221.61448160051884</v>
      </c>
      <c r="J177" s="12">
        <f t="shared" si="22"/>
        <v>994.40975777703818</v>
      </c>
      <c r="K177" s="12">
        <f t="shared" si="23"/>
        <v>122.90457680390371</v>
      </c>
    </row>
    <row r="178" spans="2:11" x14ac:dyDescent="0.25">
      <c r="B178" s="10">
        <v>174</v>
      </c>
      <c r="C178" s="21">
        <v>44065</v>
      </c>
      <c r="D178" s="12">
        <f t="shared" si="18"/>
        <v>6448.6882493056646</v>
      </c>
      <c r="E178" s="12">
        <f t="shared" si="19"/>
        <v>31745.203483040521</v>
      </c>
      <c r="F178" s="12">
        <f t="shared" si="25"/>
        <v>98908.466358211925</v>
      </c>
      <c r="G178" s="12">
        <f t="shared" si="25"/>
        <v>12224.641909441929</v>
      </c>
      <c r="H178" s="9"/>
      <c r="I178" s="12">
        <f t="shared" si="21"/>
        <v>208.9309714076177</v>
      </c>
      <c r="J178" s="12">
        <f t="shared" si="22"/>
        <v>967.83732880528555</v>
      </c>
      <c r="K178" s="12">
        <f t="shared" si="23"/>
        <v>119.62034400964215</v>
      </c>
    </row>
    <row r="179" spans="2:11" x14ac:dyDescent="0.25">
      <c r="B179" s="10">
        <v>175</v>
      </c>
      <c r="C179" s="21">
        <v>44066</v>
      </c>
      <c r="D179" s="12">
        <f t="shared" si="18"/>
        <v>6251.5919345145348</v>
      </c>
      <c r="E179" s="12">
        <f t="shared" si="19"/>
        <v>30884.126348396971</v>
      </c>
      <c r="F179" s="12">
        <f t="shared" si="25"/>
        <v>99850.240728208795</v>
      </c>
      <c r="G179" s="12">
        <f t="shared" si="25"/>
        <v>12341.040988879744</v>
      </c>
      <c r="H179" s="9"/>
      <c r="I179" s="12">
        <f t="shared" si="21"/>
        <v>197.09631479113014</v>
      </c>
      <c r="J179" s="12">
        <f t="shared" si="22"/>
        <v>941.7743699968687</v>
      </c>
      <c r="K179" s="12">
        <f t="shared" si="23"/>
        <v>116.39907943781535</v>
      </c>
    </row>
    <row r="180" spans="2:11" x14ac:dyDescent="0.25">
      <c r="B180" s="10">
        <v>176</v>
      </c>
      <c r="C180" s="21">
        <v>44067</v>
      </c>
      <c r="D180" s="12">
        <f t="shared" si="18"/>
        <v>6065.5444427256789</v>
      </c>
      <c r="E180" s="12">
        <f t="shared" si="19"/>
        <v>30040.702961905929</v>
      </c>
      <c r="F180" s="12">
        <f t="shared" si="25"/>
        <v>100766.4698098779</v>
      </c>
      <c r="G180" s="12">
        <f t="shared" si="25"/>
        <v>12454.282785490534</v>
      </c>
      <c r="H180" s="9"/>
      <c r="I180" s="12">
        <f t="shared" si="21"/>
        <v>186.04749178885592</v>
      </c>
      <c r="J180" s="12">
        <f t="shared" si="22"/>
        <v>916.22908166910997</v>
      </c>
      <c r="K180" s="12">
        <f t="shared" si="23"/>
        <v>113.241796610789</v>
      </c>
    </row>
    <row r="181" spans="2:11" x14ac:dyDescent="0.25">
      <c r="B181" s="10">
        <v>177</v>
      </c>
      <c r="C181" s="21">
        <v>44068</v>
      </c>
      <c r="D181" s="12">
        <f t="shared" si="18"/>
        <v>5889.8180789543048</v>
      </c>
      <c r="E181" s="12">
        <f t="shared" si="19"/>
        <v>29215.072560280438</v>
      </c>
      <c r="F181" s="12">
        <f t="shared" si="25"/>
        <v>101657.67733108111</v>
      </c>
      <c r="G181" s="12">
        <f t="shared" si="25"/>
        <v>12564.432029684189</v>
      </c>
      <c r="H181" s="9"/>
      <c r="I181" s="12">
        <f t="shared" si="21"/>
        <v>175.726363771374</v>
      </c>
      <c r="J181" s="12">
        <f t="shared" si="22"/>
        <v>891.20752120320913</v>
      </c>
      <c r="K181" s="12">
        <f t="shared" si="23"/>
        <v>110.14924419365518</v>
      </c>
    </row>
    <row r="182" spans="2:11" x14ac:dyDescent="0.25">
      <c r="B182" s="10">
        <v>178</v>
      </c>
      <c r="C182" s="21">
        <v>44069</v>
      </c>
      <c r="D182" s="12">
        <f t="shared" si="18"/>
        <v>5723.7387679788626</v>
      </c>
      <c r="E182" s="12">
        <f t="shared" si="19"/>
        <v>28407.31611924653</v>
      </c>
      <c r="F182" s="12">
        <f t="shared" ref="F182:G197" si="26">F181+J182</f>
        <v>102524.39115036943</v>
      </c>
      <c r="G182" s="12">
        <f t="shared" si="26"/>
        <v>12671.553962405218</v>
      </c>
      <c r="H182" s="9"/>
      <c r="I182" s="12">
        <f t="shared" si="21"/>
        <v>166.0793109754427</v>
      </c>
      <c r="J182" s="12">
        <f t="shared" si="22"/>
        <v>866.71381928831954</v>
      </c>
      <c r="K182" s="12">
        <f t="shared" si="23"/>
        <v>107.12193272102836</v>
      </c>
    </row>
    <row r="183" spans="2:11" x14ac:dyDescent="0.25">
      <c r="B183" s="10">
        <v>179</v>
      </c>
      <c r="C183" s="21">
        <v>44070</v>
      </c>
      <c r="D183" s="12">
        <f t="shared" si="18"/>
        <v>5566.6818771704093</v>
      </c>
      <c r="E183" s="12">
        <f t="shared" si="19"/>
        <v>27617.462472746767</v>
      </c>
      <c r="F183" s="12">
        <f t="shared" si="26"/>
        <v>103367.14152857375</v>
      </c>
      <c r="G183" s="12">
        <f t="shared" si="26"/>
        <v>12775.714121509121</v>
      </c>
      <c r="H183" s="9"/>
      <c r="I183" s="12">
        <f t="shared" si="21"/>
        <v>157.05689080845335</v>
      </c>
      <c r="J183" s="12">
        <f t="shared" si="22"/>
        <v>842.75037820431362</v>
      </c>
      <c r="K183" s="12">
        <f t="shared" si="23"/>
        <v>104.16015910390404</v>
      </c>
    </row>
    <row r="184" spans="2:11" x14ac:dyDescent="0.25">
      <c r="B184" s="10">
        <v>180</v>
      </c>
      <c r="C184" s="21">
        <v>44071</v>
      </c>
      <c r="D184" s="12">
        <f t="shared" si="18"/>
        <v>5418.0683599531467</v>
      </c>
      <c r="E184" s="12">
        <f t="shared" si="19"/>
        <v>26845.493907539138</v>
      </c>
      <c r="F184" s="12">
        <f t="shared" si="26"/>
        <v>104186.45958193189</v>
      </c>
      <c r="G184" s="12">
        <f t="shared" si="26"/>
        <v>12876.97815057586</v>
      </c>
      <c r="H184" s="9"/>
      <c r="I184" s="12">
        <f t="shared" si="21"/>
        <v>148.61351721726274</v>
      </c>
      <c r="J184" s="12">
        <f t="shared" si="22"/>
        <v>819.31805335815397</v>
      </c>
      <c r="K184" s="12">
        <f t="shared" si="23"/>
        <v>101.26402906673823</v>
      </c>
    </row>
    <row r="185" spans="2:11" x14ac:dyDescent="0.25">
      <c r="B185" s="10">
        <v>181</v>
      </c>
      <c r="C185" s="21">
        <v>44072</v>
      </c>
      <c r="D185" s="12">
        <f t="shared" si="18"/>
        <v>5277.3611989627989</v>
      </c>
      <c r="E185" s="12">
        <f t="shared" si="19"/>
        <v>26091.351271611515</v>
      </c>
      <c r="F185" s="12">
        <f t="shared" si="26"/>
        <v>104982.87590118889</v>
      </c>
      <c r="G185" s="12">
        <f t="shared" si="26"/>
        <v>12975.411628236838</v>
      </c>
      <c r="H185" s="9"/>
      <c r="I185" s="12">
        <f t="shared" si="21"/>
        <v>140.70716099034755</v>
      </c>
      <c r="J185" s="12">
        <f t="shared" si="22"/>
        <v>796.41631925699426</v>
      </c>
      <c r="K185" s="12">
        <f t="shared" si="23"/>
        <v>98.433477660976919</v>
      </c>
    </row>
    <row r="186" spans="2:11" x14ac:dyDescent="0.25">
      <c r="B186" s="10">
        <v>182</v>
      </c>
      <c r="C186" s="21">
        <v>44073</v>
      </c>
      <c r="D186" s="12">
        <f t="shared" si="18"/>
        <v>5144.062128416489</v>
      </c>
      <c r="E186" s="12">
        <f t="shared" si="19"/>
        <v>25354.938633104106</v>
      </c>
      <c r="F186" s="12">
        <f t="shared" si="26"/>
        <v>105756.9193222467</v>
      </c>
      <c r="G186" s="12">
        <f t="shared" si="26"/>
        <v>13071.079916232748</v>
      </c>
      <c r="H186" s="9"/>
      <c r="I186" s="12">
        <f t="shared" si="21"/>
        <v>133.29907054631002</v>
      </c>
      <c r="J186" s="12">
        <f t="shared" si="22"/>
        <v>774.04342105780813</v>
      </c>
      <c r="K186" s="12">
        <f t="shared" si="23"/>
        <v>95.668287995908969</v>
      </c>
    </row>
    <row r="187" spans="2:11" x14ac:dyDescent="0.25">
      <c r="B187" s="10">
        <v>183</v>
      </c>
      <c r="C187" s="13">
        <v>44074</v>
      </c>
      <c r="D187" s="12">
        <f t="shared" si="18"/>
        <v>5017.70861588352</v>
      </c>
      <c r="E187" s="12">
        <f t="shared" si="19"/>
        <v>24636.127524533607</v>
      </c>
      <c r="F187" s="12">
        <f t="shared" si="26"/>
        <v>106509.11583502879</v>
      </c>
      <c r="G187" s="12">
        <f t="shared" si="26"/>
        <v>13164.048024554129</v>
      </c>
      <c r="H187" s="9"/>
      <c r="I187" s="12">
        <f t="shared" si="21"/>
        <v>126.35351253296888</v>
      </c>
      <c r="J187" s="12">
        <f t="shared" si="22"/>
        <v>752.19651278208835</v>
      </c>
      <c r="K187" s="12">
        <f t="shared" si="23"/>
        <v>92.968108321381806</v>
      </c>
    </row>
    <row r="188" spans="2:11" x14ac:dyDescent="0.25">
      <c r="B188" s="10">
        <v>184</v>
      </c>
      <c r="C188" s="21">
        <v>44075</v>
      </c>
      <c r="D188" s="12">
        <f t="shared" si="18"/>
        <v>4897.8710844816769</v>
      </c>
      <c r="E188" s="12">
        <f t="shared" si="19"/>
        <v>23934.760805117665</v>
      </c>
      <c r="F188" s="12">
        <f t="shared" si="26"/>
        <v>107239.98761825662</v>
      </c>
      <c r="G188" s="12">
        <f t="shared" si="26"/>
        <v>13254.380492144086</v>
      </c>
      <c r="H188" s="9"/>
      <c r="I188" s="12">
        <f t="shared" si="21"/>
        <v>119.83753140184331</v>
      </c>
      <c r="J188" s="12">
        <f t="shared" si="22"/>
        <v>730.87178322783029</v>
      </c>
      <c r="K188" s="12">
        <f t="shared" si="23"/>
        <v>90.332467589956636</v>
      </c>
    </row>
    <row r="189" spans="2:11" x14ac:dyDescent="0.25">
      <c r="B189" s="10">
        <v>185</v>
      </c>
      <c r="C189" s="21">
        <v>44076</v>
      </c>
      <c r="D189" s="12">
        <f t="shared" si="18"/>
        <v>4784.1503574635008</v>
      </c>
      <c r="E189" s="12">
        <f t="shared" si="19"/>
        <v>23250.656171965249</v>
      </c>
      <c r="F189" s="12">
        <f t="shared" si="26"/>
        <v>107950.05218880845</v>
      </c>
      <c r="G189" s="12">
        <f t="shared" si="26"/>
        <v>13342.141281762852</v>
      </c>
      <c r="H189" s="9"/>
      <c r="I189" s="12">
        <f t="shared" si="21"/>
        <v>113.72072701817584</v>
      </c>
      <c r="J189" s="12">
        <f t="shared" si="22"/>
        <v>710.06457055182398</v>
      </c>
      <c r="K189" s="12">
        <f t="shared" si="23"/>
        <v>87.760789618764846</v>
      </c>
    </row>
    <row r="190" spans="2:11" x14ac:dyDescent="0.25">
      <c r="B190" s="10">
        <v>186</v>
      </c>
      <c r="C190" s="21">
        <v>44077</v>
      </c>
      <c r="D190" s="12">
        <f t="shared" si="18"/>
        <v>4676.175308158754</v>
      </c>
      <c r="E190" s="12">
        <f t="shared" si="19"/>
        <v>22583.609348871156</v>
      </c>
      <c r="F190" s="12">
        <f t="shared" si="26"/>
        <v>108639.82165524342</v>
      </c>
      <c r="G190" s="12">
        <f t="shared" si="26"/>
        <v>13427.393687726724</v>
      </c>
      <c r="H190" s="9"/>
      <c r="I190" s="12">
        <f t="shared" si="21"/>
        <v>107.97504930474646</v>
      </c>
      <c r="J190" s="12">
        <f t="shared" si="22"/>
        <v>689.76946643496899</v>
      </c>
      <c r="K190" s="12">
        <f t="shared" si="23"/>
        <v>85.252405963872661</v>
      </c>
    </row>
    <row r="191" spans="2:11" x14ac:dyDescent="0.25">
      <c r="B191" s="10">
        <v>187</v>
      </c>
      <c r="C191" s="21">
        <v>44078</v>
      </c>
      <c r="D191" s="12">
        <f t="shared" si="18"/>
        <v>4573.6006992698985</v>
      </c>
      <c r="E191" s="12">
        <f t="shared" si="19"/>
        <v>21933.396979464309</v>
      </c>
      <c r="F191" s="12">
        <f t="shared" si="26"/>
        <v>109309.80206592659</v>
      </c>
      <c r="G191" s="12">
        <f t="shared" si="26"/>
        <v>13510.200255339252</v>
      </c>
      <c r="H191" s="9"/>
      <c r="I191" s="12">
        <f t="shared" si="21"/>
        <v>102.57460888885549</v>
      </c>
      <c r="J191" s="12">
        <f t="shared" si="22"/>
        <v>669.98041068317752</v>
      </c>
      <c r="K191" s="12">
        <f t="shared" si="23"/>
        <v>82.806567612527644</v>
      </c>
    </row>
    <row r="192" spans="2:11" x14ac:dyDescent="0.25">
      <c r="B192" s="10">
        <v>188</v>
      </c>
      <c r="C192" s="21">
        <v>44079</v>
      </c>
      <c r="D192" s="12">
        <f t="shared" si="18"/>
        <v>4476.1051965518018</v>
      </c>
      <c r="E192" s="12">
        <f t="shared" si="19"/>
        <v>21299.779249533596</v>
      </c>
      <c r="F192" s="12">
        <f t="shared" si="26"/>
        <v>109960.49284298404</v>
      </c>
      <c r="G192" s="12">
        <f t="shared" si="26"/>
        <v>13590.622710930622</v>
      </c>
      <c r="H192" s="9"/>
      <c r="I192" s="12">
        <f t="shared" si="21"/>
        <v>97.495502718096745</v>
      </c>
      <c r="J192" s="12">
        <f t="shared" si="22"/>
        <v>650.6907770574411</v>
      </c>
      <c r="K192" s="12">
        <f t="shared" si="23"/>
        <v>80.422455591369214</v>
      </c>
    </row>
    <row r="193" spans="2:11" x14ac:dyDescent="0.25">
      <c r="B193" s="10">
        <v>189</v>
      </c>
      <c r="C193" s="21">
        <v>44080</v>
      </c>
      <c r="D193" s="12">
        <f t="shared" si="18"/>
        <v>4383.3895429262529</v>
      </c>
      <c r="E193" s="12">
        <f t="shared" si="19"/>
        <v>20682.502261508027</v>
      </c>
      <c r="F193" s="12">
        <f t="shared" si="26"/>
        <v>110592.38629405353</v>
      </c>
      <c r="G193" s="12">
        <f t="shared" si="26"/>
        <v>13668.721901512245</v>
      </c>
      <c r="H193" s="9"/>
      <c r="I193" s="12">
        <f t="shared" si="21"/>
        <v>92.715653625548654</v>
      </c>
      <c r="J193" s="12">
        <f t="shared" si="22"/>
        <v>631.89345106949656</v>
      </c>
      <c r="K193" s="12">
        <f t="shared" si="23"/>
        <v>78.099190581623262</v>
      </c>
    </row>
    <row r="194" spans="2:11" x14ac:dyDescent="0.25">
      <c r="B194" s="10">
        <v>190</v>
      </c>
      <c r="C194" s="21">
        <v>44081</v>
      </c>
      <c r="D194" s="12">
        <f t="shared" si="18"/>
        <v>4295.1748800725436</v>
      </c>
      <c r="E194" s="12">
        <f t="shared" si="19"/>
        <v>20081.300182311468</v>
      </c>
      <c r="F194" s="12">
        <f t="shared" si="26"/>
        <v>111205.96719447827</v>
      </c>
      <c r="G194" s="12">
        <f t="shared" si="26"/>
        <v>13744.557743137773</v>
      </c>
      <c r="H194" s="9"/>
      <c r="I194" s="12">
        <f t="shared" si="21"/>
        <v>88.214662853709456</v>
      </c>
      <c r="J194" s="12">
        <f t="shared" si="22"/>
        <v>613.58090042473805</v>
      </c>
      <c r="K194" s="12">
        <f t="shared" si="23"/>
        <v>75.835841625529511</v>
      </c>
    </row>
    <row r="195" spans="2:11" x14ac:dyDescent="0.25">
      <c r="B195" s="10">
        <v>191</v>
      </c>
      <c r="C195" s="21">
        <v>44082</v>
      </c>
      <c r="D195" s="12">
        <f t="shared" si="18"/>
        <v>4211.2012054876832</v>
      </c>
      <c r="E195" s="12">
        <f t="shared" si="19"/>
        <v>19495.897184152614</v>
      </c>
      <c r="F195" s="12">
        <f t="shared" si="26"/>
        <v>111801.71243322018</v>
      </c>
      <c r="G195" s="12">
        <f t="shared" si="26"/>
        <v>13818.189177139582</v>
      </c>
      <c r="H195" s="9"/>
      <c r="I195" s="12">
        <f t="shared" si="21"/>
        <v>83.973674584860362</v>
      </c>
      <c r="J195" s="12">
        <f t="shared" si="22"/>
        <v>595.74523874190686</v>
      </c>
      <c r="K195" s="12">
        <f t="shared" si="23"/>
        <v>73.631434001808785</v>
      </c>
    </row>
    <row r="196" spans="2:11" x14ac:dyDescent="0.25">
      <c r="B196" s="10">
        <v>192</v>
      </c>
      <c r="C196" s="21">
        <v>44083</v>
      </c>
      <c r="D196" s="12">
        <f t="shared" si="18"/>
        <v>4131.2259539172856</v>
      </c>
      <c r="E196" s="12">
        <f t="shared" si="19"/>
        <v>18926.00919625126</v>
      </c>
      <c r="F196" s="12">
        <f t="shared" si="26"/>
        <v>112380.09071635004</v>
      </c>
      <c r="G196" s="12">
        <f t="shared" si="26"/>
        <v>13889.674133481476</v>
      </c>
      <c r="H196" s="9"/>
      <c r="I196" s="12">
        <f t="shared" si="21"/>
        <v>79.975251570397717</v>
      </c>
      <c r="J196" s="12">
        <f t="shared" si="22"/>
        <v>578.37828312986085</v>
      </c>
      <c r="K196" s="12">
        <f t="shared" si="23"/>
        <v>71.484956341892982</v>
      </c>
    </row>
    <row r="197" spans="2:11" x14ac:dyDescent="0.25">
      <c r="B197" s="10">
        <v>193</v>
      </c>
      <c r="C197" s="21">
        <v>44084</v>
      </c>
      <c r="D197" s="12">
        <f t="shared" si="18"/>
        <v>4055.0226929167329</v>
      </c>
      <c r="E197" s="12">
        <f t="shared" si="19"/>
        <v>18371.345484043435</v>
      </c>
      <c r="F197" s="12">
        <f t="shared" si="26"/>
        <v>112941.56232250549</v>
      </c>
      <c r="G197" s="12">
        <f t="shared" si="26"/>
        <v>13959.069500534397</v>
      </c>
      <c r="H197" s="9"/>
      <c r="I197" s="12">
        <f t="shared" si="21"/>
        <v>76.203261000552672</v>
      </c>
      <c r="J197" s="12">
        <f t="shared" si="22"/>
        <v>561.47160615545397</v>
      </c>
      <c r="K197" s="12">
        <f t="shared" si="23"/>
        <v>69.395367052921344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3982.3799231098142</v>
      </c>
      <c r="E198" s="12">
        <f t="shared" ref="E198:E204" si="28">E197+I198-J198-K198</f>
        <v>17831.610071048905</v>
      </c>
      <c r="F198" s="12">
        <f t="shared" ref="F198:G204" si="29">F197+J198</f>
        <v>113486.57890519878</v>
      </c>
      <c r="G198" s="12">
        <f t="shared" si="29"/>
        <v>14026.431100642556</v>
      </c>
      <c r="H198" s="9"/>
      <c r="I198" s="12">
        <f t="shared" ref="I198:I204" si="30">E197*N$6*D197/SUM(D197:F197)*N$7</f>
        <v>72.642769806918679</v>
      </c>
      <c r="J198" s="12">
        <f t="shared" ref="J198:J204" si="31">E197*N$8/N$5</f>
        <v>545.01658269328846</v>
      </c>
      <c r="K198" s="12">
        <f t="shared" ref="K198:K204" si="32">E197*N$9/N$5</f>
        <v>67.361600108159323</v>
      </c>
    </row>
    <row r="199" spans="2:11" x14ac:dyDescent="0.25">
      <c r="B199" s="10">
        <v>195</v>
      </c>
      <c r="C199" s="21">
        <v>44086</v>
      </c>
      <c r="D199" s="12">
        <f t="shared" si="27"/>
        <v>3913.0999744679375</v>
      </c>
      <c r="E199" s="12">
        <f t="shared" si="28"/>
        <v>17306.503017322484</v>
      </c>
      <c r="F199" s="12">
        <f t="shared" si="29"/>
        <v>114015.58333730657</v>
      </c>
      <c r="G199" s="12">
        <f t="shared" si="29"/>
        <v>14091.81367090307</v>
      </c>
      <c r="H199" s="9"/>
      <c r="I199" s="12">
        <f t="shared" si="30"/>
        <v>69.279948641876558</v>
      </c>
      <c r="J199" s="12">
        <f t="shared" si="31"/>
        <v>529.00443210778417</v>
      </c>
      <c r="K199" s="12">
        <f t="shared" si="32"/>
        <v>65.382570260512708</v>
      </c>
    </row>
    <row r="200" spans="2:11" x14ac:dyDescent="0.25">
      <c r="B200" s="10">
        <v>196</v>
      </c>
      <c r="C200" s="21">
        <v>44087</v>
      </c>
      <c r="D200" s="12">
        <f t="shared" si="27"/>
        <v>3846.997990637677</v>
      </c>
      <c r="E200" s="12">
        <f t="shared" si="28"/>
        <v>16795.721567241995</v>
      </c>
      <c r="F200" s="12">
        <f t="shared" si="29"/>
        <v>114529.00959348714</v>
      </c>
      <c r="G200" s="12">
        <f t="shared" si="29"/>
        <v>14155.270848633252</v>
      </c>
      <c r="H200" s="9"/>
      <c r="I200" s="12">
        <f t="shared" si="30"/>
        <v>66.101983830260494</v>
      </c>
      <c r="J200" s="12">
        <f t="shared" si="31"/>
        <v>513.42625618056695</v>
      </c>
      <c r="K200" s="12">
        <f t="shared" si="32"/>
        <v>63.457177730182494</v>
      </c>
    </row>
    <row r="201" spans="2:11" x14ac:dyDescent="0.25">
      <c r="B201" s="10">
        <v>197</v>
      </c>
      <c r="C201" s="21">
        <v>44088</v>
      </c>
      <c r="D201" s="12">
        <f t="shared" si="27"/>
        <v>3783.9009939990242</v>
      </c>
      <c r="E201" s="12">
        <f t="shared" si="28"/>
        <v>16298.961178305914</v>
      </c>
      <c r="F201" s="12">
        <f t="shared" si="29"/>
        <v>115027.28266664865</v>
      </c>
      <c r="G201" s="12">
        <f t="shared" si="29"/>
        <v>14216.855161046473</v>
      </c>
      <c r="H201" s="9"/>
      <c r="I201" s="12">
        <f t="shared" si="30"/>
        <v>63.096996638652676</v>
      </c>
      <c r="J201" s="12">
        <f t="shared" si="31"/>
        <v>498.27307316151251</v>
      </c>
      <c r="K201" s="12">
        <f t="shared" si="32"/>
        <v>61.584312413220701</v>
      </c>
    </row>
    <row r="202" spans="2:11" x14ac:dyDescent="0.25">
      <c r="B202" s="10">
        <v>198</v>
      </c>
      <c r="C202" s="21">
        <v>44089</v>
      </c>
      <c r="D202" s="12">
        <f t="shared" si="27"/>
        <v>3723.647024743068</v>
      </c>
      <c r="E202" s="12">
        <f t="shared" si="28"/>
        <v>15815.916441618339</v>
      </c>
      <c r="F202" s="12">
        <f t="shared" si="29"/>
        <v>115510.81851493839</v>
      </c>
      <c r="G202" s="12">
        <f t="shared" si="29"/>
        <v>14276.618018700261</v>
      </c>
      <c r="H202" s="9"/>
      <c r="I202" s="12">
        <f t="shared" si="30"/>
        <v>60.253969255956278</v>
      </c>
      <c r="J202" s="12">
        <f t="shared" si="31"/>
        <v>483.53584828974203</v>
      </c>
      <c r="K202" s="12">
        <f t="shared" si="32"/>
        <v>59.762857653788402</v>
      </c>
    </row>
    <row r="203" spans="2:11" x14ac:dyDescent="0.25">
      <c r="B203" s="10">
        <v>199</v>
      </c>
      <c r="C203" s="21">
        <v>44090</v>
      </c>
      <c r="D203" s="12">
        <f t="shared" si="27"/>
        <v>3666.0843478180705</v>
      </c>
      <c r="E203" s="12">
        <f t="shared" si="28"/>
        <v>15346.281903822724</v>
      </c>
      <c r="F203" s="12">
        <f t="shared" si="29"/>
        <v>115980.02403603974</v>
      </c>
      <c r="G203" s="12">
        <f t="shared" si="29"/>
        <v>14334.609712319529</v>
      </c>
      <c r="H203" s="9"/>
      <c r="I203" s="12">
        <f t="shared" si="30"/>
        <v>57.562676924997454</v>
      </c>
      <c r="J203" s="12">
        <f t="shared" si="31"/>
        <v>469.205521101344</v>
      </c>
      <c r="K203" s="12">
        <f t="shared" si="32"/>
        <v>57.991693619267295</v>
      </c>
    </row>
    <row r="204" spans="2:11" x14ac:dyDescent="0.25">
      <c r="B204" s="20">
        <v>200</v>
      </c>
      <c r="C204" s="21">
        <v>44091</v>
      </c>
      <c r="D204" s="12">
        <f t="shared" si="27"/>
        <v>3611.0707221094781</v>
      </c>
      <c r="E204" s="12">
        <f t="shared" si="28"/>
        <v>14889.752799403894</v>
      </c>
      <c r="F204" s="12">
        <f t="shared" si="29"/>
        <v>116435.29706585316</v>
      </c>
      <c r="G204" s="12">
        <f t="shared" si="29"/>
        <v>14390.879412633545</v>
      </c>
      <c r="H204" s="9"/>
      <c r="I204" s="12">
        <f t="shared" si="30"/>
        <v>55.0136257085924</v>
      </c>
      <c r="J204" s="12">
        <f t="shared" si="31"/>
        <v>455.27302981340745</v>
      </c>
      <c r="K204" s="12">
        <f t="shared" si="32"/>
        <v>56.26970031401671</v>
      </c>
    </row>
    <row r="205" spans="2:11" x14ac:dyDescent="0.25">
      <c r="B205" s="19"/>
      <c r="C205" s="1"/>
      <c r="E205" s="12">
        <f>MAX(E4:E204)</f>
        <v>61718.307241825452</v>
      </c>
      <c r="I205" s="12">
        <f>MAX(I4:I204)</f>
        <v>3328.0555729119483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9E0D4-E073-46C0-8C3A-89FCAC3BD645}">
  <sheetPr codeName="Hoja10"/>
  <dimension ref="B2:N762"/>
  <sheetViews>
    <sheetView showGridLines="0" topLeftCell="B198" workbookViewId="0">
      <selection activeCell="I205" sqref="I205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4" t="s">
        <v>26</v>
      </c>
      <c r="E2" s="35"/>
      <c r="F2" s="35"/>
      <c r="G2" s="36"/>
      <c r="I2" s="34" t="s">
        <v>27</v>
      </c>
      <c r="J2" s="35"/>
      <c r="K2" s="36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23">
        <v>308087</v>
      </c>
    </row>
    <row r="4" spans="2:14" x14ac:dyDescent="0.25">
      <c r="B4" s="10">
        <v>0</v>
      </c>
      <c r="C4" s="11">
        <v>43891</v>
      </c>
      <c r="D4" s="12">
        <f>N3</f>
        <v>308087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308086.86800042843</v>
      </c>
      <c r="E5" s="12">
        <f>E4+I5-J5-K5</f>
        <v>1.098666238217652</v>
      </c>
      <c r="F5" s="12">
        <f>F4+J5</f>
        <v>2.9666666666666664E-2</v>
      </c>
      <c r="G5" s="12">
        <f>G4+K5</f>
        <v>3.6666666666666701E-3</v>
      </c>
      <c r="H5" s="9"/>
      <c r="I5" s="12">
        <f>E4*N$6*D4/SUM(D4:F4)*N$7</f>
        <v>0.13199957155098543</v>
      </c>
      <c r="J5" s="12">
        <f>E4*N$8/N$5</f>
        <v>2.9666666666666664E-2</v>
      </c>
      <c r="K5" s="12">
        <f>E4*N$9/N$5</f>
        <v>3.6666666666666701E-3</v>
      </c>
      <c r="M5" s="2" t="s">
        <v>7</v>
      </c>
      <c r="N5" s="18">
        <f>Datos!G3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308086.72297701612</v>
      </c>
      <c r="E6" s="12">
        <f t="shared" ref="E6:E69" si="1">E5+I6-J6-K6</f>
        <v>1.2070674425901387</v>
      </c>
      <c r="F6" s="12">
        <f t="shared" ref="F6:G21" si="2">F5+J6</f>
        <v>6.2260431733790339E-2</v>
      </c>
      <c r="G6" s="12">
        <f t="shared" si="2"/>
        <v>7.6951095401313983E-3</v>
      </c>
      <c r="H6" s="9"/>
      <c r="I6" s="12">
        <f t="shared" ref="I6:I69" si="3">E5*N$6*D5/SUM(D5:F5)*N$7</f>
        <v>0.14502341231307508</v>
      </c>
      <c r="J6" s="12">
        <f t="shared" ref="J6:J69" si="4">E5*N$8/N$5</f>
        <v>3.2593765067123671E-2</v>
      </c>
      <c r="K6" s="12">
        <f t="shared" ref="K6:K69" si="5">E5*N$9/N$5</f>
        <v>4.0284428734647278E-3</v>
      </c>
      <c r="M6" s="2" t="s">
        <v>8</v>
      </c>
      <c r="N6" s="3">
        <f>Datos!G4</f>
        <v>2</v>
      </c>
    </row>
    <row r="7" spans="2:14" x14ac:dyDescent="0.25">
      <c r="B7" s="10">
        <v>3</v>
      </c>
      <c r="C7" s="11">
        <v>43894</v>
      </c>
      <c r="D7" s="12">
        <f t="shared" si="0"/>
        <v>308086.56364477013</v>
      </c>
      <c r="E7" s="12">
        <f t="shared" si="1"/>
        <v>1.326164107138043</v>
      </c>
      <c r="F7" s="12">
        <f t="shared" si="2"/>
        <v>9.8070099197297783E-2</v>
      </c>
      <c r="G7" s="12">
        <f t="shared" si="2"/>
        <v>1.2121023496295244E-2</v>
      </c>
      <c r="H7" s="9"/>
      <c r="I7" s="12">
        <f t="shared" si="3"/>
        <v>0.15933224596757553</v>
      </c>
      <c r="J7" s="12">
        <f t="shared" si="4"/>
        <v>3.5809667463507444E-2</v>
      </c>
      <c r="K7" s="12">
        <f t="shared" si="5"/>
        <v>4.4259139561638461E-3</v>
      </c>
      <c r="M7" s="2" t="s">
        <v>9</v>
      </c>
      <c r="N7" s="4">
        <f>Datos!G5</f>
        <v>6.6000000000000003E-2</v>
      </c>
    </row>
    <row r="8" spans="2:14" x14ac:dyDescent="0.25">
      <c r="B8" s="10">
        <v>4</v>
      </c>
      <c r="C8" s="11">
        <v>43895</v>
      </c>
      <c r="D8" s="12">
        <f t="shared" si="0"/>
        <v>308086.38859191723</v>
      </c>
      <c r="E8" s="12">
        <f t="shared" si="1"/>
        <v>1.4570114898013877</v>
      </c>
      <c r="F8" s="12">
        <f t="shared" si="2"/>
        <v>0.13741296770905972</v>
      </c>
      <c r="G8" s="12">
        <f t="shared" si="2"/>
        <v>1.6983625222468074E-2</v>
      </c>
      <c r="H8" s="9"/>
      <c r="I8" s="12">
        <f t="shared" si="3"/>
        <v>0.17505285290127959</v>
      </c>
      <c r="J8" s="12">
        <f t="shared" si="4"/>
        <v>3.9342868511761941E-2</v>
      </c>
      <c r="K8" s="12">
        <f t="shared" si="5"/>
        <v>4.8626017261728287E-3</v>
      </c>
      <c r="M8" s="2" t="s">
        <v>10</v>
      </c>
      <c r="N8" s="5">
        <f>Datos!G6</f>
        <v>0.8899999999999999</v>
      </c>
    </row>
    <row r="9" spans="2:14" x14ac:dyDescent="0.25">
      <c r="B9" s="10">
        <v>5</v>
      </c>
      <c r="C9" s="11">
        <v>43896</v>
      </c>
      <c r="D9" s="12">
        <f t="shared" si="0"/>
        <v>308086.19626739592</v>
      </c>
      <c r="E9" s="12">
        <f t="shared" si="1"/>
        <v>1.6007689614674117</v>
      </c>
      <c r="F9" s="12">
        <f t="shared" si="2"/>
        <v>0.18063764190650089</v>
      </c>
      <c r="G9" s="12">
        <f t="shared" si="2"/>
        <v>2.2326000685073167E-2</v>
      </c>
      <c r="H9" s="9"/>
      <c r="I9" s="12">
        <f t="shared" si="3"/>
        <v>0.19232452132607017</v>
      </c>
      <c r="J9" s="12">
        <f t="shared" si="4"/>
        <v>4.3224674197441165E-2</v>
      </c>
      <c r="K9" s="12">
        <f t="shared" si="5"/>
        <v>5.342375462605093E-3</v>
      </c>
      <c r="M9" s="2" t="s">
        <v>11</v>
      </c>
      <c r="N9" s="5">
        <f>Datos!G7</f>
        <v>0.1100000000000001</v>
      </c>
    </row>
    <row r="10" spans="2:14" x14ac:dyDescent="0.25">
      <c r="B10" s="10">
        <v>6</v>
      </c>
      <c r="C10" s="11">
        <v>43897</v>
      </c>
      <c r="D10" s="12">
        <f t="shared" si="0"/>
        <v>308085.98496711475</v>
      </c>
      <c r="E10" s="12">
        <f t="shared" si="1"/>
        <v>1.7587102772248249</v>
      </c>
      <c r="F10" s="12">
        <f t="shared" si="2"/>
        <v>0.22812712109670075</v>
      </c>
      <c r="G10" s="12">
        <f t="shared" si="2"/>
        <v>2.8195486877120347E-2</v>
      </c>
      <c r="H10" s="9"/>
      <c r="I10" s="12">
        <f t="shared" si="3"/>
        <v>0.21130028113966018</v>
      </c>
      <c r="J10" s="12">
        <f t="shared" si="4"/>
        <v>4.7489479190199871E-2</v>
      </c>
      <c r="K10" s="12">
        <f t="shared" si="5"/>
        <v>5.8694861920471813E-3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308085.75281885528</v>
      </c>
      <c r="E11" s="12">
        <f t="shared" si="1"/>
        <v>1.9322348607937532</v>
      </c>
      <c r="F11" s="12">
        <f t="shared" si="2"/>
        <v>0.28030219265437056</v>
      </c>
      <c r="G11" s="12">
        <f t="shared" si="2"/>
        <v>3.4644091226944708E-2</v>
      </c>
      <c r="H11" s="9"/>
      <c r="I11" s="12">
        <f t="shared" si="3"/>
        <v>0.23214825947642262</v>
      </c>
      <c r="J11" s="12">
        <f t="shared" si="4"/>
        <v>5.2175071557669796E-2</v>
      </c>
      <c r="K11" s="12">
        <f t="shared" si="5"/>
        <v>6.4486043498243632E-3</v>
      </c>
      <c r="M11" s="2" t="s">
        <v>12</v>
      </c>
      <c r="N11" s="7">
        <v>231480</v>
      </c>
    </row>
    <row r="12" spans="2:14" x14ac:dyDescent="0.25">
      <c r="B12" s="10">
        <v>8</v>
      </c>
      <c r="C12" s="11">
        <v>43899</v>
      </c>
      <c r="D12" s="12">
        <f t="shared" si="0"/>
        <v>308085.49776568532</v>
      </c>
      <c r="E12" s="12">
        <f t="shared" si="1"/>
        <v>2.122880202045152</v>
      </c>
      <c r="F12" s="12">
        <f t="shared" si="2"/>
        <v>0.33762516019125188</v>
      </c>
      <c r="G12" s="12">
        <f t="shared" si="2"/>
        <v>4.1728952383188474E-2</v>
      </c>
      <c r="H12" s="9"/>
      <c r="I12" s="12">
        <f t="shared" si="3"/>
        <v>0.25505316994452426</v>
      </c>
      <c r="J12" s="12">
        <f t="shared" si="4"/>
        <v>5.732296753688134E-2</v>
      </c>
      <c r="K12" s="12">
        <f t="shared" si="5"/>
        <v>7.0848611562437675E-3</v>
      </c>
      <c r="M12" s="2" t="s">
        <v>13</v>
      </c>
      <c r="N12" s="7">
        <f>SUM(J5:J204)</f>
        <v>232214.65429781328</v>
      </c>
    </row>
    <row r="13" spans="2:14" x14ac:dyDescent="0.25">
      <c r="B13" s="10">
        <v>9</v>
      </c>
      <c r="C13" s="11">
        <v>43900</v>
      </c>
      <c r="D13" s="12">
        <f t="shared" si="0"/>
        <v>308085.2175477366</v>
      </c>
      <c r="E13" s="12">
        <f t="shared" si="1"/>
        <v>2.3323354773706644</v>
      </c>
      <c r="F13" s="12">
        <f t="shared" si="2"/>
        <v>0.40060393951859141</v>
      </c>
      <c r="G13" s="12">
        <f t="shared" si="2"/>
        <v>4.9512846457354036E-2</v>
      </c>
      <c r="H13" s="9"/>
      <c r="I13" s="12">
        <f t="shared" si="3"/>
        <v>0.2802179487270175</v>
      </c>
      <c r="J13" s="12">
        <f t="shared" si="4"/>
        <v>6.2978779327339501E-2</v>
      </c>
      <c r="K13" s="12">
        <f t="shared" si="5"/>
        <v>7.7838940741655639E-3</v>
      </c>
      <c r="M13" s="2" t="s">
        <v>14</v>
      </c>
      <c r="N13" s="7">
        <f>SUM(K5:K204)</f>
        <v>28700.68760984212</v>
      </c>
    </row>
    <row r="14" spans="2:14" x14ac:dyDescent="0.25">
      <c r="B14" s="10">
        <v>10</v>
      </c>
      <c r="C14" s="11">
        <v>43901</v>
      </c>
      <c r="D14" s="12">
        <f t="shared" si="0"/>
        <v>308084.90968218457</v>
      </c>
      <c r="E14" s="12">
        <f t="shared" si="1"/>
        <v>2.562456513480412</v>
      </c>
      <c r="F14" s="12">
        <f t="shared" si="2"/>
        <v>0.46979655868058778</v>
      </c>
      <c r="G14" s="12">
        <f t="shared" si="2"/>
        <v>5.8064743207713147E-2</v>
      </c>
      <c r="H14" s="9"/>
      <c r="I14" s="12">
        <f t="shared" si="3"/>
        <v>0.30786555202210342</v>
      </c>
      <c r="J14" s="12">
        <f t="shared" si="4"/>
        <v>6.9192619161996358E-2</v>
      </c>
      <c r="K14" s="12">
        <f t="shared" si="5"/>
        <v>8.5518967503591097E-3</v>
      </c>
      <c r="M14" s="2" t="s">
        <v>15</v>
      </c>
      <c r="N14" s="7">
        <f>SUM(D4:G4)-N11</f>
        <v>76608</v>
      </c>
    </row>
    <row r="15" spans="2:14" x14ac:dyDescent="0.25">
      <c r="B15" s="10">
        <v>11</v>
      </c>
      <c r="C15" s="11">
        <v>43902</v>
      </c>
      <c r="D15" s="12">
        <f t="shared" si="0"/>
        <v>308084.57144125388</v>
      </c>
      <c r="E15" s="12">
        <f t="shared" si="1"/>
        <v>2.8152822270872147</v>
      </c>
      <c r="F15" s="12">
        <f t="shared" si="2"/>
        <v>0.54581610191384</v>
      </c>
      <c r="G15" s="12">
        <f t="shared" si="2"/>
        <v>6.7460417090474664E-2</v>
      </c>
      <c r="H15" s="9"/>
      <c r="I15" s="12">
        <f t="shared" si="3"/>
        <v>0.33824093072281647</v>
      </c>
      <c r="J15" s="12">
        <f t="shared" si="4"/>
        <v>7.6019543233252218E-2</v>
      </c>
      <c r="K15" s="12">
        <f t="shared" si="5"/>
        <v>9.3956738827615186E-3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308084.19982805406</v>
      </c>
      <c r="E16" s="12">
        <f t="shared" si="1"/>
        <v>3.093052685985672</v>
      </c>
      <c r="F16" s="12">
        <f t="shared" si="2"/>
        <v>0.62933614131742732</v>
      </c>
      <c r="G16" s="12">
        <f t="shared" si="2"/>
        <v>7.7783118589794462E-2</v>
      </c>
      <c r="H16" s="9"/>
      <c r="I16" s="12">
        <f t="shared" si="3"/>
        <v>0.37161319980136459</v>
      </c>
      <c r="J16" s="12">
        <f t="shared" si="4"/>
        <v>8.3520039403587362E-2</v>
      </c>
      <c r="K16" s="12">
        <f t="shared" si="5"/>
        <v>1.0322701499319796E-2</v>
      </c>
      <c r="M16" s="2" t="s">
        <v>16</v>
      </c>
      <c r="N16" s="7">
        <f>MAX(E4:E204)</f>
        <v>127333.14145125129</v>
      </c>
    </row>
    <row r="17" spans="2:14" x14ac:dyDescent="0.25">
      <c r="B17" s="10">
        <v>13</v>
      </c>
      <c r="C17" s="11">
        <v>43904</v>
      </c>
      <c r="D17" s="12">
        <f t="shared" si="0"/>
        <v>308083.7915500325</v>
      </c>
      <c r="E17" s="12">
        <f t="shared" si="1"/>
        <v>3.3982289513681057</v>
      </c>
      <c r="F17" s="12">
        <f t="shared" si="2"/>
        <v>0.72109670433500228</v>
      </c>
      <c r="G17" s="12">
        <f t="shared" si="2"/>
        <v>8.9124311771741932E-2</v>
      </c>
      <c r="H17" s="9"/>
      <c r="I17" s="12">
        <f t="shared" si="3"/>
        <v>0.40827802158195647</v>
      </c>
      <c r="J17" s="12">
        <f t="shared" si="4"/>
        <v>9.1760563017574917E-2</v>
      </c>
      <c r="K17" s="12">
        <f t="shared" si="5"/>
        <v>1.1341193181947474E-2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308083.34298980853</v>
      </c>
      <c r="E18" s="12">
        <f t="shared" si="1"/>
        <v>3.7335148769623241</v>
      </c>
      <c r="F18" s="12">
        <f t="shared" si="2"/>
        <v>0.82191082989225606</v>
      </c>
      <c r="G18" s="12">
        <f t="shared" si="2"/>
        <v>0.10158448459342499</v>
      </c>
      <c r="H18" s="9"/>
      <c r="I18" s="12">
        <f t="shared" si="3"/>
        <v>0.44856022397315515</v>
      </c>
      <c r="J18" s="12">
        <f t="shared" si="4"/>
        <v>0.10081412555725379</v>
      </c>
      <c r="K18" s="12">
        <f t="shared" si="5"/>
        <v>1.2460172821683066E-2</v>
      </c>
      <c r="M18" s="2" t="s">
        <v>17</v>
      </c>
      <c r="N18" s="7">
        <f>MAX(I5:I204)</f>
        <v>6866.4111938951974</v>
      </c>
    </row>
    <row r="19" spans="2:14" x14ac:dyDescent="0.25">
      <c r="B19" s="10">
        <v>15</v>
      </c>
      <c r="C19" s="11">
        <v>43906</v>
      </c>
      <c r="D19" s="12">
        <f t="shared" si="0"/>
        <v>308082.85017313174</v>
      </c>
      <c r="E19" s="12">
        <f t="shared" si="1"/>
        <v>4.1018810578666267</v>
      </c>
      <c r="F19" s="12">
        <f t="shared" si="2"/>
        <v>0.93267177124213829</v>
      </c>
      <c r="G19" s="12">
        <f t="shared" si="2"/>
        <v>0.11527403914228686</v>
      </c>
      <c r="H19" s="9"/>
      <c r="I19" s="12">
        <f t="shared" si="3"/>
        <v>0.49281667680304764</v>
      </c>
      <c r="J19" s="12">
        <f t="shared" si="4"/>
        <v>0.11076094134988226</v>
      </c>
      <c r="K19" s="12">
        <f t="shared" si="5"/>
        <v>1.3689554548861867E-2</v>
      </c>
      <c r="M19" s="2" t="s">
        <v>18</v>
      </c>
      <c r="N19" s="7">
        <f>MAX(J5:J204)</f>
        <v>3777.5498630537882</v>
      </c>
    </row>
    <row r="20" spans="2:14" x14ac:dyDescent="0.25">
      <c r="B20" s="10">
        <v>16</v>
      </c>
      <c r="C20" s="11">
        <v>43907</v>
      </c>
      <c r="D20" s="12">
        <f t="shared" si="0"/>
        <v>308082.30873368005</v>
      </c>
      <c r="E20" s="12">
        <f t="shared" si="1"/>
        <v>4.5065911409469086</v>
      </c>
      <c r="F20" s="12">
        <f t="shared" si="2"/>
        <v>1.0543609092921815</v>
      </c>
      <c r="G20" s="12">
        <f t="shared" si="2"/>
        <v>0.13031426968779783</v>
      </c>
      <c r="H20" s="9"/>
      <c r="I20" s="12">
        <f t="shared" si="3"/>
        <v>0.54143945167583629</v>
      </c>
      <c r="J20" s="12">
        <f t="shared" si="4"/>
        <v>0.12168913805004325</v>
      </c>
      <c r="K20" s="12">
        <f t="shared" si="5"/>
        <v>1.5040230545510978E-2</v>
      </c>
      <c r="M20" s="2" t="s">
        <v>19</v>
      </c>
      <c r="N20" s="7">
        <f>MAX(K5:K204)</f>
        <v>466.88818532125515</v>
      </c>
    </row>
    <row r="21" spans="2:14" x14ac:dyDescent="0.25">
      <c r="B21" s="10">
        <v>17</v>
      </c>
      <c r="C21" s="11">
        <v>43908</v>
      </c>
      <c r="D21" s="12">
        <f t="shared" si="0"/>
        <v>308081.7138743868</v>
      </c>
      <c r="E21" s="12">
        <f t="shared" si="1"/>
        <v>4.9512307295152622</v>
      </c>
      <c r="F21" s="12">
        <f t="shared" si="2"/>
        <v>1.1880564464736065</v>
      </c>
      <c r="G21" s="12">
        <f t="shared" si="2"/>
        <v>0.14683843720460318</v>
      </c>
      <c r="H21" s="9"/>
      <c r="I21" s="12">
        <f t="shared" si="3"/>
        <v>0.59485929326658371</v>
      </c>
      <c r="J21" s="12">
        <f t="shared" si="4"/>
        <v>0.13369553718142493</v>
      </c>
      <c r="K21" s="12">
        <f t="shared" si="5"/>
        <v>1.6524167516805344E-2</v>
      </c>
    </row>
    <row r="22" spans="2:14" x14ac:dyDescent="0.25">
      <c r="B22" s="10">
        <v>18</v>
      </c>
      <c r="C22" s="11">
        <v>43909</v>
      </c>
      <c r="D22" s="12">
        <f t="shared" si="0"/>
        <v>308081.0603249541</v>
      </c>
      <c r="E22" s="12">
        <f t="shared" si="1"/>
        <v>5.4397391379114923</v>
      </c>
      <c r="F22" s="12">
        <f t="shared" ref="F22:G37" si="6">F21+J22</f>
        <v>1.3349429581158927</v>
      </c>
      <c r="G22" s="12">
        <f t="shared" si="6"/>
        <v>0.16499294987949251</v>
      </c>
      <c r="H22" s="9"/>
      <c r="I22" s="12">
        <f t="shared" si="3"/>
        <v>0.65354943271340504</v>
      </c>
      <c r="J22" s="12">
        <f t="shared" si="4"/>
        <v>0.14688651164228611</v>
      </c>
      <c r="K22" s="12">
        <f t="shared" si="5"/>
        <v>1.8154512674889312E-2</v>
      </c>
    </row>
    <row r="23" spans="2:14" x14ac:dyDescent="0.25">
      <c r="B23" s="10">
        <v>19</v>
      </c>
      <c r="C23" s="11">
        <v>43910</v>
      </c>
      <c r="D23" s="12">
        <f t="shared" si="0"/>
        <v>308080.34229517734</v>
      </c>
      <c r="E23" s="12">
        <f t="shared" si="1"/>
        <v>5.9764442767582278</v>
      </c>
      <c r="F23" s="12">
        <f t="shared" si="6"/>
        <v>1.4963218858739336</v>
      </c>
      <c r="G23" s="12">
        <f t="shared" si="6"/>
        <v>0.18493866005183465</v>
      </c>
      <c r="H23" s="9"/>
      <c r="I23" s="12">
        <f t="shared" si="3"/>
        <v>0.71802977677711877</v>
      </c>
      <c r="J23" s="12">
        <f t="shared" si="4"/>
        <v>0.16137892775804094</v>
      </c>
      <c r="K23" s="12">
        <f t="shared" si="5"/>
        <v>1.9945710172342156E-2</v>
      </c>
    </row>
    <row r="24" spans="2:14" x14ac:dyDescent="0.25">
      <c r="B24" s="10">
        <v>20</v>
      </c>
      <c r="C24" s="11">
        <v>43911</v>
      </c>
      <c r="D24" s="12">
        <f t="shared" si="0"/>
        <v>308079.55342366762</v>
      </c>
      <c r="E24" s="12">
        <f t="shared" si="1"/>
        <v>6.566100977276105</v>
      </c>
      <c r="F24" s="12">
        <f t="shared" si="6"/>
        <v>1.6736230660844276</v>
      </c>
      <c r="G24" s="12">
        <f t="shared" si="6"/>
        <v>0.20685228906661485</v>
      </c>
      <c r="H24" s="9"/>
      <c r="I24" s="12">
        <f t="shared" si="3"/>
        <v>0.78887150974315179</v>
      </c>
      <c r="J24" s="12">
        <f t="shared" si="4"/>
        <v>0.17730118021049407</v>
      </c>
      <c r="K24" s="12">
        <f t="shared" si="5"/>
        <v>2.1913629014780188E-2</v>
      </c>
    </row>
    <row r="25" spans="2:14" x14ac:dyDescent="0.25">
      <c r="B25" s="10">
        <v>21</v>
      </c>
      <c r="C25" s="11">
        <v>43912</v>
      </c>
      <c r="D25" s="12">
        <f t="shared" si="0"/>
        <v>308078.68672151893</v>
      </c>
      <c r="E25" s="12">
        <f t="shared" si="1"/>
        <v>7.2139330933680244</v>
      </c>
      <c r="F25" s="12">
        <f t="shared" si="6"/>
        <v>1.868417395076952</v>
      </c>
      <c r="G25" s="12">
        <f t="shared" si="6"/>
        <v>0.23092799264996058</v>
      </c>
      <c r="H25" s="9"/>
      <c r="I25" s="12">
        <f t="shared" si="3"/>
        <v>0.86670214866778994</v>
      </c>
      <c r="J25" s="12">
        <f t="shared" si="4"/>
        <v>0.19479432899252441</v>
      </c>
      <c r="K25" s="12">
        <f t="shared" si="5"/>
        <v>2.407570358334574E-2</v>
      </c>
    </row>
    <row r="26" spans="2:14" x14ac:dyDescent="0.25">
      <c r="B26" s="10">
        <v>22</v>
      </c>
      <c r="C26" s="11">
        <v>43913</v>
      </c>
      <c r="D26" s="12">
        <f t="shared" si="0"/>
        <v>308077.73451042239</v>
      </c>
      <c r="E26" s="12">
        <f t="shared" si="1"/>
        <v>7.9256797534741388</v>
      </c>
      <c r="F26" s="12">
        <f t="shared" si="6"/>
        <v>2.0824307435135365</v>
      </c>
      <c r="G26" s="12">
        <f t="shared" si="6"/>
        <v>0.25737908065897669</v>
      </c>
      <c r="H26" s="9"/>
      <c r="I26" s="12">
        <f t="shared" si="3"/>
        <v>0.95221109655171532</v>
      </c>
      <c r="J26" s="12">
        <f t="shared" si="4"/>
        <v>0.21401334843658468</v>
      </c>
      <c r="K26" s="12">
        <f t="shared" si="5"/>
        <v>2.6451088009016115E-2</v>
      </c>
    </row>
    <row r="27" spans="2:14" x14ac:dyDescent="0.25">
      <c r="B27" s="10">
        <v>23</v>
      </c>
      <c r="C27" s="11">
        <v>43914</v>
      </c>
      <c r="D27" s="12">
        <f t="shared" si="0"/>
        <v>308076.68835468002</v>
      </c>
      <c r="E27" s="12">
        <f t="shared" si="1"/>
        <v>8.7076461707505093</v>
      </c>
      <c r="F27" s="12">
        <f t="shared" si="6"/>
        <v>2.3175592428666025</v>
      </c>
      <c r="G27" s="12">
        <f t="shared" si="6"/>
        <v>0.28643990642171524</v>
      </c>
      <c r="H27" s="9"/>
      <c r="I27" s="12">
        <f t="shared" si="3"/>
        <v>1.0461557423921761</v>
      </c>
      <c r="J27" s="12">
        <f t="shared" si="4"/>
        <v>0.23512849935306609</v>
      </c>
      <c r="K27" s="12">
        <f t="shared" si="5"/>
        <v>2.9060825762738534E-2</v>
      </c>
    </row>
    <row r="28" spans="2:14" x14ac:dyDescent="0.25">
      <c r="B28" s="10">
        <v>24</v>
      </c>
      <c r="C28" s="11">
        <v>43915</v>
      </c>
      <c r="D28" s="12">
        <f t="shared" si="0"/>
        <v>308075.53898651816</v>
      </c>
      <c r="E28" s="12">
        <f t="shared" si="1"/>
        <v>9.5667594602504362</v>
      </c>
      <c r="F28" s="12">
        <f t="shared" si="6"/>
        <v>2.5758860792655343</v>
      </c>
      <c r="G28" s="12">
        <f t="shared" si="6"/>
        <v>0.31836794238113381</v>
      </c>
      <c r="H28" s="9"/>
      <c r="I28" s="12">
        <f t="shared" si="3"/>
        <v>1.1493681618582789</v>
      </c>
      <c r="J28" s="12">
        <f t="shared" si="4"/>
        <v>0.25832683639893178</v>
      </c>
      <c r="K28" s="12">
        <f t="shared" si="5"/>
        <v>3.1928035959418559E-2</v>
      </c>
    </row>
    <row r="29" spans="2:14" x14ac:dyDescent="0.25">
      <c r="B29" s="10">
        <v>25</v>
      </c>
      <c r="C29" s="11">
        <v>43916</v>
      </c>
      <c r="D29" s="12">
        <f t="shared" si="0"/>
        <v>308074.27622404054</v>
      </c>
      <c r="E29" s="12">
        <f t="shared" si="1"/>
        <v>10.510629955834423</v>
      </c>
      <c r="F29" s="12">
        <f t="shared" si="6"/>
        <v>2.8596999432529637</v>
      </c>
      <c r="G29" s="12">
        <f t="shared" si="6"/>
        <v>0.35344606040205212</v>
      </c>
      <c r="H29" s="9"/>
      <c r="I29" s="12">
        <f t="shared" si="3"/>
        <v>1.2627624775923336</v>
      </c>
      <c r="J29" s="12">
        <f t="shared" si="4"/>
        <v>0.28381386398742958</v>
      </c>
      <c r="K29" s="12">
        <f t="shared" si="5"/>
        <v>3.50781180209183E-2</v>
      </c>
    </row>
    <row r="30" spans="2:14" x14ac:dyDescent="0.25">
      <c r="B30" s="10">
        <v>26</v>
      </c>
      <c r="C30" s="11">
        <v>43917</v>
      </c>
      <c r="D30" s="12">
        <f t="shared" si="0"/>
        <v>308072.88888109662</v>
      </c>
      <c r="E30" s="12">
        <f t="shared" si="1"/>
        <v>11.54761856788156</v>
      </c>
      <c r="F30" s="12">
        <f t="shared" si="6"/>
        <v>3.1715152986093851</v>
      </c>
      <c r="G30" s="12">
        <f t="shared" si="6"/>
        <v>0.39198503690677838</v>
      </c>
      <c r="H30" s="9"/>
      <c r="I30" s="12">
        <f t="shared" si="3"/>
        <v>1.3873429439082854</v>
      </c>
      <c r="J30" s="12">
        <f t="shared" si="4"/>
        <v>0.31181535535642119</v>
      </c>
      <c r="K30" s="12">
        <f t="shared" si="5"/>
        <v>3.8538976504726249E-2</v>
      </c>
    </row>
    <row r="31" spans="2:14" x14ac:dyDescent="0.25">
      <c r="B31" s="10">
        <v>27</v>
      </c>
      <c r="C31" s="11">
        <v>43918</v>
      </c>
      <c r="D31" s="12">
        <f t="shared" si="0"/>
        <v>308071.36466826964</v>
      </c>
      <c r="E31" s="12">
        <f t="shared" si="1"/>
        <v>12.686910775936621</v>
      </c>
      <c r="F31" s="12">
        <f t="shared" si="6"/>
        <v>3.5140946494565379</v>
      </c>
      <c r="G31" s="12">
        <f t="shared" si="6"/>
        <v>0.43432630498901081</v>
      </c>
      <c r="H31" s="9"/>
      <c r="I31" s="12">
        <f t="shared" si="3"/>
        <v>1.5242128269844462</v>
      </c>
      <c r="J31" s="12">
        <f t="shared" si="4"/>
        <v>0.34257935084715291</v>
      </c>
      <c r="K31" s="12">
        <f t="shared" si="5"/>
        <v>4.2341268082232424E-2</v>
      </c>
    </row>
    <row r="32" spans="2:14" x14ac:dyDescent="0.25">
      <c r="B32" s="10">
        <v>28</v>
      </c>
      <c r="C32" s="11">
        <v>43919</v>
      </c>
      <c r="D32" s="12">
        <f t="shared" si="0"/>
        <v>308069.69008411106</v>
      </c>
      <c r="E32" s="12">
        <f t="shared" si="1"/>
        <v>13.938597908656766</v>
      </c>
      <c r="F32" s="12">
        <f t="shared" si="6"/>
        <v>3.890473002475991</v>
      </c>
      <c r="G32" s="12">
        <f t="shared" si="6"/>
        <v>0.48084497783411179</v>
      </c>
      <c r="H32" s="9"/>
      <c r="I32" s="12">
        <f t="shared" si="3"/>
        <v>1.6745841585846992</v>
      </c>
      <c r="J32" s="12">
        <f t="shared" si="4"/>
        <v>0.37637835301945299</v>
      </c>
      <c r="K32" s="12">
        <f t="shared" si="5"/>
        <v>4.6518672845100986E-2</v>
      </c>
    </row>
    <row r="33" spans="2:11" x14ac:dyDescent="0.25">
      <c r="B33" s="10">
        <v>29</v>
      </c>
      <c r="C33" s="11">
        <v>43920</v>
      </c>
      <c r="D33" s="12">
        <f t="shared" si="0"/>
        <v>308067.85029566212</v>
      </c>
      <c r="E33" s="12">
        <f t="shared" si="1"/>
        <v>15.31376642731588</v>
      </c>
      <c r="F33" s="12">
        <f t="shared" si="6"/>
        <v>4.3039847404328082</v>
      </c>
      <c r="G33" s="12">
        <f t="shared" si="6"/>
        <v>0.53195317016585331</v>
      </c>
      <c r="H33" s="9"/>
      <c r="I33" s="12">
        <f t="shared" si="3"/>
        <v>1.8397884489476724</v>
      </c>
      <c r="J33" s="12">
        <f t="shared" si="4"/>
        <v>0.41351173795681734</v>
      </c>
      <c r="K33" s="12">
        <f t="shared" si="5"/>
        <v>5.1108192331741513E-2</v>
      </c>
    </row>
    <row r="34" spans="2:11" x14ac:dyDescent="0.25">
      <c r="B34" s="10">
        <v>30</v>
      </c>
      <c r="C34" s="13">
        <v>43921</v>
      </c>
      <c r="D34" s="12">
        <f t="shared" si="0"/>
        <v>308065.82900720928</v>
      </c>
      <c r="E34" s="12">
        <f t="shared" si="1"/>
        <v>16.824595999224961</v>
      </c>
      <c r="F34" s="12">
        <f t="shared" si="6"/>
        <v>4.7582931444431793</v>
      </c>
      <c r="G34" s="12">
        <f t="shared" si="6"/>
        <v>0.58810364706601159</v>
      </c>
      <c r="H34" s="9"/>
      <c r="I34" s="12">
        <f t="shared" si="3"/>
        <v>2.0212884528196078</v>
      </c>
      <c r="J34" s="12">
        <f t="shared" si="4"/>
        <v>0.45430840401037104</v>
      </c>
      <c r="K34" s="12">
        <f t="shared" si="5"/>
        <v>5.6150476900158279E-2</v>
      </c>
    </row>
    <row r="35" spans="2:11" x14ac:dyDescent="0.25">
      <c r="B35" s="10">
        <v>31</v>
      </c>
      <c r="C35" s="11">
        <v>43922</v>
      </c>
      <c r="D35" s="12">
        <f t="shared" si="0"/>
        <v>308063.60831611755</v>
      </c>
      <c r="E35" s="12">
        <f t="shared" si="1"/>
        <v>18.484467224326085</v>
      </c>
      <c r="F35" s="12">
        <f t="shared" si="6"/>
        <v>5.2574228257535198</v>
      </c>
      <c r="G35" s="12">
        <f t="shared" si="6"/>
        <v>0.64979383239650312</v>
      </c>
      <c r="H35" s="9"/>
      <c r="I35" s="12">
        <f t="shared" si="3"/>
        <v>2.2206910917419544</v>
      </c>
      <c r="J35" s="12">
        <f t="shared" si="4"/>
        <v>0.49912968131034047</v>
      </c>
      <c r="K35" s="12">
        <f t="shared" si="5"/>
        <v>6.1690185330491573E-2</v>
      </c>
    </row>
    <row r="36" spans="2:11" x14ac:dyDescent="0.25">
      <c r="B36" s="10">
        <v>32</v>
      </c>
      <c r="C36" s="11">
        <v>43923</v>
      </c>
      <c r="D36" s="12">
        <f t="shared" si="0"/>
        <v>308061.16855447186</v>
      </c>
      <c r="E36" s="12">
        <f t="shared" si="1"/>
        <v>20.308079962561528</v>
      </c>
      <c r="F36" s="12">
        <f t="shared" si="6"/>
        <v>5.8057953534085271</v>
      </c>
      <c r="G36" s="12">
        <f t="shared" si="6"/>
        <v>0.71757021221903217</v>
      </c>
      <c r="H36" s="9"/>
      <c r="I36" s="12">
        <f t="shared" si="3"/>
        <v>2.439761645712982</v>
      </c>
      <c r="J36" s="12">
        <f t="shared" si="4"/>
        <v>0.5483725276550071</v>
      </c>
      <c r="K36" s="12">
        <f t="shared" si="5"/>
        <v>6.7776379822529043E-2</v>
      </c>
    </row>
    <row r="37" spans="2:11" x14ac:dyDescent="0.25">
      <c r="B37" s="10">
        <v>33</v>
      </c>
      <c r="C37" s="11">
        <v>43924</v>
      </c>
      <c r="D37" s="12">
        <f t="shared" si="0"/>
        <v>308058.48811513354</v>
      </c>
      <c r="E37" s="12">
        <f t="shared" si="1"/>
        <v>22.31158330211386</v>
      </c>
      <c r="F37" s="12">
        <f t="shared" si="6"/>
        <v>6.4082683922978525</v>
      </c>
      <c r="G37" s="12">
        <f t="shared" si="6"/>
        <v>0.79203317208175783</v>
      </c>
      <c r="H37" s="9"/>
      <c r="I37" s="12">
        <f t="shared" si="3"/>
        <v>2.6804393383043807</v>
      </c>
      <c r="J37" s="12">
        <f t="shared" si="4"/>
        <v>0.60247303888932524</v>
      </c>
      <c r="K37" s="12">
        <f t="shared" si="5"/>
        <v>7.4462959862725678E-2</v>
      </c>
    </row>
    <row r="38" spans="2:11" x14ac:dyDescent="0.25">
      <c r="B38" s="10">
        <v>34</v>
      </c>
      <c r="C38" s="11">
        <v>43925</v>
      </c>
      <c r="D38" s="12">
        <f t="shared" si="0"/>
        <v>308055.5432606822</v>
      </c>
      <c r="E38" s="12">
        <f t="shared" si="1"/>
        <v>24.512718310025754</v>
      </c>
      <c r="F38" s="12">
        <f t="shared" ref="F38:G53" si="7">F37+J38</f>
        <v>7.07017869692723</v>
      </c>
      <c r="G38" s="12">
        <f t="shared" si="7"/>
        <v>0.87384231085617536</v>
      </c>
      <c r="H38" s="9"/>
      <c r="I38" s="12">
        <f t="shared" si="3"/>
        <v>2.9448544513156869</v>
      </c>
      <c r="J38" s="12">
        <f t="shared" si="4"/>
        <v>0.66191030462937783</v>
      </c>
      <c r="K38" s="12">
        <f t="shared" si="5"/>
        <v>8.1809138774417561E-2</v>
      </c>
    </row>
    <row r="39" spans="2:11" x14ac:dyDescent="0.25">
      <c r="B39" s="10">
        <v>35</v>
      </c>
      <c r="C39" s="11">
        <v>43926</v>
      </c>
      <c r="D39" s="12">
        <f t="shared" si="0"/>
        <v>308052.30791356403</v>
      </c>
      <c r="E39" s="12">
        <f t="shared" si="1"/>
        <v>26.930974817877345</v>
      </c>
      <c r="F39" s="12">
        <f t="shared" si="7"/>
        <v>7.7973893401246608</v>
      </c>
      <c r="G39" s="12">
        <f t="shared" si="7"/>
        <v>0.96372227799293653</v>
      </c>
      <c r="H39" s="9"/>
      <c r="I39" s="12">
        <f t="shared" si="3"/>
        <v>3.2353471181857829</v>
      </c>
      <c r="J39" s="12">
        <f t="shared" si="4"/>
        <v>0.72721064319743067</v>
      </c>
      <c r="K39" s="12">
        <f t="shared" si="5"/>
        <v>8.9879967136761177E-2</v>
      </c>
    </row>
    <row r="40" spans="2:11" x14ac:dyDescent="0.25">
      <c r="B40" s="10">
        <v>36</v>
      </c>
      <c r="C40" s="11">
        <v>43927</v>
      </c>
      <c r="D40" s="12">
        <f t="shared" si="0"/>
        <v>308048.75342560426</v>
      </c>
      <c r="E40" s="12">
        <f t="shared" si="1"/>
        <v>29.587763617034643</v>
      </c>
      <c r="F40" s="12">
        <f t="shared" si="7"/>
        <v>8.5963415930550227</v>
      </c>
      <c r="G40" s="12">
        <f t="shared" si="7"/>
        <v>1.0624691856584869</v>
      </c>
      <c r="H40" s="9"/>
      <c r="I40" s="12">
        <f t="shared" si="3"/>
        <v>3.5544879597532097</v>
      </c>
      <c r="J40" s="12">
        <f t="shared" si="4"/>
        <v>0.7989522529303611</v>
      </c>
      <c r="K40" s="12">
        <f t="shared" si="5"/>
        <v>9.8746907665550346E-2</v>
      </c>
    </row>
    <row r="41" spans="2:11" x14ac:dyDescent="0.25">
      <c r="B41" s="10">
        <v>37</v>
      </c>
      <c r="C41" s="11">
        <v>43928</v>
      </c>
      <c r="D41" s="12">
        <f t="shared" si="0"/>
        <v>308044.8483248626</v>
      </c>
      <c r="E41" s="12">
        <f t="shared" si="1"/>
        <v>32.506605571475355</v>
      </c>
      <c r="F41" s="12">
        <f t="shared" si="7"/>
        <v>9.4741119136937169</v>
      </c>
      <c r="G41" s="12">
        <f t="shared" si="7"/>
        <v>1.1709576522542806</v>
      </c>
      <c r="H41" s="9"/>
      <c r="I41" s="12">
        <f t="shared" si="3"/>
        <v>3.9051007416751995</v>
      </c>
      <c r="J41" s="12">
        <f t="shared" si="4"/>
        <v>0.87777032063869431</v>
      </c>
      <c r="K41" s="12">
        <f t="shared" si="5"/>
        <v>0.10848846659579378</v>
      </c>
    </row>
    <row r="42" spans="2:11" x14ac:dyDescent="0.25">
      <c r="B42" s="10">
        <v>38</v>
      </c>
      <c r="C42" s="11">
        <v>43929</v>
      </c>
      <c r="D42" s="12">
        <f t="shared" si="0"/>
        <v>308040.55803761259</v>
      </c>
      <c r="E42" s="12">
        <f t="shared" si="1"/>
        <v>35.713339302423229</v>
      </c>
      <c r="F42" s="12">
        <f t="shared" si="7"/>
        <v>10.438474545647486</v>
      </c>
      <c r="G42" s="12">
        <f t="shared" si="7"/>
        <v>1.2901485393496903</v>
      </c>
      <c r="H42" s="9"/>
      <c r="I42" s="12">
        <f t="shared" si="3"/>
        <v>4.2902872499970526</v>
      </c>
      <c r="J42" s="12">
        <f t="shared" si="4"/>
        <v>0.9643626319537687</v>
      </c>
      <c r="K42" s="12">
        <f t="shared" si="5"/>
        <v>0.11919088709540973</v>
      </c>
    </row>
    <row r="43" spans="2:11" x14ac:dyDescent="0.25">
      <c r="B43" s="10">
        <v>39</v>
      </c>
      <c r="C43" s="11">
        <v>43930</v>
      </c>
      <c r="D43" s="12">
        <f t="shared" si="0"/>
        <v>308035.84458301245</v>
      </c>
      <c r="E43" s="12">
        <f t="shared" si="1"/>
        <v>39.236349259144262</v>
      </c>
      <c r="F43" s="12">
        <f t="shared" si="7"/>
        <v>11.497970278286042</v>
      </c>
      <c r="G43" s="12">
        <f t="shared" si="7"/>
        <v>1.4210974501252422</v>
      </c>
      <c r="H43" s="9"/>
      <c r="I43" s="12">
        <f t="shared" si="3"/>
        <v>4.7134546001351394</v>
      </c>
      <c r="J43" s="12">
        <f t="shared" si="4"/>
        <v>1.0594957326385557</v>
      </c>
      <c r="K43" s="12">
        <f t="shared" si="5"/>
        <v>0.13094891077555196</v>
      </c>
    </row>
    <row r="44" spans="2:11" x14ac:dyDescent="0.25">
      <c r="B44" s="10">
        <v>40</v>
      </c>
      <c r="C44" s="11">
        <v>43931</v>
      </c>
      <c r="D44" s="12">
        <f t="shared" si="0"/>
        <v>308030.66623779741</v>
      </c>
      <c r="E44" s="12">
        <f t="shared" si="1"/>
        <v>43.106816165539698</v>
      </c>
      <c r="F44" s="12">
        <f t="shared" si="7"/>
        <v>12.661981972973988</v>
      </c>
      <c r="G44" s="12">
        <f t="shared" si="7"/>
        <v>1.5649640640754381</v>
      </c>
      <c r="H44" s="9"/>
      <c r="I44" s="12">
        <f t="shared" si="3"/>
        <v>5.1783452150335707</v>
      </c>
      <c r="J44" s="12">
        <f t="shared" si="4"/>
        <v>1.1640116946879464</v>
      </c>
      <c r="K44" s="12">
        <f t="shared" si="5"/>
        <v>0.14386661395019576</v>
      </c>
    </row>
    <row r="45" spans="2:11" x14ac:dyDescent="0.25">
      <c r="B45" s="10">
        <v>41</v>
      </c>
      <c r="C45" s="11">
        <v>43932</v>
      </c>
      <c r="D45" s="12">
        <f t="shared" si="0"/>
        <v>308024.97716806678</v>
      </c>
      <c r="E45" s="12">
        <f t="shared" si="1"/>
        <v>47.35899202397551</v>
      </c>
      <c r="F45" s="12">
        <f t="shared" si="7"/>
        <v>13.940817519218333</v>
      </c>
      <c r="G45" s="12">
        <f t="shared" si="7"/>
        <v>1.7230223900157504</v>
      </c>
      <c r="H45" s="9"/>
      <c r="I45" s="12">
        <f t="shared" si="3"/>
        <v>5.6890697306204645</v>
      </c>
      <c r="J45" s="12">
        <f t="shared" si="4"/>
        <v>1.2788355462443444</v>
      </c>
      <c r="K45" s="12">
        <f t="shared" si="5"/>
        <v>0.15805832594031238</v>
      </c>
    </row>
    <row r="46" spans="2:11" x14ac:dyDescent="0.25">
      <c r="B46" s="10">
        <v>42</v>
      </c>
      <c r="C46" s="11">
        <v>43933</v>
      </c>
      <c r="D46" s="12">
        <f t="shared" si="0"/>
        <v>308018.72702495568</v>
      </c>
      <c r="E46" s="12">
        <f t="shared" si="1"/>
        <v>52.030502067587335</v>
      </c>
      <c r="F46" s="12">
        <f t="shared" si="7"/>
        <v>15.345800949262941</v>
      </c>
      <c r="G46" s="12">
        <f t="shared" si="7"/>
        <v>1.8966720274369941</v>
      </c>
      <c r="H46" s="9"/>
      <c r="I46" s="12">
        <f t="shared" si="3"/>
        <v>6.2501431110776773</v>
      </c>
      <c r="J46" s="12">
        <f t="shared" si="4"/>
        <v>1.4049834300446067</v>
      </c>
      <c r="K46" s="12">
        <f t="shared" si="5"/>
        <v>0.17364963742124367</v>
      </c>
    </row>
    <row r="47" spans="2:11" x14ac:dyDescent="0.25">
      <c r="B47" s="10">
        <v>43</v>
      </c>
      <c r="C47" s="11">
        <v>43934</v>
      </c>
      <c r="D47" s="12">
        <f t="shared" si="0"/>
        <v>308011.86050067266</v>
      </c>
      <c r="E47" s="12">
        <f t="shared" si="1"/>
        <v>57.162676281677072</v>
      </c>
      <c r="F47" s="12">
        <f t="shared" si="7"/>
        <v>16.889372510601365</v>
      </c>
      <c r="G47" s="12">
        <f t="shared" si="7"/>
        <v>2.087450535018148</v>
      </c>
      <c r="H47" s="9"/>
      <c r="I47" s="12">
        <f t="shared" si="3"/>
        <v>6.8665242830093138</v>
      </c>
      <c r="J47" s="12">
        <f t="shared" si="4"/>
        <v>1.5435715613384242</v>
      </c>
      <c r="K47" s="12">
        <f t="shared" si="5"/>
        <v>0.19077850758115375</v>
      </c>
    </row>
    <row r="48" spans="2:11" x14ac:dyDescent="0.25">
      <c r="B48" s="10">
        <v>44</v>
      </c>
      <c r="C48" s="11">
        <v>43935</v>
      </c>
      <c r="D48" s="12">
        <f t="shared" si="0"/>
        <v>308004.31684104615</v>
      </c>
      <c r="E48" s="12">
        <f t="shared" si="1"/>
        <v>62.800913365473455</v>
      </c>
      <c r="F48" s="12">
        <f t="shared" si="7"/>
        <v>18.585198573624453</v>
      </c>
      <c r="G48" s="12">
        <f t="shared" si="7"/>
        <v>2.2970470147176307</v>
      </c>
      <c r="H48" s="9"/>
      <c r="I48" s="12">
        <f t="shared" si="3"/>
        <v>7.5436596265189539</v>
      </c>
      <c r="J48" s="12">
        <f t="shared" si="4"/>
        <v>1.6958260630230864</v>
      </c>
      <c r="K48" s="12">
        <f t="shared" si="5"/>
        <v>0.20959647969948278</v>
      </c>
    </row>
    <row r="49" spans="2:11" x14ac:dyDescent="0.25">
      <c r="B49" s="10">
        <v>45</v>
      </c>
      <c r="C49" s="11">
        <v>43936</v>
      </c>
      <c r="D49" s="12">
        <f t="shared" si="0"/>
        <v>307996.02931035351</v>
      </c>
      <c r="E49" s="12">
        <f t="shared" si="1"/>
        <v>68.995080279284622</v>
      </c>
      <c r="F49" s="12">
        <f t="shared" si="7"/>
        <v>20.448292336800165</v>
      </c>
      <c r="G49" s="12">
        <f t="shared" si="7"/>
        <v>2.5273170303910337</v>
      </c>
      <c r="H49" s="9"/>
      <c r="I49" s="12">
        <f t="shared" si="3"/>
        <v>8.2875306926602743</v>
      </c>
      <c r="J49" s="12">
        <f t="shared" si="4"/>
        <v>1.8630937631757123</v>
      </c>
      <c r="K49" s="12">
        <f t="shared" si="5"/>
        <v>0.23027001567340288</v>
      </c>
    </row>
    <row r="50" spans="2:11" x14ac:dyDescent="0.25">
      <c r="B50" s="10">
        <v>46</v>
      </c>
      <c r="C50" s="11">
        <v>43937</v>
      </c>
      <c r="D50" s="12">
        <f t="shared" si="0"/>
        <v>307986.92460380262</v>
      </c>
      <c r="E50" s="12">
        <f t="shared" si="1"/>
        <v>75.799950820869029</v>
      </c>
      <c r="F50" s="12">
        <f t="shared" si="7"/>
        <v>22.495146385085608</v>
      </c>
      <c r="G50" s="12">
        <f t="shared" si="7"/>
        <v>2.7802989914150777</v>
      </c>
      <c r="H50" s="9"/>
      <c r="I50" s="12">
        <f t="shared" si="3"/>
        <v>9.1047065508938889</v>
      </c>
      <c r="J50" s="12">
        <f t="shared" si="4"/>
        <v>2.0468540482854438</v>
      </c>
      <c r="K50" s="12">
        <f t="shared" si="5"/>
        <v>0.25298196102404386</v>
      </c>
    </row>
    <row r="51" spans="2:11" x14ac:dyDescent="0.25">
      <c r="B51" s="10">
        <v>47</v>
      </c>
      <c r="C51" s="11">
        <v>43938</v>
      </c>
      <c r="D51" s="12">
        <f t="shared" si="0"/>
        <v>307976.92220259539</v>
      </c>
      <c r="E51" s="12">
        <f t="shared" si="1"/>
        <v>83.275687000758964</v>
      </c>
      <c r="F51" s="12">
        <f t="shared" si="7"/>
        <v>24.743878259438056</v>
      </c>
      <c r="G51" s="12">
        <f t="shared" si="7"/>
        <v>3.058232144424931</v>
      </c>
      <c r="H51" s="9"/>
      <c r="I51" s="12">
        <f t="shared" si="3"/>
        <v>10.002401207252239</v>
      </c>
      <c r="J51" s="12">
        <f t="shared" si="4"/>
        <v>2.248731874352448</v>
      </c>
      <c r="K51" s="12">
        <f t="shared" si="5"/>
        <v>0.27793315300985338</v>
      </c>
    </row>
    <row r="52" spans="2:11" x14ac:dyDescent="0.25">
      <c r="B52" s="10">
        <v>48</v>
      </c>
      <c r="C52" s="11">
        <v>43939</v>
      </c>
      <c r="D52" s="12">
        <f t="shared" si="0"/>
        <v>307965.93366602133</v>
      </c>
      <c r="E52" s="12">
        <f t="shared" si="1"/>
        <v>91.488367341474699</v>
      </c>
      <c r="F52" s="12">
        <f t="shared" si="7"/>
        <v>27.214390307127239</v>
      </c>
      <c r="G52" s="12">
        <f t="shared" si="7"/>
        <v>3.3635763300943808</v>
      </c>
      <c r="H52" s="9"/>
      <c r="I52" s="12">
        <f t="shared" si="3"/>
        <v>10.988536574074379</v>
      </c>
      <c r="J52" s="12">
        <f t="shared" si="4"/>
        <v>2.4705120476891822</v>
      </c>
      <c r="K52" s="12">
        <f t="shared" si="5"/>
        <v>0.30534418566944976</v>
      </c>
    </row>
    <row r="53" spans="2:11" x14ac:dyDescent="0.25">
      <c r="B53" s="10">
        <v>49</v>
      </c>
      <c r="C53" s="11">
        <v>43940</v>
      </c>
      <c r="D53" s="12">
        <f t="shared" si="0"/>
        <v>307953.86185450573</v>
      </c>
      <c r="E53" s="12">
        <f t="shared" si="1"/>
        <v>100.51056661237098</v>
      </c>
      <c r="F53" s="12">
        <f t="shared" si="7"/>
        <v>29.928545204924323</v>
      </c>
      <c r="G53" s="12">
        <f t="shared" si="7"/>
        <v>3.6990336770131216</v>
      </c>
      <c r="H53" s="9"/>
      <c r="I53" s="12">
        <f t="shared" si="3"/>
        <v>12.07181151561211</v>
      </c>
      <c r="J53" s="12">
        <f t="shared" si="4"/>
        <v>2.7141548977970822</v>
      </c>
      <c r="K53" s="12">
        <f t="shared" si="5"/>
        <v>0.33545734691874085</v>
      </c>
    </row>
    <row r="54" spans="2:11" x14ac:dyDescent="0.25">
      <c r="B54" s="10">
        <v>50</v>
      </c>
      <c r="C54" s="11">
        <v>43941</v>
      </c>
      <c r="D54" s="12">
        <f t="shared" si="0"/>
        <v>307940.600076965</v>
      </c>
      <c r="E54" s="12">
        <f t="shared" si="1"/>
        <v>110.42199193267106</v>
      </c>
      <c r="F54" s="12">
        <f t="shared" ref="F54:G69" si="8">F53+J54</f>
        <v>32.910358681091324</v>
      </c>
      <c r="G54" s="12">
        <f t="shared" si="8"/>
        <v>4.0675724212584825</v>
      </c>
      <c r="H54" s="9"/>
      <c r="I54" s="12">
        <f t="shared" si="3"/>
        <v>13.261777540712437</v>
      </c>
      <c r="J54" s="12">
        <f t="shared" si="4"/>
        <v>2.9818134761670052</v>
      </c>
      <c r="K54" s="12">
        <f t="shared" si="5"/>
        <v>0.36853874424536059</v>
      </c>
    </row>
    <row r="55" spans="2:11" x14ac:dyDescent="0.25">
      <c r="B55" s="10">
        <v>51</v>
      </c>
      <c r="C55" s="11">
        <v>43942</v>
      </c>
      <c r="D55" s="12">
        <f t="shared" si="0"/>
        <v>307926.03115520068</v>
      </c>
      <c r="E55" s="12">
        <f t="shared" si="1"/>
        <v>121.31018063257098</v>
      </c>
      <c r="F55" s="12">
        <f t="shared" si="8"/>
        <v>36.18621110842723</v>
      </c>
      <c r="G55" s="12">
        <f t="shared" si="8"/>
        <v>4.4724530583449438</v>
      </c>
      <c r="H55" s="9"/>
      <c r="I55" s="12">
        <f t="shared" si="3"/>
        <v>14.568921764322285</v>
      </c>
      <c r="J55" s="12">
        <f t="shared" si="4"/>
        <v>3.2758524273359075</v>
      </c>
      <c r="K55" s="12">
        <f t="shared" si="5"/>
        <v>0.40488063708646094</v>
      </c>
    </row>
    <row r="56" spans="2:11" x14ac:dyDescent="0.25">
      <c r="B56" s="10">
        <v>52</v>
      </c>
      <c r="C56" s="11">
        <v>43943</v>
      </c>
      <c r="D56" s="12">
        <f t="shared" si="0"/>
        <v>307910.0263973868</v>
      </c>
      <c r="E56" s="12">
        <f t="shared" si="1"/>
        <v>133.2712657587156</v>
      </c>
      <c r="F56" s="12">
        <f t="shared" si="8"/>
        <v>39.785079800526837</v>
      </c>
      <c r="G56" s="12">
        <f t="shared" si="8"/>
        <v>4.9172570539977043</v>
      </c>
      <c r="H56" s="9"/>
      <c r="I56" s="12">
        <f t="shared" si="3"/>
        <v>16.004757813896997</v>
      </c>
      <c r="J56" s="12">
        <f t="shared" si="4"/>
        <v>3.5988686920996051</v>
      </c>
      <c r="K56" s="12">
        <f t="shared" si="5"/>
        <v>0.44480399565276063</v>
      </c>
    </row>
    <row r="57" spans="2:11" x14ac:dyDescent="0.25">
      <c r="B57" s="10">
        <v>53</v>
      </c>
      <c r="C57" s="11">
        <v>43944</v>
      </c>
      <c r="D57" s="12">
        <f t="shared" si="0"/>
        <v>307892.44447197177</v>
      </c>
      <c r="E57" s="12">
        <f t="shared" si="1"/>
        <v>146.41081564848059</v>
      </c>
      <c r="F57" s="12">
        <f t="shared" si="8"/>
        <v>43.738794018035399</v>
      </c>
      <c r="G57" s="12">
        <f t="shared" si="8"/>
        <v>5.405918361779662</v>
      </c>
      <c r="H57" s="9"/>
      <c r="I57" s="12">
        <f t="shared" si="3"/>
        <v>17.581925415055547</v>
      </c>
      <c r="J57" s="12">
        <f t="shared" si="4"/>
        <v>3.9537142175085624</v>
      </c>
      <c r="K57" s="12">
        <f t="shared" si="5"/>
        <v>0.48866130778195765</v>
      </c>
    </row>
    <row r="58" spans="2:11" x14ac:dyDescent="0.25">
      <c r="B58" s="10">
        <v>54</v>
      </c>
      <c r="C58" s="11">
        <v>43945</v>
      </c>
      <c r="D58" s="12">
        <f t="shared" si="0"/>
        <v>307873.13017251866</v>
      </c>
      <c r="E58" s="12">
        <f t="shared" si="1"/>
        <v>160.84475457997317</v>
      </c>
      <c r="F58" s="12">
        <f t="shared" si="8"/>
        <v>48.082314882273657</v>
      </c>
      <c r="G58" s="12">
        <f t="shared" si="8"/>
        <v>5.9427580191574245</v>
      </c>
      <c r="H58" s="9"/>
      <c r="I58" s="12">
        <f t="shared" si="3"/>
        <v>19.314299453108578</v>
      </c>
      <c r="J58" s="12">
        <f t="shared" si="4"/>
        <v>4.3435208642382568</v>
      </c>
      <c r="K58" s="12">
        <f t="shared" si="5"/>
        <v>0.53683965737776274</v>
      </c>
    </row>
    <row r="59" spans="2:11" x14ac:dyDescent="0.25">
      <c r="B59" s="10">
        <v>55</v>
      </c>
      <c r="C59" s="11">
        <v>43946</v>
      </c>
      <c r="D59" s="12">
        <f t="shared" si="0"/>
        <v>307851.91306314524</v>
      </c>
      <c r="E59" s="12">
        <f t="shared" si="1"/>
        <v>176.70037213407724</v>
      </c>
      <c r="F59" s="12">
        <f t="shared" si="8"/>
        <v>52.854042601479527</v>
      </c>
      <c r="G59" s="12">
        <f t="shared" si="8"/>
        <v>6.5325221192839935</v>
      </c>
      <c r="H59" s="9"/>
      <c r="I59" s="12">
        <f t="shared" si="3"/>
        <v>21.217109373436493</v>
      </c>
      <c r="J59" s="12">
        <f t="shared" si="4"/>
        <v>4.7717277192058702</v>
      </c>
      <c r="K59" s="12">
        <f t="shared" si="5"/>
        <v>0.58976410012656888</v>
      </c>
    </row>
    <row r="60" spans="2:11" x14ac:dyDescent="0.25">
      <c r="B60" s="10">
        <v>56</v>
      </c>
      <c r="C60" s="11">
        <v>43947</v>
      </c>
      <c r="D60" s="12">
        <f t="shared" si="0"/>
        <v>307828.60599329113</v>
      </c>
      <c r="E60" s="12">
        <f t="shared" si="1"/>
        <v>194.11742958370209</v>
      </c>
      <c r="F60" s="12">
        <f t="shared" si="8"/>
        <v>58.09615364145715</v>
      </c>
      <c r="G60" s="12">
        <f t="shared" si="8"/>
        <v>7.1804234837756109</v>
      </c>
      <c r="H60" s="9"/>
      <c r="I60" s="12">
        <f t="shared" si="3"/>
        <v>23.307069854094099</v>
      </c>
      <c r="J60" s="12">
        <f t="shared" si="4"/>
        <v>5.2421110399776243</v>
      </c>
      <c r="K60" s="12">
        <f t="shared" si="5"/>
        <v>0.64790136449161706</v>
      </c>
    </row>
    <row r="61" spans="2:11" x14ac:dyDescent="0.25">
      <c r="B61" s="10">
        <v>57</v>
      </c>
      <c r="C61" s="11">
        <v>43948</v>
      </c>
      <c r="D61" s="12">
        <f t="shared" si="0"/>
        <v>307803.00346953276</v>
      </c>
      <c r="E61" s="12">
        <f t="shared" si="1"/>
        <v>213.24937235594018</v>
      </c>
      <c r="F61" s="12">
        <f t="shared" si="8"/>
        <v>63.85497071910698</v>
      </c>
      <c r="G61" s="12">
        <f t="shared" si="8"/>
        <v>7.8921873922491859</v>
      </c>
      <c r="H61" s="9"/>
      <c r="I61" s="12">
        <f t="shared" si="3"/>
        <v>25.602523758361517</v>
      </c>
      <c r="J61" s="12">
        <f t="shared" si="4"/>
        <v>5.7588170776498275</v>
      </c>
      <c r="K61" s="12">
        <f t="shared" si="5"/>
        <v>0.71176390847357496</v>
      </c>
    </row>
    <row r="62" spans="2:11" x14ac:dyDescent="0.25">
      <c r="B62" s="10">
        <v>58</v>
      </c>
      <c r="C62" s="11">
        <v>43949</v>
      </c>
      <c r="D62" s="12">
        <f t="shared" si="0"/>
        <v>307774.87987107976</v>
      </c>
      <c r="E62" s="12">
        <f t="shared" si="1"/>
        <v>234.26465839710545</v>
      </c>
      <c r="F62" s="12">
        <f t="shared" si="8"/>
        <v>70.181368765666534</v>
      </c>
      <c r="G62" s="12">
        <f t="shared" si="8"/>
        <v>8.6741017575543005</v>
      </c>
      <c r="H62" s="9"/>
      <c r="I62" s="12">
        <f t="shared" si="3"/>
        <v>28.123598453029931</v>
      </c>
      <c r="J62" s="12">
        <f t="shared" si="4"/>
        <v>6.3263980465595582</v>
      </c>
      <c r="K62" s="12">
        <f t="shared" si="5"/>
        <v>0.78191436530511471</v>
      </c>
    </row>
    <row r="63" spans="2:11" x14ac:dyDescent="0.25">
      <c r="B63" s="10">
        <v>59</v>
      </c>
      <c r="C63" s="11">
        <v>43950</v>
      </c>
      <c r="D63" s="12">
        <f t="shared" si="0"/>
        <v>307743.98749442009</v>
      </c>
      <c r="E63" s="12">
        <f t="shared" si="1"/>
        <v>257.34821311018521</v>
      </c>
      <c r="F63" s="12">
        <f t="shared" si="8"/>
        <v>77.131220298113988</v>
      </c>
      <c r="G63" s="12">
        <f t="shared" si="8"/>
        <v>9.5330721716770217</v>
      </c>
      <c r="H63" s="9"/>
      <c r="I63" s="12">
        <f t="shared" si="3"/>
        <v>30.892376659649905</v>
      </c>
      <c r="J63" s="12">
        <f t="shared" si="4"/>
        <v>6.9498515324474601</v>
      </c>
      <c r="K63" s="12">
        <f t="shared" si="5"/>
        <v>0.85897041412272079</v>
      </c>
    </row>
    <row r="64" spans="2:11" x14ac:dyDescent="0.25">
      <c r="B64" s="10">
        <v>60</v>
      </c>
      <c r="C64" s="13">
        <v>43951</v>
      </c>
      <c r="D64" s="12">
        <f t="shared" si="0"/>
        <v>307710.05441132985</v>
      </c>
      <c r="E64" s="12">
        <f t="shared" si="1"/>
        <v>282.70302243008706</v>
      </c>
      <c r="F64" s="12">
        <f t="shared" si="8"/>
        <v>84.765883953716141</v>
      </c>
      <c r="G64" s="12">
        <f t="shared" si="8"/>
        <v>10.476682286414368</v>
      </c>
      <c r="H64" s="9"/>
      <c r="I64" s="12">
        <f t="shared" si="3"/>
        <v>33.93308309024134</v>
      </c>
      <c r="J64" s="12">
        <f t="shared" si="4"/>
        <v>7.6346636556021599</v>
      </c>
      <c r="K64" s="12">
        <f t="shared" si="5"/>
        <v>0.94361011473734657</v>
      </c>
    </row>
    <row r="65" spans="2:11" x14ac:dyDescent="0.25">
      <c r="B65" s="10">
        <v>61</v>
      </c>
      <c r="C65" s="11">
        <v>43952</v>
      </c>
      <c r="D65" s="12">
        <f t="shared" si="0"/>
        <v>307672.78212312452</v>
      </c>
      <c r="E65" s="12">
        <f t="shared" si="1"/>
        <v>310.55187655439329</v>
      </c>
      <c r="F65" s="12">
        <f t="shared" si="8"/>
        <v>93.152740285808719</v>
      </c>
      <c r="G65" s="12">
        <f t="shared" si="8"/>
        <v>11.513260035324688</v>
      </c>
      <c r="H65" s="9"/>
      <c r="I65" s="12">
        <f t="shared" si="3"/>
        <v>37.272288205309088</v>
      </c>
      <c r="J65" s="12">
        <f t="shared" si="4"/>
        <v>8.3868563320925826</v>
      </c>
      <c r="K65" s="12">
        <f t="shared" si="5"/>
        <v>1.0365777489103203</v>
      </c>
    </row>
    <row r="66" spans="2:11" x14ac:dyDescent="0.25">
      <c r="B66" s="10">
        <v>62</v>
      </c>
      <c r="C66" s="11">
        <v>43953</v>
      </c>
      <c r="D66" s="12">
        <f t="shared" si="0"/>
        <v>307631.84299260512</v>
      </c>
      <c r="E66" s="12">
        <f t="shared" si="1"/>
        <v>341.13927785530257</v>
      </c>
      <c r="F66" s="12">
        <f t="shared" si="8"/>
        <v>102.36577929025572</v>
      </c>
      <c r="G66" s="12">
        <f t="shared" si="8"/>
        <v>12.651950249357464</v>
      </c>
      <c r="H66" s="9"/>
      <c r="I66" s="12">
        <f t="shared" si="3"/>
        <v>40.939130519389053</v>
      </c>
      <c r="J66" s="12">
        <f t="shared" si="4"/>
        <v>9.2130390044470012</v>
      </c>
      <c r="K66" s="12">
        <f t="shared" si="5"/>
        <v>1.1386902140327766</v>
      </c>
    </row>
    <row r="67" spans="2:11" x14ac:dyDescent="0.25">
      <c r="B67" s="10">
        <v>63</v>
      </c>
      <c r="C67" s="11">
        <v>43954</v>
      </c>
      <c r="D67" s="12">
        <f t="shared" si="0"/>
        <v>307586.87743363873</v>
      </c>
      <c r="E67" s="12">
        <f t="shared" si="1"/>
        <v>374.73352755984433</v>
      </c>
      <c r="F67" s="12">
        <f t="shared" si="8"/>
        <v>112.48624453329636</v>
      </c>
      <c r="G67" s="12">
        <f t="shared" si="8"/>
        <v>13.902794268160241</v>
      </c>
      <c r="H67" s="9"/>
      <c r="I67" s="12">
        <f t="shared" si="3"/>
        <v>44.965558966385153</v>
      </c>
      <c r="J67" s="12">
        <f t="shared" si="4"/>
        <v>10.120465243040643</v>
      </c>
      <c r="K67" s="12">
        <f t="shared" si="5"/>
        <v>1.2508440188027772</v>
      </c>
    </row>
    <row r="68" spans="2:11" x14ac:dyDescent="0.25">
      <c r="B68" s="10">
        <v>64</v>
      </c>
      <c r="C68" s="11">
        <v>43955</v>
      </c>
      <c r="D68" s="12">
        <f t="shared" si="0"/>
        <v>307537.4908367169</v>
      </c>
      <c r="E68" s="12">
        <f t="shared" si="1"/>
        <v>411.62900689636155</v>
      </c>
      <c r="F68" s="12">
        <f t="shared" si="8"/>
        <v>123.60333918423841</v>
      </c>
      <c r="G68" s="12">
        <f t="shared" si="8"/>
        <v>15.276817202546338</v>
      </c>
      <c r="H68" s="9"/>
      <c r="I68" s="12">
        <f t="shared" si="3"/>
        <v>49.386596921845374</v>
      </c>
      <c r="J68" s="12">
        <f t="shared" si="4"/>
        <v>11.117094650942047</v>
      </c>
      <c r="K68" s="12">
        <f t="shared" si="5"/>
        <v>1.3740229343860972</v>
      </c>
    </row>
    <row r="69" spans="2:11" x14ac:dyDescent="0.25">
      <c r="B69" s="10">
        <v>65</v>
      </c>
      <c r="C69" s="11">
        <v>43956</v>
      </c>
      <c r="D69" s="12">
        <f t="shared" si="0"/>
        <v>307483.25020715717</v>
      </c>
      <c r="E69" s="12">
        <f t="shared" si="1"/>
        <v>452.14866955956182</v>
      </c>
      <c r="F69" s="12">
        <f t="shared" si="8"/>
        <v>135.8149997221638</v>
      </c>
      <c r="G69" s="12">
        <f t="shared" si="8"/>
        <v>16.786123561166331</v>
      </c>
      <c r="H69" s="9"/>
      <c r="I69" s="12">
        <f t="shared" si="3"/>
        <v>54.240629559745706</v>
      </c>
      <c r="J69" s="12">
        <f t="shared" si="4"/>
        <v>12.211660537925392</v>
      </c>
      <c r="K69" s="12">
        <f t="shared" si="5"/>
        <v>1.5093063586199937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307423.68049086281</v>
      </c>
      <c r="E70" s="12">
        <f t="shared" ref="E70:E133" si="10">E69+I70-J70-K70</f>
        <v>496.64676353526824</v>
      </c>
      <c r="F70" s="12">
        <f t="shared" ref="F70:G85" si="11">F69+J70</f>
        <v>149.22874358576414</v>
      </c>
      <c r="G70" s="12">
        <f t="shared" si="11"/>
        <v>18.444002016218061</v>
      </c>
      <c r="H70" s="9"/>
      <c r="I70" s="12">
        <f t="shared" ref="I70:I133" si="12">E69*N$6*D69/SUM(D69:F69)*N$7</f>
        <v>59.569716294358514</v>
      </c>
      <c r="J70" s="12">
        <f t="shared" ref="J70:J133" si="13">E69*N$8/N$5</f>
        <v>13.413743863600333</v>
      </c>
      <c r="K70" s="12">
        <f t="shared" ref="K70:K133" si="14">E69*N$9/N$5</f>
        <v>1.6578784550517283</v>
      </c>
    </row>
    <row r="71" spans="2:11" x14ac:dyDescent="0.25">
      <c r="B71" s="10">
        <v>67</v>
      </c>
      <c r="C71" s="11">
        <v>43958</v>
      </c>
      <c r="D71" s="12">
        <f t="shared" si="9"/>
        <v>307358.26056074316</v>
      </c>
      <c r="E71" s="12">
        <f t="shared" si="10"/>
        <v>545.51180153709367</v>
      </c>
      <c r="F71" s="12">
        <f t="shared" si="11"/>
        <v>163.96259757064377</v>
      </c>
      <c r="G71" s="12">
        <f t="shared" si="11"/>
        <v>20.265040149180713</v>
      </c>
      <c r="H71" s="9"/>
      <c r="I71" s="12">
        <f t="shared" si="12"/>
        <v>65.419930119667626</v>
      </c>
      <c r="J71" s="12">
        <f t="shared" si="13"/>
        <v>14.733853984879623</v>
      </c>
      <c r="K71" s="12">
        <f t="shared" si="14"/>
        <v>1.8210381329626519</v>
      </c>
    </row>
    <row r="72" spans="2:11" x14ac:dyDescent="0.25">
      <c r="B72" s="10">
        <v>68</v>
      </c>
      <c r="C72" s="11">
        <v>43959</v>
      </c>
      <c r="D72" s="12">
        <f t="shared" si="9"/>
        <v>307286.4188350382</v>
      </c>
      <c r="E72" s="12">
        <f t="shared" si="10"/>
        <v>599.16980052412293</v>
      </c>
      <c r="F72" s="12">
        <f t="shared" si="11"/>
        <v>180.14611434957754</v>
      </c>
      <c r="G72" s="12">
        <f t="shared" si="11"/>
        <v>22.265250088150058</v>
      </c>
      <c r="H72" s="9"/>
      <c r="I72" s="12">
        <f t="shared" si="12"/>
        <v>71.84172570493233</v>
      </c>
      <c r="J72" s="12">
        <f t="shared" si="13"/>
        <v>16.183516778933775</v>
      </c>
      <c r="K72" s="12">
        <f t="shared" si="14"/>
        <v>2.0002099389693453</v>
      </c>
    </row>
    <row r="73" spans="2:11" x14ac:dyDescent="0.25">
      <c r="B73" s="10">
        <v>69</v>
      </c>
      <c r="C73" s="11">
        <v>43960</v>
      </c>
      <c r="D73" s="12">
        <f t="shared" si="9"/>
        <v>307207.52849690855</v>
      </c>
      <c r="E73" s="12">
        <f t="shared" si="10"/>
        <v>658.08781196965413</v>
      </c>
      <c r="F73" s="12">
        <f t="shared" si="11"/>
        <v>197.92148509845987</v>
      </c>
      <c r="G73" s="12">
        <f t="shared" si="11"/>
        <v>24.462206023405177</v>
      </c>
      <c r="H73" s="9"/>
      <c r="I73" s="12">
        <f t="shared" si="12"/>
        <v>78.890338129668677</v>
      </c>
      <c r="J73" s="12">
        <f t="shared" si="13"/>
        <v>17.775370748882313</v>
      </c>
      <c r="K73" s="12">
        <f t="shared" si="14"/>
        <v>2.1969559352551191</v>
      </c>
    </row>
    <row r="74" spans="2:11" x14ac:dyDescent="0.25">
      <c r="B74" s="10">
        <v>70</v>
      </c>
      <c r="C74" s="11">
        <v>43961</v>
      </c>
      <c r="D74" s="12">
        <f t="shared" si="9"/>
        <v>307120.90228277107</v>
      </c>
      <c r="E74" s="12">
        <f t="shared" si="10"/>
        <v>722.77776570813023</v>
      </c>
      <c r="F74" s="12">
        <f t="shared" si="11"/>
        <v>217.4447568535596</v>
      </c>
      <c r="G74" s="12">
        <f t="shared" si="11"/>
        <v>26.875194667293911</v>
      </c>
      <c r="H74" s="9"/>
      <c r="I74" s="12">
        <f t="shared" si="12"/>
        <v>86.626214137464515</v>
      </c>
      <c r="J74" s="12">
        <f t="shared" si="13"/>
        <v>19.523271755099739</v>
      </c>
      <c r="K74" s="12">
        <f t="shared" si="14"/>
        <v>2.4129886438887338</v>
      </c>
    </row>
    <row r="75" spans="2:11" x14ac:dyDescent="0.25">
      <c r="B75" s="10">
        <v>71</v>
      </c>
      <c r="C75" s="11">
        <v>43962</v>
      </c>
      <c r="D75" s="12">
        <f t="shared" si="9"/>
        <v>307025.78680502402</v>
      </c>
      <c r="E75" s="12">
        <f t="shared" si="10"/>
        <v>793.80065126491706</v>
      </c>
      <c r="F75" s="12">
        <f t="shared" si="11"/>
        <v>238.8871639029008</v>
      </c>
      <c r="G75" s="12">
        <f t="shared" si="11"/>
        <v>29.525379808223725</v>
      </c>
      <c r="H75" s="9"/>
      <c r="I75" s="12">
        <f t="shared" si="12"/>
        <v>95.115477747057838</v>
      </c>
      <c r="J75" s="12">
        <f t="shared" si="13"/>
        <v>21.442407049341192</v>
      </c>
      <c r="K75" s="12">
        <f t="shared" si="14"/>
        <v>2.6501851409298132</v>
      </c>
    </row>
    <row r="76" spans="2:11" x14ac:dyDescent="0.25">
      <c r="B76" s="10">
        <v>72</v>
      </c>
      <c r="C76" s="11">
        <v>43963</v>
      </c>
      <c r="D76" s="12">
        <f t="shared" si="9"/>
        <v>306921.35637305351</v>
      </c>
      <c r="E76" s="12">
        <f t="shared" si="10"/>
        <v>871.77106152660485</v>
      </c>
      <c r="F76" s="12">
        <f t="shared" si="11"/>
        <v>262.43658322376001</v>
      </c>
      <c r="G76" s="12">
        <f t="shared" si="11"/>
        <v>32.435982196195091</v>
      </c>
      <c r="H76" s="9"/>
      <c r="I76" s="12">
        <f t="shared" si="12"/>
        <v>104.43043197051843</v>
      </c>
      <c r="J76" s="12">
        <f t="shared" si="13"/>
        <v>23.549419320859204</v>
      </c>
      <c r="K76" s="12">
        <f t="shared" si="14"/>
        <v>2.9106023879713652</v>
      </c>
    </row>
    <row r="77" spans="2:11" x14ac:dyDescent="0.25">
      <c r="B77" s="10">
        <v>73</v>
      </c>
      <c r="C77" s="11">
        <v>43964</v>
      </c>
      <c r="D77" s="12">
        <f t="shared" si="9"/>
        <v>306806.70627481397</v>
      </c>
      <c r="E77" s="12">
        <f t="shared" si="10"/>
        <v>957.36212438189477</v>
      </c>
      <c r="F77" s="12">
        <f t="shared" si="11"/>
        <v>288.29912471571595</v>
      </c>
      <c r="G77" s="12">
        <f t="shared" si="11"/>
        <v>35.632476088459313</v>
      </c>
      <c r="H77" s="9"/>
      <c r="I77" s="12">
        <f t="shared" si="12"/>
        <v>114.6500982395102</v>
      </c>
      <c r="J77" s="12">
        <f t="shared" si="13"/>
        <v>25.862541491955941</v>
      </c>
      <c r="K77" s="12">
        <f t="shared" si="14"/>
        <v>3.1964938922642205</v>
      </c>
    </row>
    <row r="78" spans="2:11" x14ac:dyDescent="0.25">
      <c r="B78" s="10">
        <v>74</v>
      </c>
      <c r="C78" s="11">
        <v>43965</v>
      </c>
      <c r="D78" s="12">
        <f t="shared" si="9"/>
        <v>306680.84547989775</v>
      </c>
      <c r="E78" s="12">
        <f t="shared" si="10"/>
        <v>1051.3108484854092</v>
      </c>
      <c r="F78" s="12">
        <f t="shared" si="11"/>
        <v>316.70086773904546</v>
      </c>
      <c r="G78" s="12">
        <f t="shared" si="11"/>
        <v>39.142803877859599</v>
      </c>
      <c r="H78" s="9"/>
      <c r="I78" s="12">
        <f t="shared" si="12"/>
        <v>125.86079491624434</v>
      </c>
      <c r="J78" s="12">
        <f t="shared" si="13"/>
        <v>28.401743023329541</v>
      </c>
      <c r="K78" s="12">
        <f t="shared" si="14"/>
        <v>3.510327789400284</v>
      </c>
    </row>
    <row r="79" spans="2:11" x14ac:dyDescent="0.25">
      <c r="B79" s="10">
        <v>75</v>
      </c>
      <c r="C79" s="11">
        <v>43966</v>
      </c>
      <c r="D79" s="12">
        <f t="shared" si="9"/>
        <v>306542.68872395012</v>
      </c>
      <c r="E79" s="12">
        <f t="shared" si="10"/>
        <v>1154.4239094835277</v>
      </c>
      <c r="F79" s="12">
        <f t="shared" si="11"/>
        <v>347.88975624411262</v>
      </c>
      <c r="G79" s="12">
        <f t="shared" si="11"/>
        <v>42.997610322306102</v>
      </c>
      <c r="H79" s="9"/>
      <c r="I79" s="12">
        <f t="shared" si="12"/>
        <v>138.15675594763204</v>
      </c>
      <c r="J79" s="12">
        <f t="shared" si="13"/>
        <v>31.188888505067137</v>
      </c>
      <c r="K79" s="12">
        <f t="shared" si="14"/>
        <v>3.854806444446504</v>
      </c>
    </row>
    <row r="80" spans="2:11" x14ac:dyDescent="0.25">
      <c r="B80" s="10">
        <v>76</v>
      </c>
      <c r="C80" s="11">
        <v>43967</v>
      </c>
      <c r="D80" s="12">
        <f t="shared" si="9"/>
        <v>306391.04793366254</v>
      </c>
      <c r="E80" s="12">
        <f t="shared" si="10"/>
        <v>1267.5839027883517</v>
      </c>
      <c r="F80" s="12">
        <f t="shared" si="11"/>
        <v>382.13766555879062</v>
      </c>
      <c r="G80" s="12">
        <f t="shared" si="11"/>
        <v>47.230497990412374</v>
      </c>
      <c r="H80" s="9"/>
      <c r="I80" s="12">
        <f t="shared" si="12"/>
        <v>151.64079028760818</v>
      </c>
      <c r="J80" s="12">
        <f t="shared" si="13"/>
        <v>34.247909314677983</v>
      </c>
      <c r="K80" s="12">
        <f t="shared" si="14"/>
        <v>4.2328876681062715</v>
      </c>
    </row>
    <row r="81" spans="2:11" x14ac:dyDescent="0.25">
      <c r="B81" s="10">
        <v>77</v>
      </c>
      <c r="C81" s="11">
        <v>43968</v>
      </c>
      <c r="D81" s="12">
        <f t="shared" si="9"/>
        <v>306224.62295152462</v>
      </c>
      <c r="E81" s="12">
        <f t="shared" si="10"/>
        <v>1391.7560881666816</v>
      </c>
      <c r="F81" s="12">
        <f t="shared" si="11"/>
        <v>419.74265467484503</v>
      </c>
      <c r="G81" s="12">
        <f t="shared" si="11"/>
        <v>51.878305633969667</v>
      </c>
      <c r="H81" s="9"/>
      <c r="I81" s="12">
        <f t="shared" si="12"/>
        <v>166.42498213794167</v>
      </c>
      <c r="J81" s="12">
        <f t="shared" si="13"/>
        <v>37.604989116054426</v>
      </c>
      <c r="K81" s="12">
        <f t="shared" si="14"/>
        <v>4.6478076435572939</v>
      </c>
    </row>
    <row r="82" spans="2:11" x14ac:dyDescent="0.25">
      <c r="B82" s="10">
        <v>78</v>
      </c>
      <c r="C82" s="11">
        <v>43969</v>
      </c>
      <c r="D82" s="12">
        <f t="shared" si="9"/>
        <v>306041.99152021279</v>
      </c>
      <c r="E82" s="12">
        <f t="shared" si="10"/>
        <v>1527.9956498729703</v>
      </c>
      <c r="F82" s="12">
        <f t="shared" si="11"/>
        <v>461.03141862378993</v>
      </c>
      <c r="G82" s="12">
        <f t="shared" si="11"/>
        <v>56.981411290580837</v>
      </c>
      <c r="H82" s="9"/>
      <c r="I82" s="12">
        <f t="shared" si="12"/>
        <v>182.63143131184475</v>
      </c>
      <c r="J82" s="12">
        <f t="shared" si="13"/>
        <v>41.288763948944883</v>
      </c>
      <c r="K82" s="12">
        <f t="shared" si="14"/>
        <v>5.103105656611171</v>
      </c>
    </row>
    <row r="83" spans="2:11" x14ac:dyDescent="0.25">
      <c r="B83" s="10">
        <v>79</v>
      </c>
      <c r="C83" s="11">
        <v>43970</v>
      </c>
      <c r="D83" s="12">
        <f t="shared" si="9"/>
        <v>305841.59848814079</v>
      </c>
      <c r="E83" s="12">
        <f t="shared" si="10"/>
        <v>1677.4554936158697</v>
      </c>
      <c r="F83" s="12">
        <f t="shared" si="11"/>
        <v>506.36195623668806</v>
      </c>
      <c r="G83" s="12">
        <f t="shared" si="11"/>
        <v>62.584062006781735</v>
      </c>
      <c r="H83" s="9"/>
      <c r="I83" s="12">
        <f t="shared" si="12"/>
        <v>200.39303207199842</v>
      </c>
      <c r="J83" s="12">
        <f t="shared" si="13"/>
        <v>45.330537612898112</v>
      </c>
      <c r="K83" s="12">
        <f t="shared" si="14"/>
        <v>5.6026507162008965</v>
      </c>
    </row>
    <row r="84" spans="2:11" x14ac:dyDescent="0.25">
      <c r="B84" s="10">
        <v>80</v>
      </c>
      <c r="C84" s="11">
        <v>43971</v>
      </c>
      <c r="D84" s="12">
        <f t="shared" si="9"/>
        <v>305621.74420054664</v>
      </c>
      <c r="E84" s="12">
        <f t="shared" si="10"/>
        <v>1841.3945980895098</v>
      </c>
      <c r="F84" s="12">
        <f t="shared" si="11"/>
        <v>556.1264692139589</v>
      </c>
      <c r="G84" s="12">
        <f t="shared" si="11"/>
        <v>68.734732150039932</v>
      </c>
      <c r="H84" s="9"/>
      <c r="I84" s="12">
        <f t="shared" si="12"/>
        <v>219.85428759416922</v>
      </c>
      <c r="J84" s="12">
        <f t="shared" si="13"/>
        <v>49.764512977270797</v>
      </c>
      <c r="K84" s="12">
        <f t="shared" si="14"/>
        <v>6.1506701432581945</v>
      </c>
    </row>
    <row r="85" spans="2:11" x14ac:dyDescent="0.25">
      <c r="B85" s="10">
        <v>81</v>
      </c>
      <c r="C85" s="11">
        <v>43972</v>
      </c>
      <c r="D85" s="12">
        <f t="shared" si="9"/>
        <v>305380.57204483455</v>
      </c>
      <c r="E85" s="12">
        <f t="shared" si="10"/>
        <v>2021.1869338652932</v>
      </c>
      <c r="F85" s="12">
        <f t="shared" si="11"/>
        <v>610.75450895728102</v>
      </c>
      <c r="G85" s="12">
        <f t="shared" si="11"/>
        <v>75.486512343034804</v>
      </c>
      <c r="H85" s="9"/>
      <c r="I85" s="12">
        <f t="shared" si="12"/>
        <v>241.17215571210014</v>
      </c>
      <c r="J85" s="12">
        <f t="shared" si="13"/>
        <v>54.62803974332212</v>
      </c>
      <c r="K85" s="12">
        <f t="shared" si="14"/>
        <v>6.7517801929948753</v>
      </c>
    </row>
    <row r="86" spans="2:11" x14ac:dyDescent="0.25">
      <c r="B86" s="10">
        <v>82</v>
      </c>
      <c r="C86" s="11">
        <v>43973</v>
      </c>
      <c r="D86" s="12">
        <f t="shared" si="9"/>
        <v>305116.05512507976</v>
      </c>
      <c r="E86" s="12">
        <f t="shared" si="10"/>
        <v>2218.3309558245528</v>
      </c>
      <c r="F86" s="12">
        <f t="shared" ref="F86:G101" si="15">F85+J86</f>
        <v>670.71638799528466</v>
      </c>
      <c r="G86" s="12">
        <f t="shared" si="15"/>
        <v>82.897531100540888</v>
      </c>
      <c r="H86" s="9"/>
      <c r="I86" s="12">
        <f t="shared" si="12"/>
        <v>264.51691975476916</v>
      </c>
      <c r="J86" s="12">
        <f t="shared" si="13"/>
        <v>59.961879038003687</v>
      </c>
      <c r="K86" s="12">
        <f t="shared" si="14"/>
        <v>7.4110187575060822</v>
      </c>
    </row>
    <row r="87" spans="2:11" x14ac:dyDescent="0.25">
      <c r="B87" s="10">
        <v>83</v>
      </c>
      <c r="C87" s="11">
        <v>43974</v>
      </c>
      <c r="D87" s="12">
        <f t="shared" si="9"/>
        <v>304825.98204904742</v>
      </c>
      <c r="E87" s="12">
        <f t="shared" si="10"/>
        <v>2434.4596666627112</v>
      </c>
      <c r="F87" s="12">
        <f t="shared" si="15"/>
        <v>736.52687301807975</v>
      </c>
      <c r="G87" s="12">
        <f t="shared" si="15"/>
        <v>91.031411271897582</v>
      </c>
      <c r="H87" s="9"/>
      <c r="I87" s="12">
        <f t="shared" si="12"/>
        <v>290.07307603231033</v>
      </c>
      <c r="J87" s="12">
        <f t="shared" si="13"/>
        <v>65.810485022795064</v>
      </c>
      <c r="K87" s="12">
        <f t="shared" si="14"/>
        <v>8.1338801713567008</v>
      </c>
    </row>
    <row r="88" spans="2:11" x14ac:dyDescent="0.25">
      <c r="B88" s="10">
        <v>84</v>
      </c>
      <c r="C88" s="11">
        <v>43975</v>
      </c>
      <c r="D88" s="12">
        <f t="shared" si="9"/>
        <v>304507.94182225381</v>
      </c>
      <c r="E88" s="12">
        <f t="shared" si="10"/>
        <v>2671.3512379008926</v>
      </c>
      <c r="F88" s="12">
        <f t="shared" si="15"/>
        <v>808.74917646240681</v>
      </c>
      <c r="G88" s="12">
        <f t="shared" si="15"/>
        <v>99.957763382994202</v>
      </c>
      <c r="H88" s="9"/>
      <c r="I88" s="12">
        <f t="shared" si="12"/>
        <v>318.04022679360514</v>
      </c>
      <c r="J88" s="12">
        <f t="shared" si="13"/>
        <v>72.222303444327096</v>
      </c>
      <c r="K88" s="12">
        <f t="shared" si="14"/>
        <v>8.926352111096616</v>
      </c>
    </row>
    <row r="89" spans="2:11" x14ac:dyDescent="0.25">
      <c r="B89" s="10">
        <v>85</v>
      </c>
      <c r="C89" s="11">
        <v>43976</v>
      </c>
      <c r="D89" s="12">
        <f t="shared" si="9"/>
        <v>304159.30785806221</v>
      </c>
      <c r="E89" s="12">
        <f t="shared" si="10"/>
        <v>2930.9401608291046</v>
      </c>
      <c r="F89" s="12">
        <f t="shared" si="15"/>
        <v>887.99926318679991</v>
      </c>
      <c r="G89" s="12">
        <f t="shared" si="15"/>
        <v>109.75271792196415</v>
      </c>
      <c r="H89" s="9"/>
      <c r="I89" s="12">
        <f t="shared" si="12"/>
        <v>348.63396419157499</v>
      </c>
      <c r="J89" s="12">
        <f t="shared" si="13"/>
        <v>79.250086724393142</v>
      </c>
      <c r="K89" s="12">
        <f t="shared" si="14"/>
        <v>9.7949545389699484</v>
      </c>
    </row>
    <row r="90" spans="2:11" x14ac:dyDescent="0.25">
      <c r="B90" s="10">
        <v>86</v>
      </c>
      <c r="C90" s="11">
        <v>43977</v>
      </c>
      <c r="D90" s="12">
        <f t="shared" si="9"/>
        <v>303777.221131192</v>
      </c>
      <c r="E90" s="12">
        <f t="shared" si="10"/>
        <v>3215.3288823383514</v>
      </c>
      <c r="F90" s="12">
        <f t="shared" si="15"/>
        <v>974.95048795806338</v>
      </c>
      <c r="G90" s="12">
        <f t="shared" si="15"/>
        <v>120.49949851167088</v>
      </c>
      <c r="H90" s="9"/>
      <c r="I90" s="12">
        <f t="shared" si="12"/>
        <v>382.08672687021681</v>
      </c>
      <c r="J90" s="12">
        <f t="shared" si="13"/>
        <v>86.951224771263426</v>
      </c>
      <c r="K90" s="12">
        <f t="shared" si="14"/>
        <v>10.746780589706727</v>
      </c>
    </row>
    <row r="91" spans="2:11" x14ac:dyDescent="0.25">
      <c r="B91" s="10">
        <v>87</v>
      </c>
      <c r="C91" s="11">
        <v>43978</v>
      </c>
      <c r="D91" s="12">
        <f t="shared" si="9"/>
        <v>303358.57252504752</v>
      </c>
      <c r="E91" s="12">
        <f t="shared" si="10"/>
        <v>3526.7998590715542</v>
      </c>
      <c r="F91" s="12">
        <f t="shared" si="15"/>
        <v>1070.3385781341012</v>
      </c>
      <c r="G91" s="12">
        <f t="shared" si="15"/>
        <v>132.2890377469115</v>
      </c>
      <c r="H91" s="9"/>
      <c r="I91" s="12">
        <f t="shared" si="12"/>
        <v>418.64860614448133</v>
      </c>
      <c r="J91" s="12">
        <f t="shared" si="13"/>
        <v>95.38809017603775</v>
      </c>
      <c r="K91" s="12">
        <f t="shared" si="14"/>
        <v>11.789539235240632</v>
      </c>
    </row>
    <row r="92" spans="2:11" x14ac:dyDescent="0.25">
      <c r="B92" s="10">
        <v>88</v>
      </c>
      <c r="C92" s="11">
        <v>43979</v>
      </c>
      <c r="D92" s="12">
        <f t="shared" si="9"/>
        <v>302899.98445175536</v>
      </c>
      <c r="E92" s="12">
        <f t="shared" si="10"/>
        <v>3867.8279370613132</v>
      </c>
      <c r="F92" s="12">
        <f t="shared" si="15"/>
        <v>1174.9669739532239</v>
      </c>
      <c r="G92" s="12">
        <f t="shared" si="15"/>
        <v>145.22063723017388</v>
      </c>
      <c r="H92" s="9"/>
      <c r="I92" s="12">
        <f t="shared" si="12"/>
        <v>458.58807329214403</v>
      </c>
      <c r="J92" s="12">
        <f t="shared" si="13"/>
        <v>104.62839581912276</v>
      </c>
      <c r="K92" s="12">
        <f t="shared" si="14"/>
        <v>12.931599483262376</v>
      </c>
    </row>
    <row r="93" spans="2:11" x14ac:dyDescent="0.25">
      <c r="B93" s="10">
        <v>89</v>
      </c>
      <c r="C93" s="11">
        <v>43980</v>
      </c>
      <c r="D93" s="12">
        <f t="shared" si="9"/>
        <v>302397.79185862577</v>
      </c>
      <c r="E93" s="12">
        <f t="shared" si="10"/>
        <v>4241.0929322888751</v>
      </c>
      <c r="F93" s="12">
        <f t="shared" si="15"/>
        <v>1289.712536086043</v>
      </c>
      <c r="G93" s="12">
        <f t="shared" si="15"/>
        <v>159.4026729993987</v>
      </c>
      <c r="H93" s="9"/>
      <c r="I93" s="12">
        <f t="shared" si="12"/>
        <v>502.19259312960639</v>
      </c>
      <c r="J93" s="12">
        <f t="shared" si="13"/>
        <v>114.74556213281895</v>
      </c>
      <c r="K93" s="12">
        <f t="shared" si="14"/>
        <v>14.182035769224827</v>
      </c>
    </row>
    <row r="94" spans="2:11" x14ac:dyDescent="0.25">
      <c r="B94" s="10">
        <v>90</v>
      </c>
      <c r="C94" s="11">
        <v>43981</v>
      </c>
      <c r="D94" s="12">
        <f t="shared" si="9"/>
        <v>301848.02277690358</v>
      </c>
      <c r="E94" s="12">
        <f t="shared" si="10"/>
        <v>4649.4922496014196</v>
      </c>
      <c r="F94" s="12">
        <f t="shared" si="15"/>
        <v>1415.5316264106129</v>
      </c>
      <c r="G94" s="12">
        <f t="shared" si="15"/>
        <v>174.95334708445793</v>
      </c>
      <c r="H94" s="9"/>
      <c r="I94" s="12">
        <f t="shared" si="12"/>
        <v>549.76908172217384</v>
      </c>
      <c r="J94" s="12">
        <f t="shared" si="13"/>
        <v>125.81909032456994</v>
      </c>
      <c r="K94" s="12">
        <f t="shared" si="14"/>
        <v>15.550674085059223</v>
      </c>
    </row>
    <row r="95" spans="2:11" x14ac:dyDescent="0.25">
      <c r="B95" s="10">
        <v>91</v>
      </c>
      <c r="C95" s="13">
        <v>43982</v>
      </c>
      <c r="D95" s="12">
        <f t="shared" si="9"/>
        <v>301246.37861918338</v>
      </c>
      <c r="E95" s="12">
        <f t="shared" si="10"/>
        <v>5096.1533323348986</v>
      </c>
      <c r="F95" s="12">
        <f t="shared" si="15"/>
        <v>1553.4665631487883</v>
      </c>
      <c r="G95" s="12">
        <f t="shared" si="15"/>
        <v>192.00148533299648</v>
      </c>
      <c r="H95" s="9"/>
      <c r="I95" s="12">
        <f t="shared" si="12"/>
        <v>601.64415772019277</v>
      </c>
      <c r="J95" s="12">
        <f t="shared" si="13"/>
        <v>137.93493673817545</v>
      </c>
      <c r="K95" s="12">
        <f t="shared" si="14"/>
        <v>17.048138248538553</v>
      </c>
    </row>
    <row r="96" spans="2:11" x14ac:dyDescent="0.25">
      <c r="B96" s="10">
        <v>92</v>
      </c>
      <c r="C96" s="11">
        <v>43983</v>
      </c>
      <c r="D96" s="12">
        <f t="shared" si="9"/>
        <v>300588.21449180559</v>
      </c>
      <c r="E96" s="12">
        <f t="shared" si="10"/>
        <v>5584.4456819682091</v>
      </c>
      <c r="F96" s="12">
        <f t="shared" si="15"/>
        <v>1704.6524453413904</v>
      </c>
      <c r="G96" s="12">
        <f t="shared" si="15"/>
        <v>210.68738088489113</v>
      </c>
      <c r="H96" s="9"/>
      <c r="I96" s="12">
        <f t="shared" si="12"/>
        <v>658.16412737780672</v>
      </c>
      <c r="J96" s="12">
        <f t="shared" si="13"/>
        <v>151.18588219260198</v>
      </c>
      <c r="K96" s="12">
        <f t="shared" si="14"/>
        <v>18.685895551894646</v>
      </c>
    </row>
    <row r="97" spans="2:11" x14ac:dyDescent="0.25">
      <c r="B97" s="10">
        <v>93</v>
      </c>
      <c r="C97" s="11">
        <v>43984</v>
      </c>
      <c r="D97" s="12">
        <f t="shared" si="9"/>
        <v>299868.51985900209</v>
      </c>
      <c r="E97" s="12">
        <f t="shared" si="10"/>
        <v>6117.9921253727844</v>
      </c>
      <c r="F97" s="12">
        <f t="shared" si="15"/>
        <v>1870.3243339064472</v>
      </c>
      <c r="G97" s="12">
        <f t="shared" si="15"/>
        <v>231.16368171877457</v>
      </c>
      <c r="H97" s="9"/>
      <c r="I97" s="12">
        <f t="shared" si="12"/>
        <v>719.69463280351567</v>
      </c>
      <c r="J97" s="12">
        <f t="shared" si="13"/>
        <v>165.67188856505683</v>
      </c>
      <c r="K97" s="12">
        <f t="shared" si="14"/>
        <v>20.47630083388345</v>
      </c>
    </row>
    <row r="98" spans="2:11" x14ac:dyDescent="0.25">
      <c r="B98" s="10">
        <v>94</v>
      </c>
      <c r="C98" s="11">
        <v>43985</v>
      </c>
      <c r="D98" s="12">
        <f t="shared" si="9"/>
        <v>299081.89997752995</v>
      </c>
      <c r="E98" s="12">
        <f t="shared" si="10"/>
        <v>6700.6789359991917</v>
      </c>
      <c r="F98" s="12">
        <f t="shared" si="15"/>
        <v>2051.8247669591733</v>
      </c>
      <c r="G98" s="12">
        <f t="shared" si="15"/>
        <v>253.59631951180813</v>
      </c>
      <c r="H98" s="9"/>
      <c r="I98" s="12">
        <f t="shared" si="12"/>
        <v>786.61988147216732</v>
      </c>
      <c r="J98" s="12">
        <f t="shared" si="13"/>
        <v>181.50043305272592</v>
      </c>
      <c r="K98" s="12">
        <f t="shared" si="14"/>
        <v>22.432637793033564</v>
      </c>
    </row>
    <row r="99" spans="2:11" x14ac:dyDescent="0.25">
      <c r="B99" s="10">
        <v>95</v>
      </c>
      <c r="C99" s="11">
        <v>43986</v>
      </c>
      <c r="D99" s="12">
        <f t="shared" si="9"/>
        <v>298222.55861489085</v>
      </c>
      <c r="E99" s="12">
        <f t="shared" si="10"/>
        <v>7336.6643341049767</v>
      </c>
      <c r="F99" s="12">
        <f t="shared" si="15"/>
        <v>2250.6115753938161</v>
      </c>
      <c r="G99" s="12">
        <f t="shared" si="15"/>
        <v>278.16547561047184</v>
      </c>
      <c r="H99" s="9"/>
      <c r="I99" s="12">
        <f t="shared" si="12"/>
        <v>859.34136263909124</v>
      </c>
      <c r="J99" s="12">
        <f t="shared" si="13"/>
        <v>198.78680843464267</v>
      </c>
      <c r="K99" s="12">
        <f t="shared" si="14"/>
        <v>24.569156098663726</v>
      </c>
    </row>
    <row r="100" spans="2:11" x14ac:dyDescent="0.25">
      <c r="B100" s="10">
        <v>96</v>
      </c>
      <c r="C100" s="11">
        <v>43987</v>
      </c>
      <c r="D100" s="12">
        <f t="shared" si="9"/>
        <v>297284.28267159913</v>
      </c>
      <c r="E100" s="12">
        <f t="shared" si="10"/>
        <v>8030.3847995931746</v>
      </c>
      <c r="F100" s="12">
        <f t="shared" si="15"/>
        <v>2468.2659506389305</v>
      </c>
      <c r="G100" s="12">
        <f t="shared" si="15"/>
        <v>305.06657816885678</v>
      </c>
      <c r="H100" s="9"/>
      <c r="I100" s="12">
        <f t="shared" si="12"/>
        <v>938.2759432916971</v>
      </c>
      <c r="J100" s="12">
        <f t="shared" si="13"/>
        <v>217.6543752451143</v>
      </c>
      <c r="K100" s="12">
        <f t="shared" si="14"/>
        <v>26.901102558384938</v>
      </c>
    </row>
    <row r="101" spans="2:11" x14ac:dyDescent="0.25">
      <c r="B101" s="10">
        <v>97</v>
      </c>
      <c r="C101" s="11">
        <v>43988</v>
      </c>
      <c r="D101" s="12">
        <f t="shared" si="9"/>
        <v>296260.42944854964</v>
      </c>
      <c r="E101" s="12">
        <f t="shared" si="10"/>
        <v>8786.5585293228778</v>
      </c>
      <c r="F101" s="12">
        <f t="shared" si="15"/>
        <v>2706.5006996935281</v>
      </c>
      <c r="G101" s="12">
        <f t="shared" si="15"/>
        <v>334.5113224340318</v>
      </c>
      <c r="H101" s="9"/>
      <c r="I101" s="12">
        <f t="shared" si="12"/>
        <v>1023.8532230494758</v>
      </c>
      <c r="J101" s="12">
        <f t="shared" si="13"/>
        <v>238.2347490545975</v>
      </c>
      <c r="K101" s="12">
        <f t="shared" si="14"/>
        <v>29.444744265175</v>
      </c>
    </row>
    <row r="102" spans="2:11" x14ac:dyDescent="0.25">
      <c r="B102" s="10">
        <v>98</v>
      </c>
      <c r="C102" s="11">
        <v>43989</v>
      </c>
      <c r="D102" s="12">
        <f t="shared" si="9"/>
        <v>295143.91743398755</v>
      </c>
      <c r="E102" s="12">
        <f t="shared" si="10"/>
        <v>9610.1852595742203</v>
      </c>
      <c r="F102" s="12">
        <f t="shared" ref="F102:G117" si="16">F101+J102</f>
        <v>2967.1686027301066</v>
      </c>
      <c r="G102" s="12">
        <f t="shared" si="16"/>
        <v>366.72870370821573</v>
      </c>
      <c r="H102" s="9"/>
      <c r="I102" s="12">
        <f t="shared" si="12"/>
        <v>1116.5120145621067</v>
      </c>
      <c r="J102" s="12">
        <f t="shared" si="13"/>
        <v>260.66790303657871</v>
      </c>
      <c r="K102" s="12">
        <f t="shared" si="14"/>
        <v>32.217381274183914</v>
      </c>
    </row>
    <row r="103" spans="2:11" x14ac:dyDescent="0.25">
      <c r="B103" s="10">
        <v>99</v>
      </c>
      <c r="C103" s="11">
        <v>43990</v>
      </c>
      <c r="D103" s="12">
        <f t="shared" si="9"/>
        <v>293927.22162971838</v>
      </c>
      <c r="E103" s="12">
        <f t="shared" si="10"/>
        <v>10506.541555190928</v>
      </c>
      <c r="F103" s="12">
        <f t="shared" si="16"/>
        <v>3252.2707654308083</v>
      </c>
      <c r="G103" s="12">
        <f t="shared" si="16"/>
        <v>401.9660496599879</v>
      </c>
      <c r="H103" s="9"/>
      <c r="I103" s="12">
        <f t="shared" si="12"/>
        <v>1216.6958042691817</v>
      </c>
      <c r="J103" s="12">
        <f t="shared" si="13"/>
        <v>285.10216270070185</v>
      </c>
      <c r="K103" s="12">
        <f t="shared" si="14"/>
        <v>35.237345951772177</v>
      </c>
    </row>
    <row r="104" spans="2:11" x14ac:dyDescent="0.25">
      <c r="B104" s="10">
        <v>100</v>
      </c>
      <c r="C104" s="11">
        <v>43991</v>
      </c>
      <c r="D104" s="12">
        <f t="shared" si="9"/>
        <v>292602.37459075468</v>
      </c>
      <c r="E104" s="12">
        <f t="shared" si="10"/>
        <v>11481.170542314914</v>
      </c>
      <c r="F104" s="12">
        <f t="shared" si="16"/>
        <v>3563.9648315681393</v>
      </c>
      <c r="G104" s="12">
        <f t="shared" si="16"/>
        <v>440.49003536235466</v>
      </c>
      <c r="H104" s="9"/>
      <c r="I104" s="12">
        <f t="shared" si="12"/>
        <v>1324.8470389636832</v>
      </c>
      <c r="J104" s="12">
        <f t="shared" si="13"/>
        <v>311.69406613733082</v>
      </c>
      <c r="K104" s="12">
        <f t="shared" si="14"/>
        <v>38.523985702366772</v>
      </c>
    </row>
    <row r="105" spans="2:11" x14ac:dyDescent="0.25">
      <c r="B105" s="10">
        <v>101</v>
      </c>
      <c r="C105" s="11">
        <v>43992</v>
      </c>
      <c r="D105" s="12">
        <f t="shared" si="9"/>
        <v>291160.97451289394</v>
      </c>
      <c r="E105" s="12">
        <f t="shared" si="10"/>
        <v>12539.864935431802</v>
      </c>
      <c r="F105" s="12">
        <f t="shared" si="16"/>
        <v>3904.5728909901482</v>
      </c>
      <c r="G105" s="12">
        <f t="shared" si="16"/>
        <v>482.58766068417606</v>
      </c>
      <c r="H105" s="9"/>
      <c r="I105" s="12">
        <f t="shared" si="12"/>
        <v>1441.4000778607192</v>
      </c>
      <c r="J105" s="12">
        <f t="shared" si="13"/>
        <v>340.60805942200909</v>
      </c>
      <c r="K105" s="12">
        <f t="shared" si="14"/>
        <v>42.09762532182139</v>
      </c>
    </row>
    <row r="106" spans="2:11" x14ac:dyDescent="0.25">
      <c r="B106" s="10">
        <v>102</v>
      </c>
      <c r="C106" s="11">
        <v>43993</v>
      </c>
      <c r="D106" s="12">
        <f t="shared" si="9"/>
        <v>289594.20186329586</v>
      </c>
      <c r="E106" s="12">
        <f t="shared" si="10"/>
        <v>13688.642087182128</v>
      </c>
      <c r="F106" s="12">
        <f t="shared" si="16"/>
        <v>4276.5888840746247</v>
      </c>
      <c r="G106" s="12">
        <f t="shared" si="16"/>
        <v>528.56716544742608</v>
      </c>
      <c r="H106" s="9"/>
      <c r="I106" s="12">
        <f t="shared" si="12"/>
        <v>1566.7726495980532</v>
      </c>
      <c r="J106" s="12">
        <f t="shared" si="13"/>
        <v>372.01599308447675</v>
      </c>
      <c r="K106" s="12">
        <f t="shared" si="14"/>
        <v>45.979504763249984</v>
      </c>
    </row>
    <row r="107" spans="2:11" x14ac:dyDescent="0.25">
      <c r="B107" s="10">
        <v>103</v>
      </c>
      <c r="C107" s="11">
        <v>43994</v>
      </c>
      <c r="D107" s="12">
        <f t="shared" si="9"/>
        <v>287892.84620232671</v>
      </c>
      <c r="E107" s="12">
        <f t="shared" si="10"/>
        <v>14933.709678578572</v>
      </c>
      <c r="F107" s="12">
        <f t="shared" si="16"/>
        <v>4682.6852659943615</v>
      </c>
      <c r="G107" s="12">
        <f t="shared" si="16"/>
        <v>578.75885310042725</v>
      </c>
      <c r="H107" s="9"/>
      <c r="I107" s="12">
        <f t="shared" si="12"/>
        <v>1701.355660969183</v>
      </c>
      <c r="J107" s="12">
        <f t="shared" si="13"/>
        <v>406.09638191973647</v>
      </c>
      <c r="K107" s="12">
        <f t="shared" si="14"/>
        <v>50.191687653001182</v>
      </c>
    </row>
    <row r="108" spans="2:11" x14ac:dyDescent="0.25">
      <c r="B108" s="10">
        <v>104</v>
      </c>
      <c r="C108" s="11">
        <v>43995</v>
      </c>
      <c r="D108" s="12">
        <f t="shared" si="9"/>
        <v>286047.34498052561</v>
      </c>
      <c r="E108" s="12">
        <f t="shared" si="10"/>
        <v>16281.420577760375</v>
      </c>
      <c r="F108" s="12">
        <f t="shared" si="16"/>
        <v>5125.7186531255256</v>
      </c>
      <c r="G108" s="12">
        <f t="shared" si="16"/>
        <v>633.51578858854873</v>
      </c>
      <c r="H108" s="9"/>
      <c r="I108" s="12">
        <f t="shared" si="12"/>
        <v>1845.5012218010888</v>
      </c>
      <c r="J108" s="12">
        <f t="shared" si="13"/>
        <v>443.03338713116426</v>
      </c>
      <c r="K108" s="12">
        <f t="shared" si="14"/>
        <v>54.756935488121478</v>
      </c>
    </row>
    <row r="109" spans="2:11" x14ac:dyDescent="0.25">
      <c r="B109" s="10">
        <v>105</v>
      </c>
      <c r="C109" s="11">
        <v>43996</v>
      </c>
      <c r="D109" s="12">
        <f t="shared" si="9"/>
        <v>284047.83619932923</v>
      </c>
      <c r="E109" s="12">
        <f t="shared" si="10"/>
        <v>17738.215339698054</v>
      </c>
      <c r="F109" s="12">
        <f t="shared" si="16"/>
        <v>5608.7341302657496</v>
      </c>
      <c r="G109" s="12">
        <f t="shared" si="16"/>
        <v>693.21433070700346</v>
      </c>
      <c r="H109" s="9"/>
      <c r="I109" s="12">
        <f t="shared" si="12"/>
        <v>1999.5087811963567</v>
      </c>
      <c r="J109" s="12">
        <f t="shared" si="13"/>
        <v>483.01547714022439</v>
      </c>
      <c r="K109" s="12">
        <f t="shared" si="14"/>
        <v>59.69854211845476</v>
      </c>
    </row>
    <row r="110" spans="2:11" x14ac:dyDescent="0.25">
      <c r="B110" s="10">
        <v>106</v>
      </c>
      <c r="C110" s="11">
        <v>43997</v>
      </c>
      <c r="D110" s="12">
        <f t="shared" si="9"/>
        <v>281884.22688172571</v>
      </c>
      <c r="E110" s="12">
        <f t="shared" si="10"/>
        <v>19310.550812644993</v>
      </c>
      <c r="F110" s="12">
        <f t="shared" si="16"/>
        <v>6134.9678520101252</v>
      </c>
      <c r="G110" s="12">
        <f t="shared" si="16"/>
        <v>758.25445361922971</v>
      </c>
      <c r="H110" s="9"/>
      <c r="I110" s="12">
        <f t="shared" si="12"/>
        <v>2163.6093176035401</v>
      </c>
      <c r="J110" s="12">
        <f t="shared" si="13"/>
        <v>526.23372174437554</v>
      </c>
      <c r="K110" s="12">
        <f t="shared" si="14"/>
        <v>65.040122912226252</v>
      </c>
    </row>
    <row r="111" spans="2:11" x14ac:dyDescent="0.25">
      <c r="B111" s="10">
        <v>107</v>
      </c>
      <c r="C111" s="11">
        <v>43998</v>
      </c>
      <c r="D111" s="12">
        <f t="shared" si="9"/>
        <v>279546.27928951231</v>
      </c>
      <c r="E111" s="12">
        <f t="shared" si="10"/>
        <v>21004.813377770224</v>
      </c>
      <c r="F111" s="12">
        <f t="shared" si="16"/>
        <v>6707.8475261185931</v>
      </c>
      <c r="G111" s="12">
        <f t="shared" si="16"/>
        <v>829.05980659892805</v>
      </c>
      <c r="H111" s="9"/>
      <c r="I111" s="12">
        <f t="shared" si="12"/>
        <v>2337.9475922134011</v>
      </c>
      <c r="J111" s="12">
        <f t="shared" si="13"/>
        <v>572.87967410846807</v>
      </c>
      <c r="K111" s="12">
        <f t="shared" si="14"/>
        <v>70.80535297969837</v>
      </c>
    </row>
    <row r="112" spans="2:11" x14ac:dyDescent="0.25">
      <c r="B112" s="10">
        <v>108</v>
      </c>
      <c r="C112" s="11">
        <v>43999</v>
      </c>
      <c r="D112" s="12">
        <f t="shared" si="9"/>
        <v>277023.71672431438</v>
      </c>
      <c r="E112" s="12">
        <f t="shared" si="10"/>
        <v>22827.215497042482</v>
      </c>
      <c r="F112" s="12">
        <f t="shared" si="16"/>
        <v>7330.990322992443</v>
      </c>
      <c r="G112" s="12">
        <f t="shared" si="16"/>
        <v>906.07745565075231</v>
      </c>
      <c r="H112" s="9"/>
      <c r="I112" s="12">
        <f t="shared" si="12"/>
        <v>2522.5625651979312</v>
      </c>
      <c r="J112" s="12">
        <f t="shared" si="13"/>
        <v>623.14279687384987</v>
      </c>
      <c r="K112" s="12">
        <f t="shared" si="14"/>
        <v>77.017649051824222</v>
      </c>
    </row>
    <row r="113" spans="2:11" x14ac:dyDescent="0.25">
      <c r="B113" s="10">
        <v>109</v>
      </c>
      <c r="C113" s="11">
        <v>44000</v>
      </c>
      <c r="D113" s="12">
        <f t="shared" si="9"/>
        <v>274306.35053435608</v>
      </c>
      <c r="E113" s="12">
        <f t="shared" si="10"/>
        <v>24783.674503766018</v>
      </c>
      <c r="F113" s="12">
        <f t="shared" si="16"/>
        <v>8008.1977160713695</v>
      </c>
      <c r="G113" s="12">
        <f t="shared" si="16"/>
        <v>989.7772458065748</v>
      </c>
      <c r="H113" s="9"/>
      <c r="I113" s="12">
        <f t="shared" si="12"/>
        <v>2717.3661899582871</v>
      </c>
      <c r="J113" s="12">
        <f t="shared" si="13"/>
        <v>677.20739307892688</v>
      </c>
      <c r="K113" s="12">
        <f t="shared" si="14"/>
        <v>83.699790155822512</v>
      </c>
    </row>
    <row r="114" spans="2:11" x14ac:dyDescent="0.25">
      <c r="B114" s="10">
        <v>110</v>
      </c>
      <c r="C114" s="11">
        <v>44001</v>
      </c>
      <c r="D114" s="12">
        <f t="shared" si="9"/>
        <v>271384.22959097009</v>
      </c>
      <c r="E114" s="12">
        <f t="shared" si="10"/>
        <v>26879.672963693138</v>
      </c>
      <c r="F114" s="12">
        <f t="shared" si="16"/>
        <v>8743.4467263497609</v>
      </c>
      <c r="G114" s="12">
        <f t="shared" si="16"/>
        <v>1080.6507189870504</v>
      </c>
      <c r="H114" s="9"/>
      <c r="I114" s="12">
        <f t="shared" si="12"/>
        <v>2922.1209433859881</v>
      </c>
      <c r="J114" s="12">
        <f t="shared" si="13"/>
        <v>735.24901027839178</v>
      </c>
      <c r="K114" s="12">
        <f t="shared" si="14"/>
        <v>90.873473180475486</v>
      </c>
    </row>
    <row r="115" spans="2:11" x14ac:dyDescent="0.25">
      <c r="B115" s="10">
        <v>111</v>
      </c>
      <c r="C115" s="11">
        <v>44002</v>
      </c>
      <c r="D115" s="12">
        <f t="shared" si="9"/>
        <v>268247.81297100632</v>
      </c>
      <c r="E115" s="12">
        <f t="shared" si="10"/>
        <v>29120.100484867166</v>
      </c>
      <c r="F115" s="12">
        <f t="shared" si="16"/>
        <v>9540.8770242726569</v>
      </c>
      <c r="G115" s="12">
        <f t="shared" si="16"/>
        <v>1179.2095198539253</v>
      </c>
      <c r="H115" s="9"/>
      <c r="I115" s="12">
        <f t="shared" si="12"/>
        <v>3136.4166199637975</v>
      </c>
      <c r="J115" s="12">
        <f t="shared" si="13"/>
        <v>797.43029792289633</v>
      </c>
      <c r="K115" s="12">
        <f t="shared" si="14"/>
        <v>98.558800866874918</v>
      </c>
    </row>
    <row r="116" spans="2:11" x14ac:dyDescent="0.25">
      <c r="B116" s="10">
        <v>112</v>
      </c>
      <c r="C116" s="11">
        <v>44003</v>
      </c>
      <c r="D116" s="12">
        <f t="shared" si="9"/>
        <v>264888.16585944267</v>
      </c>
      <c r="E116" s="12">
        <f t="shared" si="10"/>
        <v>31509.077580268608</v>
      </c>
      <c r="F116" s="12">
        <f t="shared" si="16"/>
        <v>10404.773338657049</v>
      </c>
      <c r="G116" s="12">
        <f t="shared" si="16"/>
        <v>1285.9832216317716</v>
      </c>
      <c r="H116" s="9"/>
      <c r="I116" s="12">
        <f t="shared" si="12"/>
        <v>3359.64711156368</v>
      </c>
      <c r="J116" s="12">
        <f t="shared" si="13"/>
        <v>863.89631438439244</v>
      </c>
      <c r="K116" s="12">
        <f t="shared" si="14"/>
        <v>106.77370177784637</v>
      </c>
    </row>
    <row r="117" spans="2:11" x14ac:dyDescent="0.25">
      <c r="B117" s="10">
        <v>113</v>
      </c>
      <c r="C117" s="11">
        <v>44004</v>
      </c>
      <c r="D117" s="12">
        <f t="shared" si="9"/>
        <v>261297.17775263035</v>
      </c>
      <c r="E117" s="12">
        <f t="shared" si="10"/>
        <v>34049.763101071963</v>
      </c>
      <c r="F117" s="12">
        <f t="shared" si="16"/>
        <v>11339.542640205018</v>
      </c>
      <c r="G117" s="12">
        <f t="shared" si="16"/>
        <v>1401.5165060927566</v>
      </c>
      <c r="H117" s="9"/>
      <c r="I117" s="12">
        <f t="shared" si="12"/>
        <v>3590.98810681231</v>
      </c>
      <c r="J117" s="12">
        <f t="shared" si="13"/>
        <v>934.76930154796867</v>
      </c>
      <c r="K117" s="12">
        <f t="shared" si="14"/>
        <v>115.533284460985</v>
      </c>
    </row>
    <row r="118" spans="2:11" x14ac:dyDescent="0.25">
      <c r="B118" s="10">
        <v>114</v>
      </c>
      <c r="C118" s="11">
        <v>44005</v>
      </c>
      <c r="D118" s="12">
        <f t="shared" si="9"/>
        <v>257467.80088928551</v>
      </c>
      <c r="E118" s="12">
        <f t="shared" si="10"/>
        <v>36744.14786104775</v>
      </c>
      <c r="F118" s="12">
        <f t="shared" ref="F118:G133" si="17">F117+J118</f>
        <v>12349.685612203486</v>
      </c>
      <c r="G118" s="12">
        <f t="shared" si="17"/>
        <v>1526.3656374633538</v>
      </c>
      <c r="H118" s="9"/>
      <c r="I118" s="12">
        <f t="shared" si="12"/>
        <v>3829.3768633448462</v>
      </c>
      <c r="J118" s="12">
        <f t="shared" si="13"/>
        <v>1010.1429719984682</v>
      </c>
      <c r="K118" s="12">
        <f t="shared" si="14"/>
        <v>124.84913137059731</v>
      </c>
    </row>
    <row r="119" spans="2:11" x14ac:dyDescent="0.25">
      <c r="B119" s="10">
        <v>115</v>
      </c>
      <c r="C119" s="11">
        <v>44006</v>
      </c>
      <c r="D119" s="12">
        <f t="shared" si="9"/>
        <v>253394.30547169718</v>
      </c>
      <c r="E119" s="12">
        <f t="shared" si="10"/>
        <v>39592.838349934485</v>
      </c>
      <c r="F119" s="12">
        <f t="shared" si="17"/>
        <v>13439.761998747903</v>
      </c>
      <c r="G119" s="12">
        <f t="shared" si="17"/>
        <v>1661.0941796205291</v>
      </c>
      <c r="H119" s="9"/>
      <c r="I119" s="12">
        <f t="shared" si="12"/>
        <v>4073.4954175883267</v>
      </c>
      <c r="J119" s="12">
        <f t="shared" si="13"/>
        <v>1090.0763865444164</v>
      </c>
      <c r="K119" s="12">
        <f t="shared" si="14"/>
        <v>134.72854215717521</v>
      </c>
    </row>
    <row r="120" spans="2:11" x14ac:dyDescent="0.25">
      <c r="B120" s="10">
        <v>116</v>
      </c>
      <c r="C120" s="11">
        <v>44007</v>
      </c>
      <c r="D120" s="12">
        <f t="shared" si="9"/>
        <v>249072.54669271948</v>
      </c>
      <c r="E120" s="12">
        <f t="shared" si="10"/>
        <v>42594.835850581032</v>
      </c>
      <c r="F120" s="12">
        <f t="shared" si="17"/>
        <v>14614.349536462625</v>
      </c>
      <c r="G120" s="12">
        <f t="shared" si="17"/>
        <v>1806.2679202369557</v>
      </c>
      <c r="H120" s="9"/>
      <c r="I120" s="12">
        <f t="shared" si="12"/>
        <v>4321.7587789776962</v>
      </c>
      <c r="J120" s="12">
        <f t="shared" si="13"/>
        <v>1174.5875377147231</v>
      </c>
      <c r="K120" s="12">
        <f t="shared" si="14"/>
        <v>145.17374061642658</v>
      </c>
    </row>
    <row r="121" spans="2:11" x14ac:dyDescent="0.25">
      <c r="B121" s="10">
        <v>117</v>
      </c>
      <c r="C121" s="11">
        <v>44008</v>
      </c>
      <c r="D121" s="12">
        <f t="shared" si="9"/>
        <v>244500.23691003234</v>
      </c>
      <c r="E121" s="12">
        <f t="shared" si="10"/>
        <v>45747.317771582122</v>
      </c>
      <c r="F121" s="12">
        <f t="shared" si="17"/>
        <v>15877.996333363195</v>
      </c>
      <c r="G121" s="12">
        <f t="shared" si="17"/>
        <v>1962.4489850224195</v>
      </c>
      <c r="H121" s="9"/>
      <c r="I121" s="12">
        <f t="shared" si="12"/>
        <v>4572.3097826871272</v>
      </c>
      <c r="J121" s="12">
        <f t="shared" si="13"/>
        <v>1263.6467969005705</v>
      </c>
      <c r="K121" s="12">
        <f t="shared" si="14"/>
        <v>156.18106478546392</v>
      </c>
    </row>
    <row r="122" spans="2:11" x14ac:dyDescent="0.25">
      <c r="B122" s="10">
        <v>118</v>
      </c>
      <c r="C122" s="11">
        <v>44009</v>
      </c>
      <c r="D122" s="12">
        <f t="shared" si="9"/>
        <v>239677.21459294515</v>
      </c>
      <c r="E122" s="12">
        <f t="shared" si="10"/>
        <v>49045.429496283235</v>
      </c>
      <c r="F122" s="12">
        <f t="shared" si="17"/>
        <v>17235.166760586799</v>
      </c>
      <c r="G122" s="12">
        <f t="shared" si="17"/>
        <v>2130.1891501848872</v>
      </c>
      <c r="H122" s="9"/>
      <c r="I122" s="12">
        <f t="shared" si="12"/>
        <v>4823.0223170871823</v>
      </c>
      <c r="J122" s="12">
        <f t="shared" si="13"/>
        <v>1357.1704272236027</v>
      </c>
      <c r="K122" s="12">
        <f t="shared" si="14"/>
        <v>167.74016516246792</v>
      </c>
    </row>
    <row r="123" spans="2:11" x14ac:dyDescent="0.25">
      <c r="B123" s="10">
        <v>119</v>
      </c>
      <c r="C123" s="11">
        <v>44010</v>
      </c>
      <c r="D123" s="12">
        <f t="shared" si="9"/>
        <v>234605.70002538298</v>
      </c>
      <c r="E123" s="12">
        <f t="shared" si="10"/>
        <v>52482.096413969295</v>
      </c>
      <c r="F123" s="12">
        <f t="shared" si="17"/>
        <v>18690.181168976535</v>
      </c>
      <c r="G123" s="12">
        <f t="shared" si="17"/>
        <v>2310.0223916712594</v>
      </c>
      <c r="H123" s="9"/>
      <c r="I123" s="12">
        <f t="shared" si="12"/>
        <v>5071.5145675621643</v>
      </c>
      <c r="J123" s="12">
        <f t="shared" si="13"/>
        <v>1455.0144083897358</v>
      </c>
      <c r="K123" s="12">
        <f t="shared" si="14"/>
        <v>179.83324148637203</v>
      </c>
    </row>
    <row r="124" spans="2:11" x14ac:dyDescent="0.25">
      <c r="B124" s="10">
        <v>120</v>
      </c>
      <c r="C124" s="11">
        <v>44011</v>
      </c>
      <c r="D124" s="12">
        <f t="shared" si="9"/>
        <v>229290.52632815336</v>
      </c>
      <c r="E124" s="12">
        <f t="shared" si="10"/>
        <v>56047.866897399945</v>
      </c>
      <c r="F124" s="12">
        <f t="shared" si="17"/>
        <v>20247.150029257624</v>
      </c>
      <c r="G124" s="12">
        <f t="shared" si="17"/>
        <v>2502.4567451891471</v>
      </c>
      <c r="H124" s="9"/>
      <c r="I124" s="12">
        <f t="shared" si="12"/>
        <v>5315.1736972296167</v>
      </c>
      <c r="J124" s="12">
        <f t="shared" si="13"/>
        <v>1556.9688602810888</v>
      </c>
      <c r="K124" s="12">
        <f t="shared" si="14"/>
        <v>192.43435351788759</v>
      </c>
    </row>
    <row r="125" spans="2:11" x14ac:dyDescent="0.25">
      <c r="B125" s="10">
        <v>121</v>
      </c>
      <c r="C125" s="13">
        <v>44012</v>
      </c>
      <c r="D125" s="12">
        <f t="shared" si="9"/>
        <v>223739.33333389508</v>
      </c>
      <c r="E125" s="12">
        <f t="shared" si="10"/>
        <v>59730.797661744888</v>
      </c>
      <c r="F125" s="12">
        <f t="shared" si="17"/>
        <v>21909.903413880489</v>
      </c>
      <c r="G125" s="12">
        <f t="shared" si="17"/>
        <v>2707.9655904796136</v>
      </c>
      <c r="H125" s="9"/>
      <c r="I125" s="12">
        <f t="shared" si="12"/>
        <v>5551.1929942582747</v>
      </c>
      <c r="J125" s="12">
        <f t="shared" si="13"/>
        <v>1662.7533846228648</v>
      </c>
      <c r="K125" s="12">
        <f t="shared" si="14"/>
        <v>205.50884529046664</v>
      </c>
    </row>
    <row r="126" spans="2:11" x14ac:dyDescent="0.25">
      <c r="B126" s="10">
        <v>122</v>
      </c>
      <c r="C126" s="11">
        <v>44013</v>
      </c>
      <c r="D126" s="12">
        <f t="shared" si="9"/>
        <v>217962.71139005409</v>
      </c>
      <c r="E126" s="12">
        <f t="shared" si="10"/>
        <v>63516.393016861068</v>
      </c>
      <c r="F126" s="12">
        <f t="shared" si="17"/>
        <v>23681.917077845588</v>
      </c>
      <c r="G126" s="12">
        <f t="shared" si="17"/>
        <v>2926.9785152393451</v>
      </c>
      <c r="H126" s="9"/>
      <c r="I126" s="12">
        <f t="shared" si="12"/>
        <v>5776.6219438410035</v>
      </c>
      <c r="J126" s="12">
        <f t="shared" si="13"/>
        <v>1772.0136639650982</v>
      </c>
      <c r="K126" s="12">
        <f t="shared" si="14"/>
        <v>219.01292475973145</v>
      </c>
    </row>
    <row r="127" spans="2:11" x14ac:dyDescent="0.25">
      <c r="B127" s="10">
        <v>123</v>
      </c>
      <c r="C127" s="11">
        <v>44014</v>
      </c>
      <c r="D127" s="12">
        <f t="shared" si="9"/>
        <v>211974.28245261891</v>
      </c>
      <c r="E127" s="12">
        <f t="shared" si="10"/>
        <v>67387.6088537342</v>
      </c>
      <c r="F127" s="12">
        <f t="shared" si="17"/>
        <v>25566.2367373458</v>
      </c>
      <c r="G127" s="12">
        <f t="shared" si="17"/>
        <v>3159.8719563011691</v>
      </c>
      <c r="H127" s="9"/>
      <c r="I127" s="12">
        <f t="shared" si="12"/>
        <v>5988.4289374351683</v>
      </c>
      <c r="J127" s="12">
        <f t="shared" si="13"/>
        <v>1884.3196595002114</v>
      </c>
      <c r="K127" s="12">
        <f t="shared" si="14"/>
        <v>232.89344106182412</v>
      </c>
    </row>
    <row r="128" spans="2:11" x14ac:dyDescent="0.25">
      <c r="B128" s="10">
        <v>124</v>
      </c>
      <c r="C128" s="11">
        <v>44015</v>
      </c>
      <c r="D128" s="12">
        <f t="shared" si="9"/>
        <v>205790.70700994419</v>
      </c>
      <c r="E128" s="12">
        <f t="shared" si="10"/>
        <v>71324.930667951092</v>
      </c>
      <c r="F128" s="12">
        <f t="shared" si="17"/>
        <v>27565.402466673248</v>
      </c>
      <c r="G128" s="12">
        <f t="shared" si="17"/>
        <v>3406.959855431528</v>
      </c>
      <c r="H128" s="9"/>
      <c r="I128" s="12">
        <f t="shared" si="12"/>
        <v>6183.5754426747017</v>
      </c>
      <c r="J128" s="12">
        <f t="shared" si="13"/>
        <v>1999.1657293274477</v>
      </c>
      <c r="K128" s="12">
        <f t="shared" si="14"/>
        <v>247.08789913035895</v>
      </c>
    </row>
    <row r="129" spans="2:11" x14ac:dyDescent="0.25">
      <c r="B129" s="10">
        <v>125</v>
      </c>
      <c r="C129" s="11">
        <v>44016</v>
      </c>
      <c r="D129" s="12">
        <f t="shared" si="9"/>
        <v>199431.60752955993</v>
      </c>
      <c r="E129" s="12">
        <f t="shared" si="10"/>
        <v>75306.53245940365</v>
      </c>
      <c r="F129" s="12">
        <f t="shared" si="17"/>
        <v>29681.375409822464</v>
      </c>
      <c r="G129" s="12">
        <f t="shared" si="17"/>
        <v>3668.4846012140156</v>
      </c>
      <c r="H129" s="9"/>
      <c r="I129" s="12">
        <f t="shared" si="12"/>
        <v>6359.0994803842686</v>
      </c>
      <c r="J129" s="12">
        <f t="shared" si="13"/>
        <v>2115.9729431492156</v>
      </c>
      <c r="K129" s="12">
        <f t="shared" si="14"/>
        <v>261.52474578248757</v>
      </c>
    </row>
    <row r="130" spans="2:11" x14ac:dyDescent="0.25">
      <c r="B130" s="10">
        <v>126</v>
      </c>
      <c r="C130" s="11">
        <v>44017</v>
      </c>
      <c r="D130" s="12">
        <f t="shared" si="9"/>
        <v>192919.402257779</v>
      </c>
      <c r="E130" s="12">
        <f t="shared" si="10"/>
        <v>79308.519982537808</v>
      </c>
      <c r="F130" s="12">
        <f t="shared" si="17"/>
        <v>31915.469206118105</v>
      </c>
      <c r="G130" s="12">
        <f t="shared" si="17"/>
        <v>3944.6085535651628</v>
      </c>
      <c r="H130" s="9"/>
      <c r="I130" s="12">
        <f t="shared" si="12"/>
        <v>6512.2052717809374</v>
      </c>
      <c r="J130" s="12">
        <f t="shared" si="13"/>
        <v>2234.0937962956418</v>
      </c>
      <c r="K130" s="12">
        <f t="shared" si="14"/>
        <v>276.12395235114695</v>
      </c>
    </row>
    <row r="131" spans="2:11" x14ac:dyDescent="0.25">
      <c r="B131" s="10">
        <v>127</v>
      </c>
      <c r="C131" s="11">
        <v>44018</v>
      </c>
      <c r="D131" s="12">
        <f t="shared" si="9"/>
        <v>186279.04722688202</v>
      </c>
      <c r="E131" s="12">
        <f t="shared" si="10"/>
        <v>83305.257680683513</v>
      </c>
      <c r="F131" s="12">
        <f t="shared" si="17"/>
        <v>34268.288632266725</v>
      </c>
      <c r="G131" s="12">
        <f t="shared" si="17"/>
        <v>4235.4064601678019</v>
      </c>
      <c r="H131" s="9"/>
      <c r="I131" s="12">
        <f t="shared" si="12"/>
        <v>6640.3550308969743</v>
      </c>
      <c r="J131" s="12">
        <f t="shared" si="13"/>
        <v>2352.8194261486215</v>
      </c>
      <c r="K131" s="12">
        <f t="shared" si="14"/>
        <v>290.79790660263888</v>
      </c>
    </row>
    <row r="132" spans="2:11" x14ac:dyDescent="0.25">
      <c r="B132" s="10">
        <v>128</v>
      </c>
      <c r="C132" s="11">
        <v>44019</v>
      </c>
      <c r="D132" s="12">
        <f t="shared" si="9"/>
        <v>179537.68903058226</v>
      </c>
      <c r="E132" s="12">
        <f t="shared" si="10"/>
        <v>87269.773954293822</v>
      </c>
      <c r="F132" s="12">
        <f t="shared" si="17"/>
        <v>36739.677943460338</v>
      </c>
      <c r="G132" s="12">
        <f t="shared" si="17"/>
        <v>4540.8590716636418</v>
      </c>
      <c r="H132" s="9"/>
      <c r="I132" s="12">
        <f t="shared" si="12"/>
        <v>6741.3581962997541</v>
      </c>
      <c r="J132" s="12">
        <f t="shared" si="13"/>
        <v>2471.3893111936109</v>
      </c>
      <c r="K132" s="12">
        <f t="shared" si="14"/>
        <v>305.45261149583985</v>
      </c>
    </row>
    <row r="133" spans="2:11" x14ac:dyDescent="0.25">
      <c r="B133" s="10">
        <v>129</v>
      </c>
      <c r="C133" s="11">
        <v>44020</v>
      </c>
      <c r="D133" s="12">
        <f t="shared" si="9"/>
        <v>172724.23600088956</v>
      </c>
      <c r="E133" s="12">
        <f t="shared" si="10"/>
        <v>91174.234518843397</v>
      </c>
      <c r="F133" s="12">
        <f t="shared" si="17"/>
        <v>39328.681237437719</v>
      </c>
      <c r="G133" s="12">
        <f t="shared" si="17"/>
        <v>4860.8482428293864</v>
      </c>
      <c r="H133" s="9"/>
      <c r="I133" s="12">
        <f t="shared" si="12"/>
        <v>6813.4530296926914</v>
      </c>
      <c r="J133" s="12">
        <f t="shared" si="13"/>
        <v>2589.0032939773828</v>
      </c>
      <c r="K133" s="12">
        <f t="shared" si="14"/>
        <v>319.98917116574432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165868.86045821567</v>
      </c>
      <c r="E134" s="12">
        <f t="shared" ref="E134:E197" si="19">E133+I134-J134-K134</f>
        <v>94990.468910889191</v>
      </c>
      <c r="F134" s="12">
        <f t="shared" ref="F134:G149" si="20">F133+J134</f>
        <v>42033.516861496741</v>
      </c>
      <c r="G134" s="12">
        <f t="shared" si="20"/>
        <v>5195.1537693984792</v>
      </c>
      <c r="H134" s="9"/>
      <c r="I134" s="12">
        <f t="shared" ref="I134:I197" si="21">E133*N$6*D133/SUM(D133:F133)*N$7</f>
        <v>6855.3755426739062</v>
      </c>
      <c r="J134" s="12">
        <f t="shared" ref="J134:J197" si="22">E133*N$8/N$5</f>
        <v>2704.8356240590206</v>
      </c>
      <c r="K134" s="12">
        <f t="shared" ref="K134:K197" si="23">E133*N$9/N$5</f>
        <v>334.30552656909276</v>
      </c>
    </row>
    <row r="135" spans="2:11" x14ac:dyDescent="0.25">
      <c r="B135" s="10">
        <v>131</v>
      </c>
      <c r="C135" s="11">
        <v>44022</v>
      </c>
      <c r="D135" s="12">
        <f t="shared" si="18"/>
        <v>159002.44926432049</v>
      </c>
      <c r="E135" s="12">
        <f t="shared" si="19"/>
        <v>98690.531141088082</v>
      </c>
      <c r="F135" s="12">
        <f t="shared" si="20"/>
        <v>44851.567439186452</v>
      </c>
      <c r="G135" s="12">
        <f t="shared" si="20"/>
        <v>5543.4521554050734</v>
      </c>
      <c r="H135" s="9"/>
      <c r="I135" s="12">
        <f t="shared" si="21"/>
        <v>6866.4111938951974</v>
      </c>
      <c r="J135" s="12">
        <f t="shared" si="22"/>
        <v>2818.0505776897121</v>
      </c>
      <c r="K135" s="12">
        <f t="shared" si="23"/>
        <v>348.298386006594</v>
      </c>
    </row>
    <row r="136" spans="2:11" x14ac:dyDescent="0.25">
      <c r="B136" s="10">
        <v>132</v>
      </c>
      <c r="C136" s="11">
        <v>44023</v>
      </c>
      <c r="D136" s="12">
        <f t="shared" si="18"/>
        <v>152156.02354196014</v>
      </c>
      <c r="E136" s="12">
        <f t="shared" si="19"/>
        <v>102247.27249207885</v>
      </c>
      <c r="F136" s="12">
        <f t="shared" si="20"/>
        <v>47779.3865297054</v>
      </c>
      <c r="G136" s="12">
        <f t="shared" si="20"/>
        <v>5905.3174362557302</v>
      </c>
      <c r="H136" s="9"/>
      <c r="I136" s="12">
        <f t="shared" si="21"/>
        <v>6846.4257223603609</v>
      </c>
      <c r="J136" s="12">
        <f t="shared" si="22"/>
        <v>2927.8190905189463</v>
      </c>
      <c r="K136" s="12">
        <f t="shared" si="23"/>
        <v>361.86528085065663</v>
      </c>
    </row>
    <row r="137" spans="2:11" x14ac:dyDescent="0.25">
      <c r="B137" s="10">
        <v>133</v>
      </c>
      <c r="C137" s="11">
        <v>44024</v>
      </c>
      <c r="D137" s="12">
        <f t="shared" si="18"/>
        <v>145360.15075590005</v>
      </c>
      <c r="E137" s="12">
        <f t="shared" si="19"/>
        <v>105634.90286173631</v>
      </c>
      <c r="F137" s="12">
        <f t="shared" si="20"/>
        <v>50812.722280303737</v>
      </c>
      <c r="G137" s="12">
        <f t="shared" si="20"/>
        <v>6280.2241020600195</v>
      </c>
      <c r="H137" s="9"/>
      <c r="I137" s="12">
        <f t="shared" si="21"/>
        <v>6795.8727860600957</v>
      </c>
      <c r="J137" s="12">
        <f t="shared" si="22"/>
        <v>3033.3357505983386</v>
      </c>
      <c r="K137" s="12">
        <f t="shared" si="23"/>
        <v>374.90666580428945</v>
      </c>
    </row>
    <row r="138" spans="2:11" x14ac:dyDescent="0.25">
      <c r="B138" s="10">
        <v>134</v>
      </c>
      <c r="C138" s="11">
        <v>44025</v>
      </c>
      <c r="D138" s="12">
        <f t="shared" si="18"/>
        <v>138644.37311419265</v>
      </c>
      <c r="E138" s="12">
        <f t="shared" si="19"/>
        <v>108829.51707471917</v>
      </c>
      <c r="F138" s="12">
        <f t="shared" si="20"/>
        <v>53946.557731868583</v>
      </c>
      <c r="G138" s="12">
        <f t="shared" si="20"/>
        <v>6667.5520792197194</v>
      </c>
      <c r="H138" s="9"/>
      <c r="I138" s="12">
        <f t="shared" si="21"/>
        <v>6715.777641707401</v>
      </c>
      <c r="J138" s="12">
        <f t="shared" si="22"/>
        <v>3133.8354515648434</v>
      </c>
      <c r="K138" s="12">
        <f t="shared" si="23"/>
        <v>387.32797715970014</v>
      </c>
    </row>
    <row r="139" spans="2:11" x14ac:dyDescent="0.25">
      <c r="B139" s="10">
        <v>135</v>
      </c>
      <c r="C139" s="11">
        <v>44026</v>
      </c>
      <c r="D139" s="12">
        <f t="shared" si="18"/>
        <v>132036.67534076699</v>
      </c>
      <c r="E139" s="12">
        <f t="shared" si="19"/>
        <v>111809.56427898753</v>
      </c>
      <c r="F139" s="12">
        <f t="shared" si="20"/>
        <v>57175.166738418586</v>
      </c>
      <c r="G139" s="12">
        <f t="shared" si="20"/>
        <v>7066.593641827023</v>
      </c>
      <c r="H139" s="9"/>
      <c r="I139" s="12">
        <f t="shared" si="21"/>
        <v>6607.6977734256716</v>
      </c>
      <c r="J139" s="12">
        <f t="shared" si="22"/>
        <v>3228.6090065500021</v>
      </c>
      <c r="K139" s="12">
        <f t="shared" si="23"/>
        <v>399.04156260730394</v>
      </c>
    </row>
    <row r="140" spans="2:11" x14ac:dyDescent="0.25">
      <c r="B140" s="10">
        <v>136</v>
      </c>
      <c r="C140" s="11">
        <v>44027</v>
      </c>
      <c r="D140" s="12">
        <f t="shared" si="18"/>
        <v>125563.01236149916</v>
      </c>
      <c r="E140" s="12">
        <f t="shared" si="19"/>
        <v>114556.2417822891</v>
      </c>
      <c r="F140" s="12">
        <f t="shared" si="20"/>
        <v>60492.183812028547</v>
      </c>
      <c r="G140" s="12">
        <f t="shared" si="20"/>
        <v>7476.5620441833107</v>
      </c>
      <c r="H140" s="9"/>
      <c r="I140" s="12">
        <f t="shared" si="21"/>
        <v>6473.6629792678295</v>
      </c>
      <c r="J140" s="12">
        <f t="shared" si="22"/>
        <v>3317.0170736099626</v>
      </c>
      <c r="K140" s="12">
        <f t="shared" si="23"/>
        <v>409.96840235628792</v>
      </c>
    </row>
    <row r="141" spans="2:11" x14ac:dyDescent="0.25">
      <c r="B141" s="10">
        <v>137</v>
      </c>
      <c r="C141" s="11">
        <v>44028</v>
      </c>
      <c r="D141" s="12">
        <f t="shared" si="18"/>
        <v>119246.91357661328</v>
      </c>
      <c r="E141" s="12">
        <f t="shared" si="19"/>
        <v>117053.799174432</v>
      </c>
      <c r="F141" s="12">
        <f t="shared" si="20"/>
        <v>63890.685651569787</v>
      </c>
      <c r="G141" s="12">
        <f t="shared" si="20"/>
        <v>7896.6015973850381</v>
      </c>
      <c r="H141" s="9"/>
      <c r="I141" s="12">
        <f t="shared" si="21"/>
        <v>6316.0987848858813</v>
      </c>
      <c r="J141" s="12">
        <f t="shared" si="22"/>
        <v>3398.5018395412426</v>
      </c>
      <c r="K141" s="12">
        <f t="shared" si="23"/>
        <v>420.03955320172707</v>
      </c>
    </row>
    <row r="142" spans="2:11" x14ac:dyDescent="0.25">
      <c r="B142" s="10">
        <v>138</v>
      </c>
      <c r="C142" s="11">
        <v>44029</v>
      </c>
      <c r="D142" s="12">
        <f t="shared" si="18"/>
        <v>113109.17554025358</v>
      </c>
      <c r="E142" s="12">
        <f t="shared" si="19"/>
        <v>119289.74390497731</v>
      </c>
      <c r="F142" s="12">
        <f t="shared" si="20"/>
        <v>67363.281693744604</v>
      </c>
      <c r="G142" s="12">
        <f t="shared" si="20"/>
        <v>8325.798861024623</v>
      </c>
      <c r="H142" s="9"/>
      <c r="I142" s="12">
        <f t="shared" si="21"/>
        <v>6137.7380363597085</v>
      </c>
      <c r="J142" s="12">
        <f t="shared" si="22"/>
        <v>3472.5960421748159</v>
      </c>
      <c r="K142" s="12">
        <f t="shared" si="23"/>
        <v>429.19726363958438</v>
      </c>
    </row>
    <row r="143" spans="2:11" x14ac:dyDescent="0.25">
      <c r="B143" s="10">
        <v>139</v>
      </c>
      <c r="C143" s="11">
        <v>44030</v>
      </c>
      <c r="D143" s="12">
        <f t="shared" si="18"/>
        <v>107167.64949642702</v>
      </c>
      <c r="E143" s="12">
        <f t="shared" si="19"/>
        <v>121254.94515197129</v>
      </c>
      <c r="F143" s="12">
        <f t="shared" si="20"/>
        <v>70902.210762925592</v>
      </c>
      <c r="G143" s="12">
        <f t="shared" si="20"/>
        <v>8763.194588676206</v>
      </c>
      <c r="H143" s="9"/>
      <c r="I143" s="12">
        <f t="shared" si="21"/>
        <v>5941.5260438265532</v>
      </c>
      <c r="J143" s="12">
        <f t="shared" si="22"/>
        <v>3538.9290691809933</v>
      </c>
      <c r="K143" s="12">
        <f t="shared" si="23"/>
        <v>437.39572765158385</v>
      </c>
    </row>
    <row r="144" spans="2:11" x14ac:dyDescent="0.25">
      <c r="B144" s="10">
        <v>140</v>
      </c>
      <c r="C144" s="11">
        <v>44031</v>
      </c>
      <c r="D144" s="12">
        <f t="shared" si="18"/>
        <v>101437.12481573927</v>
      </c>
      <c r="E144" s="12">
        <f t="shared" si="19"/>
        <v>122943.63832759335</v>
      </c>
      <c r="F144" s="12">
        <f t="shared" si="20"/>
        <v>74499.440802434066</v>
      </c>
      <c r="G144" s="12">
        <f t="shared" si="20"/>
        <v>9207.7960542334349</v>
      </c>
      <c r="H144" s="9"/>
      <c r="I144" s="12">
        <f t="shared" si="21"/>
        <v>5730.5246806877585</v>
      </c>
      <c r="J144" s="12">
        <f t="shared" si="22"/>
        <v>3597.2300395084812</v>
      </c>
      <c r="K144" s="12">
        <f t="shared" si="23"/>
        <v>444.60146555722844</v>
      </c>
    </row>
    <row r="145" spans="2:11" x14ac:dyDescent="0.25">
      <c r="B145" s="10">
        <v>141</v>
      </c>
      <c r="C145" s="11">
        <v>44032</v>
      </c>
      <c r="D145" s="12">
        <f t="shared" si="18"/>
        <v>95929.304388477991</v>
      </c>
      <c r="E145" s="12">
        <f t="shared" si="19"/>
        <v>124353.33747726819</v>
      </c>
      <c r="F145" s="12">
        <f t="shared" si="20"/>
        <v>78146.768739485997</v>
      </c>
      <c r="G145" s="12">
        <f t="shared" si="20"/>
        <v>9658.5893947679451</v>
      </c>
      <c r="H145" s="9"/>
      <c r="I145" s="12">
        <f t="shared" si="21"/>
        <v>5507.8204272612747</v>
      </c>
      <c r="J145" s="12">
        <f t="shared" si="22"/>
        <v>3647.3279370519358</v>
      </c>
      <c r="K145" s="12">
        <f t="shared" si="23"/>
        <v>450.79334053450935</v>
      </c>
    </row>
    <row r="146" spans="2:11" x14ac:dyDescent="0.25">
      <c r="B146" s="10">
        <v>142</v>
      </c>
      <c r="C146" s="11">
        <v>44033</v>
      </c>
      <c r="D146" s="12">
        <f t="shared" si="18"/>
        <v>90652.863818270489</v>
      </c>
      <c r="E146" s="12">
        <f t="shared" si="19"/>
        <v>125484.66679823342</v>
      </c>
      <c r="F146" s="12">
        <f t="shared" si="20"/>
        <v>81835.917751311616</v>
      </c>
      <c r="G146" s="12">
        <f t="shared" si="20"/>
        <v>10114.551632184595</v>
      </c>
      <c r="H146" s="9"/>
      <c r="I146" s="12">
        <f t="shared" si="21"/>
        <v>5276.4405702074973</v>
      </c>
      <c r="J146" s="12">
        <f t="shared" si="22"/>
        <v>3689.149011825622</v>
      </c>
      <c r="K146" s="12">
        <f t="shared" si="23"/>
        <v>455.9622374166504</v>
      </c>
    </row>
    <row r="147" spans="2:11" x14ac:dyDescent="0.25">
      <c r="B147" s="10">
        <v>143</v>
      </c>
      <c r="C147" s="11">
        <v>44034</v>
      </c>
      <c r="D147" s="12">
        <f t="shared" si="18"/>
        <v>85613.583068873224</v>
      </c>
      <c r="E147" s="12">
        <f t="shared" si="19"/>
        <v>126341.1253210229</v>
      </c>
      <c r="F147" s="12">
        <f t="shared" si="20"/>
        <v>85558.629532992534</v>
      </c>
      <c r="G147" s="12">
        <f t="shared" si="20"/>
        <v>10574.662077111452</v>
      </c>
      <c r="H147" s="9"/>
      <c r="I147" s="12">
        <f t="shared" si="21"/>
        <v>5039.2807493972623</v>
      </c>
      <c r="J147" s="12">
        <f t="shared" si="22"/>
        <v>3722.7117816809246</v>
      </c>
      <c r="K147" s="12">
        <f t="shared" si="23"/>
        <v>460.11044492685625</v>
      </c>
    </row>
    <row r="148" spans="2:11" x14ac:dyDescent="0.25">
      <c r="B148" s="10">
        <v>144</v>
      </c>
      <c r="C148" s="11">
        <v>44035</v>
      </c>
      <c r="D148" s="12">
        <f t="shared" si="18"/>
        <v>80814.537155763086</v>
      </c>
      <c r="E148" s="12">
        <f t="shared" si="19"/>
        <v>126928.80039009894</v>
      </c>
      <c r="F148" s="12">
        <f t="shared" si="20"/>
        <v>89306.749584182879</v>
      </c>
      <c r="G148" s="12">
        <f t="shared" si="20"/>
        <v>11037.912869955204</v>
      </c>
      <c r="H148" s="9"/>
      <c r="I148" s="12">
        <f t="shared" si="21"/>
        <v>4799.045913110137</v>
      </c>
      <c r="J148" s="12">
        <f t="shared" si="22"/>
        <v>3748.1200511903457</v>
      </c>
      <c r="K148" s="12">
        <f t="shared" si="23"/>
        <v>463.25079284375107</v>
      </c>
    </row>
    <row r="149" spans="2:11" x14ac:dyDescent="0.25">
      <c r="B149" s="10">
        <v>145</v>
      </c>
      <c r="C149" s="11">
        <v>44036</v>
      </c>
      <c r="D149" s="12">
        <f t="shared" si="18"/>
        <v>76256.331532002994</v>
      </c>
      <c r="E149" s="12">
        <f t="shared" si="19"/>
        <v>127256.04600085574</v>
      </c>
      <c r="F149" s="12">
        <f t="shared" si="20"/>
        <v>93072.303995755807</v>
      </c>
      <c r="G149" s="12">
        <f t="shared" si="20"/>
        <v>11503.318471385566</v>
      </c>
      <c r="H149" s="9"/>
      <c r="I149" s="12">
        <f t="shared" si="21"/>
        <v>4558.2056237600909</v>
      </c>
      <c r="J149" s="12">
        <f t="shared" si="22"/>
        <v>3765.5544115729349</v>
      </c>
      <c r="K149" s="12">
        <f t="shared" si="23"/>
        <v>465.40560143036322</v>
      </c>
    </row>
    <row r="150" spans="2:11" x14ac:dyDescent="0.25">
      <c r="B150" s="10">
        <v>146</v>
      </c>
      <c r="C150" s="11">
        <v>44037</v>
      </c>
      <c r="D150" s="12">
        <f t="shared" si="18"/>
        <v>71937.367881578917</v>
      </c>
      <c r="E150" s="12">
        <f t="shared" si="19"/>
        <v>127333.14145125129</v>
      </c>
      <c r="F150" s="12">
        <f t="shared" ref="F150:G165" si="24">F149+J150</f>
        <v>96847.566693781191</v>
      </c>
      <c r="G150" s="12">
        <f t="shared" si="24"/>
        <v>11969.923973388704</v>
      </c>
      <c r="H150" s="9"/>
      <c r="I150" s="12">
        <f t="shared" si="21"/>
        <v>4318.9636504240743</v>
      </c>
      <c r="J150" s="12">
        <f t="shared" si="22"/>
        <v>3775.2626980253863</v>
      </c>
      <c r="K150" s="12">
        <f t="shared" si="23"/>
        <v>466.60550200313816</v>
      </c>
    </row>
    <row r="151" spans="2:11" x14ac:dyDescent="0.25">
      <c r="B151" s="10">
        <v>147</v>
      </c>
      <c r="C151" s="11">
        <v>44038</v>
      </c>
      <c r="D151" s="12">
        <f t="shared" si="18"/>
        <v>67854.12692068606</v>
      </c>
      <c r="E151" s="12">
        <f t="shared" si="19"/>
        <v>127171.94436376909</v>
      </c>
      <c r="F151" s="12">
        <f t="shared" si="24"/>
        <v>100625.11655683498</v>
      </c>
      <c r="G151" s="12">
        <f t="shared" si="24"/>
        <v>12436.812158709959</v>
      </c>
      <c r="H151" s="9"/>
      <c r="I151" s="12">
        <f t="shared" si="21"/>
        <v>4083.2409608928551</v>
      </c>
      <c r="J151" s="12">
        <f t="shared" si="22"/>
        <v>3777.5498630537882</v>
      </c>
      <c r="K151" s="12">
        <f t="shared" si="23"/>
        <v>466.88818532125515</v>
      </c>
    </row>
    <row r="152" spans="2:11" x14ac:dyDescent="0.25">
      <c r="B152" s="10">
        <v>148</v>
      </c>
      <c r="C152" s="11">
        <v>44039</v>
      </c>
      <c r="D152" s="12">
        <f t="shared" si="18"/>
        <v>64001.456299629986</v>
      </c>
      <c r="E152" s="12">
        <f t="shared" si="19"/>
        <v>126785.55017269951</v>
      </c>
      <c r="F152" s="12">
        <f t="shared" si="24"/>
        <v>104397.8842396268</v>
      </c>
      <c r="G152" s="12">
        <f t="shared" si="24"/>
        <v>12903.109288043779</v>
      </c>
      <c r="H152" s="9"/>
      <c r="I152" s="12">
        <f t="shared" si="21"/>
        <v>3852.6706210560728</v>
      </c>
      <c r="J152" s="12">
        <f t="shared" si="22"/>
        <v>3772.7676827918158</v>
      </c>
      <c r="K152" s="12">
        <f t="shared" si="23"/>
        <v>466.29712933382041</v>
      </c>
    </row>
    <row r="153" spans="2:11" x14ac:dyDescent="0.25">
      <c r="B153" s="10">
        <v>149</v>
      </c>
      <c r="C153" s="11">
        <v>44040</v>
      </c>
      <c r="D153" s="12">
        <f t="shared" si="18"/>
        <v>60372.853570477644</v>
      </c>
      <c r="E153" s="12">
        <f t="shared" si="19"/>
        <v>126187.9678960952</v>
      </c>
      <c r="F153" s="12">
        <f t="shared" si="24"/>
        <v>108159.18889475022</v>
      </c>
      <c r="G153" s="12">
        <f t="shared" si="24"/>
        <v>13367.989638677011</v>
      </c>
      <c r="H153" s="9"/>
      <c r="I153" s="12">
        <f t="shared" si="21"/>
        <v>3628.6027291523396</v>
      </c>
      <c r="J153" s="12">
        <f t="shared" si="22"/>
        <v>3761.3046551234188</v>
      </c>
      <c r="K153" s="12">
        <f t="shared" si="23"/>
        <v>464.88035063323201</v>
      </c>
    </row>
    <row r="154" spans="2:11" x14ac:dyDescent="0.25">
      <c r="B154" s="10">
        <v>150</v>
      </c>
      <c r="C154" s="11">
        <v>44041</v>
      </c>
      <c r="D154" s="12">
        <f t="shared" si="18"/>
        <v>56960.736231575072</v>
      </c>
      <c r="E154" s="12">
        <f t="shared" si="19"/>
        <v>125393.81963846125</v>
      </c>
      <c r="F154" s="12">
        <f t="shared" si="24"/>
        <v>111902.76527566771</v>
      </c>
      <c r="G154" s="12">
        <f t="shared" si="24"/>
        <v>13830.678854296028</v>
      </c>
      <c r="H154" s="9"/>
      <c r="I154" s="12">
        <f t="shared" si="21"/>
        <v>3412.1173389025707</v>
      </c>
      <c r="J154" s="12">
        <f t="shared" si="22"/>
        <v>3743.5763809174905</v>
      </c>
      <c r="K154" s="12">
        <f t="shared" si="23"/>
        <v>462.68921561901612</v>
      </c>
    </row>
    <row r="155" spans="2:11" x14ac:dyDescent="0.25">
      <c r="B155" s="10">
        <v>151</v>
      </c>
      <c r="C155" s="11">
        <v>44042</v>
      </c>
      <c r="D155" s="12">
        <f t="shared" si="18"/>
        <v>53756.692906452015</v>
      </c>
      <c r="E155" s="12">
        <f t="shared" si="19"/>
        <v>124418.0689756356</v>
      </c>
      <c r="F155" s="12">
        <f t="shared" si="24"/>
        <v>115622.78192494206</v>
      </c>
      <c r="G155" s="12">
        <f t="shared" si="24"/>
        <v>14290.456192970385</v>
      </c>
      <c r="H155" s="9"/>
      <c r="I155" s="12">
        <f t="shared" si="21"/>
        <v>3204.0433251230543</v>
      </c>
      <c r="J155" s="12">
        <f t="shared" si="22"/>
        <v>3720.0166492743501</v>
      </c>
      <c r="K155" s="12">
        <f t="shared" si="23"/>
        <v>459.77733867435836</v>
      </c>
    </row>
    <row r="156" spans="2:11" x14ac:dyDescent="0.25">
      <c r="B156" s="10">
        <v>152</v>
      </c>
      <c r="C156" s="13">
        <v>44043</v>
      </c>
      <c r="D156" s="12">
        <f t="shared" si="18"/>
        <v>50751.711629945639</v>
      </c>
      <c r="E156" s="12">
        <f t="shared" si="19"/>
        <v>123275.78128628746</v>
      </c>
      <c r="F156" s="12">
        <f t="shared" si="24"/>
        <v>119313.85130455258</v>
      </c>
      <c r="G156" s="12">
        <f t="shared" si="24"/>
        <v>14746.655779214383</v>
      </c>
      <c r="H156" s="9"/>
      <c r="I156" s="12">
        <f t="shared" si="21"/>
        <v>3004.9812765063734</v>
      </c>
      <c r="J156" s="12">
        <f t="shared" si="22"/>
        <v>3691.069379610522</v>
      </c>
      <c r="K156" s="12">
        <f t="shared" si="23"/>
        <v>456.19958624399766</v>
      </c>
    </row>
    <row r="157" spans="2:11" x14ac:dyDescent="0.25">
      <c r="B157" s="10">
        <v>153</v>
      </c>
      <c r="C157" s="21">
        <v>44044</v>
      </c>
      <c r="D157" s="12">
        <f t="shared" si="18"/>
        <v>47936.382909873573</v>
      </c>
      <c r="E157" s="12">
        <f t="shared" si="19"/>
        <v>121981.91729681661</v>
      </c>
      <c r="F157" s="12">
        <f t="shared" si="24"/>
        <v>122971.03281604577</v>
      </c>
      <c r="G157" s="12">
        <f t="shared" si="24"/>
        <v>15198.666977264103</v>
      </c>
      <c r="H157" s="9"/>
      <c r="I157" s="12">
        <f t="shared" si="21"/>
        <v>2815.328720072067</v>
      </c>
      <c r="J157" s="12">
        <f t="shared" si="22"/>
        <v>3657.1815114931942</v>
      </c>
      <c r="K157" s="12">
        <f t="shared" si="23"/>
        <v>452.01119804972109</v>
      </c>
    </row>
    <row r="158" spans="2:11" x14ac:dyDescent="0.25">
      <c r="B158" s="10">
        <v>154</v>
      </c>
      <c r="C158" s="21">
        <v>44045</v>
      </c>
      <c r="D158" s="12">
        <f t="shared" si="18"/>
        <v>45301.076658682716</v>
      </c>
      <c r="E158" s="12">
        <f t="shared" si="19"/>
        <v>120551.15963811356</v>
      </c>
      <c r="F158" s="12">
        <f t="shared" si="24"/>
        <v>126589.82969585134</v>
      </c>
      <c r="G158" s="12">
        <f t="shared" si="24"/>
        <v>15645.934007352431</v>
      </c>
      <c r="H158" s="9"/>
      <c r="I158" s="12">
        <f t="shared" si="21"/>
        <v>2635.3062511908565</v>
      </c>
      <c r="J158" s="12">
        <f t="shared" si="22"/>
        <v>3618.796879805559</v>
      </c>
      <c r="K158" s="12">
        <f t="shared" si="23"/>
        <v>447.267030088328</v>
      </c>
    </row>
    <row r="159" spans="2:11" x14ac:dyDescent="0.25">
      <c r="B159" s="10">
        <v>155</v>
      </c>
      <c r="C159" s="21">
        <v>44046</v>
      </c>
      <c r="D159" s="12">
        <f t="shared" si="18"/>
        <v>42836.093229130725</v>
      </c>
      <c r="E159" s="12">
        <f t="shared" si="19"/>
        <v>118997.77107972842</v>
      </c>
      <c r="F159" s="12">
        <f t="shared" si="24"/>
        <v>130166.18076511538</v>
      </c>
      <c r="G159" s="12">
        <f t="shared" si="24"/>
        <v>16087.954926025513</v>
      </c>
      <c r="H159" s="9"/>
      <c r="I159" s="12">
        <f t="shared" si="21"/>
        <v>2464.9834295519872</v>
      </c>
      <c r="J159" s="12">
        <f t="shared" si="22"/>
        <v>3576.3510692640352</v>
      </c>
      <c r="K159" s="12">
        <f t="shared" si="23"/>
        <v>442.02091867308343</v>
      </c>
    </row>
    <row r="160" spans="2:11" x14ac:dyDescent="0.25">
      <c r="B160" s="10">
        <v>156</v>
      </c>
      <c r="C160" s="21">
        <v>44047</v>
      </c>
      <c r="D160" s="12">
        <f t="shared" si="18"/>
        <v>40531.789648816208</v>
      </c>
      <c r="E160" s="12">
        <f t="shared" si="19"/>
        <v>117335.48229071866</v>
      </c>
      <c r="F160" s="12">
        <f t="shared" si="24"/>
        <v>133696.44797381398</v>
      </c>
      <c r="G160" s="12">
        <f t="shared" si="24"/>
        <v>16524.280086651186</v>
      </c>
      <c r="H160" s="9"/>
      <c r="I160" s="12">
        <f t="shared" si="21"/>
        <v>2304.3035803145185</v>
      </c>
      <c r="J160" s="12">
        <f t="shared" si="22"/>
        <v>3530.2672086986099</v>
      </c>
      <c r="K160" s="12">
        <f t="shared" si="23"/>
        <v>436.32516062567123</v>
      </c>
    </row>
    <row r="161" spans="2:11" x14ac:dyDescent="0.25">
      <c r="B161" s="10">
        <v>157</v>
      </c>
      <c r="C161" s="21">
        <v>44048</v>
      </c>
      <c r="D161" s="12">
        <f t="shared" si="18"/>
        <v>38378.68275468293</v>
      </c>
      <c r="E161" s="12">
        <f t="shared" si="19"/>
        <v>115577.40644182797</v>
      </c>
      <c r="F161" s="12">
        <f t="shared" si="24"/>
        <v>137177.40061510529</v>
      </c>
      <c r="G161" s="12">
        <f t="shared" si="24"/>
        <v>16954.510188383822</v>
      </c>
      <c r="H161" s="9"/>
      <c r="I161" s="12">
        <f t="shared" si="21"/>
        <v>2153.1068941332755</v>
      </c>
      <c r="J161" s="12">
        <f t="shared" si="22"/>
        <v>3480.9526412913197</v>
      </c>
      <c r="K161" s="12">
        <f t="shared" si="23"/>
        <v>430.23010173263549</v>
      </c>
    </row>
    <row r="162" spans="2:11" x14ac:dyDescent="0.25">
      <c r="B162" s="10">
        <v>158</v>
      </c>
      <c r="C162" s="21">
        <v>44049</v>
      </c>
      <c r="D162" s="12">
        <f t="shared" si="18"/>
        <v>36367.531314781794</v>
      </c>
      <c r="E162" s="12">
        <f t="shared" si="19"/>
        <v>113735.97766700151</v>
      </c>
      <c r="F162" s="12">
        <f t="shared" si="24"/>
        <v>140606.19700621284</v>
      </c>
      <c r="G162" s="12">
        <f t="shared" si="24"/>
        <v>17378.294012003858</v>
      </c>
      <c r="H162" s="9"/>
      <c r="I162" s="12">
        <f t="shared" si="21"/>
        <v>2011.151439901138</v>
      </c>
      <c r="J162" s="12">
        <f t="shared" si="22"/>
        <v>3428.7963911075631</v>
      </c>
      <c r="K162" s="12">
        <f t="shared" si="23"/>
        <v>423.78382362003629</v>
      </c>
    </row>
    <row r="163" spans="2:11" x14ac:dyDescent="0.25">
      <c r="B163" s="10">
        <v>159</v>
      </c>
      <c r="C163" s="21">
        <v>44050</v>
      </c>
      <c r="D163" s="12">
        <f t="shared" si="18"/>
        <v>34489.399429132784</v>
      </c>
      <c r="E163" s="12">
        <f t="shared" si="19"/>
        <v>111822.91029708381</v>
      </c>
      <c r="F163" s="12">
        <f t="shared" si="24"/>
        <v>143980.36434366723</v>
      </c>
      <c r="G163" s="12">
        <f t="shared" si="24"/>
        <v>17795.325930116196</v>
      </c>
      <c r="H163" s="9"/>
      <c r="I163" s="12">
        <f t="shared" si="21"/>
        <v>1878.1318856490088</v>
      </c>
      <c r="J163" s="12">
        <f t="shared" si="22"/>
        <v>3374.1673374543775</v>
      </c>
      <c r="K163" s="12">
        <f t="shared" si="23"/>
        <v>417.03191811233927</v>
      </c>
    </row>
    <row r="164" spans="2:11" x14ac:dyDescent="0.25">
      <c r="B164" s="10">
        <v>160</v>
      </c>
      <c r="C164" s="21">
        <v>44051</v>
      </c>
      <c r="D164" s="12">
        <f t="shared" si="18"/>
        <v>32735.703563118885</v>
      </c>
      <c r="E164" s="12">
        <f t="shared" si="19"/>
        <v>109849.1758198616</v>
      </c>
      <c r="F164" s="12">
        <f t="shared" si="24"/>
        <v>147297.77734914739</v>
      </c>
      <c r="G164" s="12">
        <f t="shared" si="24"/>
        <v>18205.343267872169</v>
      </c>
      <c r="H164" s="9"/>
      <c r="I164" s="12">
        <f t="shared" si="21"/>
        <v>1753.6958660138996</v>
      </c>
      <c r="J164" s="12">
        <f t="shared" si="22"/>
        <v>3317.4130054801526</v>
      </c>
      <c r="K164" s="12">
        <f t="shared" si="23"/>
        <v>410.01733775597432</v>
      </c>
    </row>
    <row r="165" spans="2:11" x14ac:dyDescent="0.25">
      <c r="B165" s="10">
        <v>161</v>
      </c>
      <c r="C165" s="21">
        <v>44052</v>
      </c>
      <c r="D165" s="12">
        <f t="shared" si="18"/>
        <v>31098.245521366625</v>
      </c>
      <c r="E165" s="12">
        <f t="shared" si="19"/>
        <v>107824.99466761848</v>
      </c>
      <c r="F165" s="12">
        <f t="shared" si="24"/>
        <v>150556.63623180328</v>
      </c>
      <c r="G165" s="12">
        <f t="shared" si="24"/>
        <v>18608.12357921166</v>
      </c>
      <c r="H165" s="9"/>
      <c r="I165" s="12">
        <f t="shared" si="21"/>
        <v>1637.4580417522609</v>
      </c>
      <c r="J165" s="12">
        <f t="shared" si="22"/>
        <v>3258.8588826558935</v>
      </c>
      <c r="K165" s="12">
        <f t="shared" si="23"/>
        <v>402.78031133949293</v>
      </c>
    </row>
    <row r="166" spans="2:11" x14ac:dyDescent="0.25">
      <c r="B166" s="10">
        <v>162</v>
      </c>
      <c r="C166" s="21">
        <v>44053</v>
      </c>
      <c r="D166" s="12">
        <f t="shared" si="18"/>
        <v>29569.23354905111</v>
      </c>
      <c r="E166" s="12">
        <f t="shared" si="19"/>
        <v>105759.84015101338</v>
      </c>
      <c r="F166" s="12">
        <f t="shared" ref="F166:G181" si="25">F165+J166</f>
        <v>153755.44440694264</v>
      </c>
      <c r="G166" s="12">
        <f t="shared" si="25"/>
        <v>19003.481892992928</v>
      </c>
      <c r="H166" s="9"/>
      <c r="I166" s="12">
        <f t="shared" si="21"/>
        <v>1529.0119723155158</v>
      </c>
      <c r="J166" s="12">
        <f t="shared" si="22"/>
        <v>3198.8081751393479</v>
      </c>
      <c r="K166" s="12">
        <f t="shared" si="23"/>
        <v>395.35831378126812</v>
      </c>
    </row>
    <row r="167" spans="2:11" x14ac:dyDescent="0.25">
      <c r="B167" s="10">
        <v>163</v>
      </c>
      <c r="C167" s="21">
        <v>44054</v>
      </c>
      <c r="D167" s="12">
        <f t="shared" si="18"/>
        <v>28141.293577413118</v>
      </c>
      <c r="E167" s="12">
        <f t="shared" si="19"/>
        <v>103662.45211761761</v>
      </c>
      <c r="F167" s="12">
        <f t="shared" si="25"/>
        <v>156892.9863314227</v>
      </c>
      <c r="G167" s="12">
        <f t="shared" si="25"/>
        <v>19391.267973546644</v>
      </c>
      <c r="H167" s="9"/>
      <c r="I167" s="12">
        <f t="shared" si="21"/>
        <v>1427.9399716379937</v>
      </c>
      <c r="J167" s="12">
        <f t="shared" si="22"/>
        <v>3137.5419244800637</v>
      </c>
      <c r="K167" s="12">
        <f t="shared" si="23"/>
        <v>387.78608055371609</v>
      </c>
    </row>
    <row r="168" spans="2:11" x14ac:dyDescent="0.25">
      <c r="B168" s="10">
        <v>164</v>
      </c>
      <c r="C168" s="21">
        <v>44055</v>
      </c>
      <c r="D168" s="12">
        <f t="shared" si="18"/>
        <v>26807.472432183662</v>
      </c>
      <c r="E168" s="12">
        <f t="shared" si="19"/>
        <v>101540.85819225981</v>
      </c>
      <c r="F168" s="12">
        <f t="shared" si="25"/>
        <v>159968.30574424536</v>
      </c>
      <c r="G168" s="12">
        <f t="shared" si="25"/>
        <v>19771.363631311244</v>
      </c>
      <c r="H168" s="9"/>
      <c r="I168" s="12">
        <f t="shared" si="21"/>
        <v>1333.821145229457</v>
      </c>
      <c r="J168" s="12">
        <f t="shared" si="22"/>
        <v>3075.3194128226551</v>
      </c>
      <c r="K168" s="12">
        <f t="shared" si="23"/>
        <v>380.09565776459823</v>
      </c>
    </row>
    <row r="169" spans="2:11" x14ac:dyDescent="0.25">
      <c r="B169" s="10">
        <v>165</v>
      </c>
      <c r="C169" s="21">
        <v>44056</v>
      </c>
      <c r="D169" s="12">
        <f t="shared" si="18"/>
        <v>25561.234613881737</v>
      </c>
      <c r="E169" s="12">
        <f t="shared" si="19"/>
        <v>99402.400737486416</v>
      </c>
      <c r="F169" s="12">
        <f t="shared" si="25"/>
        <v>162980.68453728239</v>
      </c>
      <c r="G169" s="12">
        <f t="shared" si="25"/>
        <v>20143.680111349531</v>
      </c>
      <c r="H169" s="9"/>
      <c r="I169" s="12">
        <f t="shared" si="21"/>
        <v>1246.2378183019255</v>
      </c>
      <c r="J169" s="12">
        <f t="shared" si="22"/>
        <v>3012.3787930370404</v>
      </c>
      <c r="K169" s="12">
        <f t="shared" si="23"/>
        <v>372.31648003828633</v>
      </c>
    </row>
    <row r="170" spans="2:11" x14ac:dyDescent="0.25">
      <c r="B170" s="10">
        <v>166</v>
      </c>
      <c r="C170" s="21">
        <v>44057</v>
      </c>
      <c r="D170" s="12">
        <f t="shared" si="18"/>
        <v>24396.454049573389</v>
      </c>
      <c r="E170" s="12">
        <f t="shared" si="19"/>
        <v>97253.767943878542</v>
      </c>
      <c r="F170" s="12">
        <f t="shared" si="25"/>
        <v>165929.62242582781</v>
      </c>
      <c r="G170" s="12">
        <f t="shared" si="25"/>
        <v>20508.155580720315</v>
      </c>
      <c r="H170" s="9"/>
      <c r="I170" s="12">
        <f t="shared" si="21"/>
        <v>1164.7805643083468</v>
      </c>
      <c r="J170" s="12">
        <f t="shared" si="22"/>
        <v>2948.9378885454298</v>
      </c>
      <c r="K170" s="12">
        <f t="shared" si="23"/>
        <v>364.47546937078386</v>
      </c>
    </row>
    <row r="171" spans="2:11" x14ac:dyDescent="0.25">
      <c r="B171" s="10">
        <v>167</v>
      </c>
      <c r="C171" s="21">
        <v>44058</v>
      </c>
      <c r="D171" s="12">
        <f t="shared" si="18"/>
        <v>23307.402015009535</v>
      </c>
      <c r="E171" s="12">
        <f t="shared" si="19"/>
        <v>95101.027713646443</v>
      </c>
      <c r="F171" s="12">
        <f t="shared" si="25"/>
        <v>168814.81754149622</v>
      </c>
      <c r="G171" s="12">
        <f t="shared" si="25"/>
        <v>20864.752729847871</v>
      </c>
      <c r="H171" s="9"/>
      <c r="I171" s="12">
        <f t="shared" si="21"/>
        <v>1089.0520345638542</v>
      </c>
      <c r="J171" s="12">
        <f t="shared" si="22"/>
        <v>2885.1951156683963</v>
      </c>
      <c r="K171" s="12">
        <f t="shared" si="23"/>
        <v>356.59714912755499</v>
      </c>
    </row>
    <row r="172" spans="2:11" x14ac:dyDescent="0.25">
      <c r="B172" s="10">
        <v>168</v>
      </c>
      <c r="C172" s="21">
        <v>44059</v>
      </c>
      <c r="D172" s="12">
        <f t="shared" si="18"/>
        <v>22288.732239509583</v>
      </c>
      <c r="E172" s="12">
        <f t="shared" si="19"/>
        <v>92949.663232024832</v>
      </c>
      <c r="F172" s="12">
        <f t="shared" si="25"/>
        <v>171636.14803033439</v>
      </c>
      <c r="G172" s="12">
        <f t="shared" si="25"/>
        <v>21213.45649813124</v>
      </c>
      <c r="H172" s="9"/>
      <c r="I172" s="12">
        <f t="shared" si="21"/>
        <v>1018.6697754999506</v>
      </c>
      <c r="J172" s="12">
        <f t="shared" si="22"/>
        <v>2821.3304888381772</v>
      </c>
      <c r="K172" s="12">
        <f t="shared" si="23"/>
        <v>348.70376828337061</v>
      </c>
    </row>
    <row r="173" spans="2:11" x14ac:dyDescent="0.25">
      <c r="B173" s="10">
        <v>169</v>
      </c>
      <c r="C173" s="21">
        <v>44060</v>
      </c>
      <c r="D173" s="12">
        <f t="shared" si="18"/>
        <v>21335.464036650254</v>
      </c>
      <c r="E173" s="12">
        <f t="shared" si="19"/>
        <v>90804.609327149999</v>
      </c>
      <c r="F173" s="12">
        <f t="shared" si="25"/>
        <v>174393.65470621779</v>
      </c>
      <c r="G173" s="12">
        <f t="shared" si="25"/>
        <v>21554.271929981998</v>
      </c>
      <c r="H173" s="9"/>
      <c r="I173" s="12">
        <f t="shared" si="21"/>
        <v>953.26820285933002</v>
      </c>
      <c r="J173" s="12">
        <f t="shared" si="22"/>
        <v>2757.5066758834027</v>
      </c>
      <c r="K173" s="12">
        <f t="shared" si="23"/>
        <v>340.81543185075799</v>
      </c>
    </row>
    <row r="174" spans="2:11" x14ac:dyDescent="0.25">
      <c r="B174" s="10">
        <v>170</v>
      </c>
      <c r="C174" s="21">
        <v>44061</v>
      </c>
      <c r="D174" s="12">
        <f t="shared" si="18"/>
        <v>20442.96415315722</v>
      </c>
      <c r="E174" s="12">
        <f t="shared" si="19"/>
        <v>88670.288899738021</v>
      </c>
      <c r="F174" s="12">
        <f t="shared" si="25"/>
        <v>177087.52478292322</v>
      </c>
      <c r="G174" s="12">
        <f t="shared" si="25"/>
        <v>21887.222164181549</v>
      </c>
      <c r="H174" s="9"/>
      <c r="I174" s="12">
        <f t="shared" si="21"/>
        <v>892.49988349303476</v>
      </c>
      <c r="J174" s="12">
        <f t="shared" si="22"/>
        <v>2693.8700767054497</v>
      </c>
      <c r="K174" s="12">
        <f t="shared" si="23"/>
        <v>332.95023419955032</v>
      </c>
    </row>
    <row r="175" spans="2:11" x14ac:dyDescent="0.25">
      <c r="B175" s="10">
        <v>171</v>
      </c>
      <c r="C175" s="21">
        <v>44062</v>
      </c>
      <c r="D175" s="12">
        <f t="shared" si="18"/>
        <v>19606.927896548288</v>
      </c>
      <c r="E175" s="12">
        <f t="shared" si="19"/>
        <v>86550.648859689027</v>
      </c>
      <c r="F175" s="12">
        <f t="shared" si="25"/>
        <v>179718.0766869488</v>
      </c>
      <c r="G175" s="12">
        <f t="shared" si="25"/>
        <v>22212.346556813922</v>
      </c>
      <c r="H175" s="9"/>
      <c r="I175" s="12">
        <f t="shared" si="21"/>
        <v>836.0362566089309</v>
      </c>
      <c r="J175" s="12">
        <f t="shared" si="22"/>
        <v>2630.5519040255608</v>
      </c>
      <c r="K175" s="12">
        <f t="shared" si="23"/>
        <v>325.12439263237303</v>
      </c>
    </row>
    <row r="176" spans="2:11" x14ac:dyDescent="0.25">
      <c r="B176" s="10">
        <v>172</v>
      </c>
      <c r="C176" s="21">
        <v>44063</v>
      </c>
      <c r="D176" s="12">
        <f t="shared" si="18"/>
        <v>18823.359988361306</v>
      </c>
      <c r="E176" s="12">
        <f t="shared" si="19"/>
        <v>84449.195139219708</v>
      </c>
      <c r="F176" s="12">
        <f t="shared" si="25"/>
        <v>182285.74593645291</v>
      </c>
      <c r="G176" s="12">
        <f t="shared" si="25"/>
        <v>22529.698935966117</v>
      </c>
      <c r="H176" s="9"/>
      <c r="I176" s="12">
        <f t="shared" si="21"/>
        <v>783.56790818698153</v>
      </c>
      <c r="J176" s="12">
        <f t="shared" si="22"/>
        <v>2567.6692495041075</v>
      </c>
      <c r="K176" s="12">
        <f t="shared" si="23"/>
        <v>317.35237915219335</v>
      </c>
    </row>
    <row r="177" spans="2:11" x14ac:dyDescent="0.25">
      <c r="B177" s="10">
        <v>173</v>
      </c>
      <c r="C177" s="21">
        <v>44064</v>
      </c>
      <c r="D177" s="12">
        <f t="shared" si="18"/>
        <v>18088.555492998759</v>
      </c>
      <c r="E177" s="12">
        <f t="shared" si="19"/>
        <v>82369.026463274931</v>
      </c>
      <c r="F177" s="12">
        <f t="shared" si="25"/>
        <v>184791.07205891641</v>
      </c>
      <c r="G177" s="12">
        <f t="shared" si="25"/>
        <v>22839.345984809923</v>
      </c>
      <c r="H177" s="9"/>
      <c r="I177" s="12">
        <f t="shared" si="21"/>
        <v>734.80449536254582</v>
      </c>
      <c r="J177" s="12">
        <f t="shared" si="22"/>
        <v>2505.326122463518</v>
      </c>
      <c r="K177" s="12">
        <f t="shared" si="23"/>
        <v>309.64704884380592</v>
      </c>
    </row>
    <row r="178" spans="2:11" x14ac:dyDescent="0.25">
      <c r="B178" s="10">
        <v>174</v>
      </c>
      <c r="C178" s="21">
        <v>44065</v>
      </c>
      <c r="D178" s="12">
        <f t="shared" si="18"/>
        <v>17399.081090806569</v>
      </c>
      <c r="E178" s="12">
        <f t="shared" si="19"/>
        <v>80312.866650024633</v>
      </c>
      <c r="F178" s="12">
        <f t="shared" si="25"/>
        <v>187234.68651066025</v>
      </c>
      <c r="G178" s="12">
        <f t="shared" si="25"/>
        <v>23141.365748508597</v>
      </c>
      <c r="H178" s="9"/>
      <c r="I178" s="12">
        <f t="shared" si="21"/>
        <v>689.47440219219209</v>
      </c>
      <c r="J178" s="12">
        <f t="shared" si="22"/>
        <v>2443.6144517438229</v>
      </c>
      <c r="K178" s="12">
        <f t="shared" si="23"/>
        <v>302.01976369867504</v>
      </c>
    </row>
    <row r="179" spans="2:11" x14ac:dyDescent="0.25">
      <c r="B179" s="10">
        <v>175</v>
      </c>
      <c r="C179" s="21">
        <v>44066</v>
      </c>
      <c r="D179" s="12">
        <f t="shared" si="18"/>
        <v>16751.756896310486</v>
      </c>
      <c r="E179" s="12">
        <f t="shared" si="19"/>
        <v>78283.095289519886</v>
      </c>
      <c r="F179" s="12">
        <f t="shared" si="25"/>
        <v>189617.30155461098</v>
      </c>
      <c r="G179" s="12">
        <f t="shared" si="25"/>
        <v>23435.846259558686</v>
      </c>
      <c r="H179" s="9"/>
      <c r="I179" s="12">
        <f t="shared" si="21"/>
        <v>647.32419449608244</v>
      </c>
      <c r="J179" s="12">
        <f t="shared" si="22"/>
        <v>2382.6150439507305</v>
      </c>
      <c r="K179" s="12">
        <f t="shared" si="23"/>
        <v>294.48051105009057</v>
      </c>
    </row>
    <row r="180" spans="2:11" x14ac:dyDescent="0.25">
      <c r="B180" s="10">
        <v>176</v>
      </c>
      <c r="C180" s="21">
        <v>44067</v>
      </c>
      <c r="D180" s="12">
        <f t="shared" si="18"/>
        <v>16143.638966874052</v>
      </c>
      <c r="E180" s="12">
        <f t="shared" si="19"/>
        <v>76281.776709305646</v>
      </c>
      <c r="F180" s="12">
        <f t="shared" si="25"/>
        <v>191939.70004820006</v>
      </c>
      <c r="G180" s="12">
        <f t="shared" si="25"/>
        <v>23722.884275620258</v>
      </c>
      <c r="H180" s="9"/>
      <c r="I180" s="12">
        <f t="shared" si="21"/>
        <v>608.1179294364332</v>
      </c>
      <c r="J180" s="12">
        <f t="shared" si="22"/>
        <v>2322.3984935890899</v>
      </c>
      <c r="K180" s="12">
        <f t="shared" si="23"/>
        <v>287.03801606157316</v>
      </c>
    </row>
    <row r="181" spans="2:11" x14ac:dyDescent="0.25">
      <c r="B181" s="10">
        <v>177</v>
      </c>
      <c r="C181" s="21">
        <v>44068</v>
      </c>
      <c r="D181" s="12">
        <f t="shared" si="18"/>
        <v>15572.002601791482</v>
      </c>
      <c r="E181" s="12">
        <f t="shared" si="19"/>
        <v>74310.687184078022</v>
      </c>
      <c r="F181" s="12">
        <f t="shared" si="25"/>
        <v>194202.72609057612</v>
      </c>
      <c r="G181" s="12">
        <f t="shared" si="25"/>
        <v>24002.584123554378</v>
      </c>
      <c r="H181" s="9"/>
      <c r="I181" s="12">
        <f t="shared" si="21"/>
        <v>571.63636508256934</v>
      </c>
      <c r="J181" s="12">
        <f t="shared" si="22"/>
        <v>2263.0260423760674</v>
      </c>
      <c r="K181" s="12">
        <f t="shared" si="23"/>
        <v>279.69984793412095</v>
      </c>
    </row>
    <row r="182" spans="2:11" x14ac:dyDescent="0.25">
      <c r="B182" s="10">
        <v>178</v>
      </c>
      <c r="C182" s="21">
        <v>44069</v>
      </c>
      <c r="D182" s="12">
        <f t="shared" si="18"/>
        <v>15034.326495471918</v>
      </c>
      <c r="E182" s="12">
        <f t="shared" si="19"/>
        <v>72371.340384261654</v>
      </c>
      <c r="F182" s="12">
        <f t="shared" ref="F182:G197" si="26">F181+J182</f>
        <v>196407.27647703711</v>
      </c>
      <c r="G182" s="12">
        <f t="shared" si="26"/>
        <v>24275.056643229331</v>
      </c>
      <c r="H182" s="9"/>
      <c r="I182" s="12">
        <f t="shared" si="21"/>
        <v>537.67610631956506</v>
      </c>
      <c r="J182" s="12">
        <f t="shared" si="22"/>
        <v>2204.5503864609809</v>
      </c>
      <c r="K182" s="12">
        <f t="shared" si="23"/>
        <v>272.47251967495299</v>
      </c>
    </row>
    <row r="183" spans="2:11" x14ac:dyDescent="0.25">
      <c r="B183" s="10">
        <v>179</v>
      </c>
      <c r="C183" s="21">
        <v>44070</v>
      </c>
      <c r="D183" s="12">
        <f t="shared" si="18"/>
        <v>14528.277779530481</v>
      </c>
      <c r="E183" s="12">
        <f t="shared" si="19"/>
        <v>70465.011087394363</v>
      </c>
      <c r="F183" s="12">
        <f t="shared" si="26"/>
        <v>198554.29290843688</v>
      </c>
      <c r="G183" s="12">
        <f t="shared" si="26"/>
        <v>24540.418224638292</v>
      </c>
      <c r="H183" s="9"/>
      <c r="I183" s="12">
        <f t="shared" si="21"/>
        <v>506.04871594143737</v>
      </c>
      <c r="J183" s="12">
        <f t="shared" si="22"/>
        <v>2147.016431399762</v>
      </c>
      <c r="K183" s="12">
        <f t="shared" si="23"/>
        <v>265.36158140895964</v>
      </c>
    </row>
    <row r="184" spans="2:11" x14ac:dyDescent="0.25">
      <c r="B184" s="10">
        <v>180</v>
      </c>
      <c r="C184" s="21">
        <v>44071</v>
      </c>
      <c r="D184" s="12">
        <f t="shared" si="18"/>
        <v>14051.697966048998</v>
      </c>
      <c r="E184" s="12">
        <f t="shared" si="19"/>
        <v>68592.757197962695</v>
      </c>
      <c r="F184" s="12">
        <f t="shared" si="26"/>
        <v>200644.75490402957</v>
      </c>
      <c r="G184" s="12">
        <f t="shared" si="26"/>
        <v>24798.789931958738</v>
      </c>
      <c r="H184" s="9"/>
      <c r="I184" s="12">
        <f t="shared" si="21"/>
        <v>476.57981348148354</v>
      </c>
      <c r="J184" s="12">
        <f t="shared" si="22"/>
        <v>2090.4619955926992</v>
      </c>
      <c r="K184" s="12">
        <f t="shared" si="23"/>
        <v>258.37170732044626</v>
      </c>
    </row>
    <row r="185" spans="2:11" x14ac:dyDescent="0.25">
      <c r="B185" s="10">
        <v>181</v>
      </c>
      <c r="C185" s="21">
        <v>44072</v>
      </c>
      <c r="D185" s="12">
        <f t="shared" si="18"/>
        <v>13602.589786928407</v>
      </c>
      <c r="E185" s="12">
        <f t="shared" si="19"/>
        <v>66755.440137151192</v>
      </c>
      <c r="F185" s="12">
        <f t="shared" si="26"/>
        <v>202679.67336756914</v>
      </c>
      <c r="G185" s="12">
        <f t="shared" si="26"/>
        <v>25050.296708351267</v>
      </c>
      <c r="H185" s="9"/>
      <c r="I185" s="12">
        <f t="shared" si="21"/>
        <v>449.10817912058985</v>
      </c>
      <c r="J185" s="12">
        <f t="shared" si="22"/>
        <v>2034.9184635395598</v>
      </c>
      <c r="K185" s="12">
        <f t="shared" si="23"/>
        <v>251.5067763925301</v>
      </c>
    </row>
    <row r="186" spans="2:11" x14ac:dyDescent="0.25">
      <c r="B186" s="10">
        <v>182</v>
      </c>
      <c r="C186" s="21">
        <v>44073</v>
      </c>
      <c r="D186" s="12">
        <f t="shared" si="18"/>
        <v>13179.104911194194</v>
      </c>
      <c r="E186" s="12">
        <f t="shared" si="19"/>
        <v>64953.743674980367</v>
      </c>
      <c r="F186" s="12">
        <f t="shared" si="26"/>
        <v>204660.08475830461</v>
      </c>
      <c r="G186" s="12">
        <f t="shared" si="26"/>
        <v>25295.066655520823</v>
      </c>
      <c r="H186" s="9"/>
      <c r="I186" s="12">
        <f t="shared" si="21"/>
        <v>423.48487573421363</v>
      </c>
      <c r="J186" s="12">
        <f t="shared" si="22"/>
        <v>1980.4113907354852</v>
      </c>
      <c r="K186" s="12">
        <f t="shared" si="23"/>
        <v>244.7699471695546</v>
      </c>
    </row>
    <row r="187" spans="2:11" x14ac:dyDescent="0.25">
      <c r="B187" s="10">
        <v>183</v>
      </c>
      <c r="C187" s="13">
        <v>44074</v>
      </c>
      <c r="D187" s="12">
        <f t="shared" si="18"/>
        <v>12779.532512538637</v>
      </c>
      <c r="E187" s="12">
        <f t="shared" si="19"/>
        <v>63188.191284469904</v>
      </c>
      <c r="F187" s="12">
        <f t="shared" si="26"/>
        <v>206587.04582066237</v>
      </c>
      <c r="G187" s="12">
        <f t="shared" si="26"/>
        <v>25533.230382329086</v>
      </c>
      <c r="H187" s="9"/>
      <c r="I187" s="12">
        <f t="shared" si="21"/>
        <v>399.5723986555567</v>
      </c>
      <c r="J187" s="12">
        <f t="shared" si="22"/>
        <v>1926.9610623577507</v>
      </c>
      <c r="K187" s="12">
        <f t="shared" si="23"/>
        <v>238.16372680826154</v>
      </c>
    </row>
    <row r="188" spans="2:11" x14ac:dyDescent="0.25">
      <c r="B188" s="10">
        <v>184</v>
      </c>
      <c r="C188" s="21">
        <v>44075</v>
      </c>
      <c r="D188" s="12">
        <f t="shared" si="18"/>
        <v>12402.28865261449</v>
      </c>
      <c r="E188" s="12">
        <f t="shared" si="19"/>
        <v>61459.162101578382</v>
      </c>
      <c r="F188" s="12">
        <f t="shared" si="26"/>
        <v>208461.62882876833</v>
      </c>
      <c r="G188" s="12">
        <f t="shared" si="26"/>
        <v>25764.920417038807</v>
      </c>
      <c r="H188" s="9"/>
      <c r="I188" s="12">
        <f t="shared" si="21"/>
        <v>377.24385992414591</v>
      </c>
      <c r="J188" s="12">
        <f t="shared" si="22"/>
        <v>1874.5830081059403</v>
      </c>
      <c r="K188" s="12">
        <f t="shared" si="23"/>
        <v>231.69003470972316</v>
      </c>
    </row>
    <row r="189" spans="2:11" x14ac:dyDescent="0.25">
      <c r="B189" s="10">
        <v>185</v>
      </c>
      <c r="C189" s="21">
        <v>44076</v>
      </c>
      <c r="D189" s="12">
        <f t="shared" si="18"/>
        <v>12045.906441067364</v>
      </c>
      <c r="E189" s="12">
        <f t="shared" si="19"/>
        <v>59766.905576406229</v>
      </c>
      <c r="F189" s="12">
        <f t="shared" si="26"/>
        <v>210284.91730444849</v>
      </c>
      <c r="G189" s="12">
        <f t="shared" si="26"/>
        <v>25990.27067807793</v>
      </c>
      <c r="H189" s="9"/>
      <c r="I189" s="12">
        <f t="shared" si="21"/>
        <v>356.38221154712681</v>
      </c>
      <c r="J189" s="12">
        <f t="shared" si="22"/>
        <v>1823.2884756801584</v>
      </c>
      <c r="K189" s="12">
        <f t="shared" si="23"/>
        <v>225.35026103912094</v>
      </c>
    </row>
    <row r="190" spans="2:11" x14ac:dyDescent="0.25">
      <c r="B190" s="10">
        <v>186</v>
      </c>
      <c r="C190" s="21">
        <v>44077</v>
      </c>
      <c r="D190" s="12">
        <f t="shared" si="18"/>
        <v>11709.02693053732</v>
      </c>
      <c r="E190" s="12">
        <f t="shared" si="19"/>
        <v>58111.554901056072</v>
      </c>
      <c r="F190" s="12">
        <f t="shared" si="26"/>
        <v>212058.00216988189</v>
      </c>
      <c r="G190" s="12">
        <f t="shared" si="26"/>
        <v>26209.415998524753</v>
      </c>
      <c r="H190" s="9"/>
      <c r="I190" s="12">
        <f t="shared" si="21"/>
        <v>336.87951053004269</v>
      </c>
      <c r="J190" s="12">
        <f t="shared" si="22"/>
        <v>1773.0848654333847</v>
      </c>
      <c r="K190" s="12">
        <f t="shared" si="23"/>
        <v>219.14532044682304</v>
      </c>
    </row>
    <row r="191" spans="2:11" x14ac:dyDescent="0.25">
      <c r="B191" s="10">
        <v>187</v>
      </c>
      <c r="C191" s="21">
        <v>44078</v>
      </c>
      <c r="D191" s="12">
        <f t="shared" si="18"/>
        <v>11390.390703484698</v>
      </c>
      <c r="E191" s="12">
        <f t="shared" si="19"/>
        <v>56493.139298073489</v>
      </c>
      <c r="F191" s="12">
        <f t="shared" si="26"/>
        <v>213781.97829861322</v>
      </c>
      <c r="G191" s="12">
        <f t="shared" si="26"/>
        <v>26422.491699828624</v>
      </c>
      <c r="H191" s="9"/>
      <c r="I191" s="12">
        <f t="shared" si="21"/>
        <v>318.63622705262321</v>
      </c>
      <c r="J191" s="12">
        <f t="shared" si="22"/>
        <v>1723.9761287313299</v>
      </c>
      <c r="K191" s="12">
        <f t="shared" si="23"/>
        <v>213.07570130387245</v>
      </c>
    </row>
    <row r="192" spans="2:11" x14ac:dyDescent="0.25">
      <c r="B192" s="10">
        <v>188</v>
      </c>
      <c r="C192" s="21">
        <v>44079</v>
      </c>
      <c r="D192" s="12">
        <f t="shared" si="18"/>
        <v>11088.830107381782</v>
      </c>
      <c r="E192" s="12">
        <f t="shared" si="19"/>
        <v>54911.595250907289</v>
      </c>
      <c r="F192" s="12">
        <f t="shared" si="26"/>
        <v>215457.94143112274</v>
      </c>
      <c r="G192" s="12">
        <f t="shared" si="26"/>
        <v>26629.633210588228</v>
      </c>
      <c r="H192" s="9"/>
      <c r="I192" s="12">
        <f t="shared" si="21"/>
        <v>301.5605961029155</v>
      </c>
      <c r="J192" s="12">
        <f t="shared" si="22"/>
        <v>1675.9631325095133</v>
      </c>
      <c r="K192" s="12">
        <f t="shared" si="23"/>
        <v>207.14151075960299</v>
      </c>
    </row>
    <row r="193" spans="2:11" x14ac:dyDescent="0.25">
      <c r="B193" s="10">
        <v>189</v>
      </c>
      <c r="C193" s="21">
        <v>44080</v>
      </c>
      <c r="D193" s="12">
        <f t="shared" si="18"/>
        <v>10803.262095301319</v>
      </c>
      <c r="E193" s="12">
        <f t="shared" si="19"/>
        <v>53366.776754624174</v>
      </c>
      <c r="F193" s="12">
        <f t="shared" si="26"/>
        <v>217086.98542356634</v>
      </c>
      <c r="G193" s="12">
        <f t="shared" si="26"/>
        <v>26830.975726508223</v>
      </c>
      <c r="H193" s="9"/>
      <c r="I193" s="12">
        <f t="shared" si="21"/>
        <v>285.56801208046346</v>
      </c>
      <c r="J193" s="12">
        <f t="shared" si="22"/>
        <v>1629.0439924435827</v>
      </c>
      <c r="K193" s="12">
        <f t="shared" si="23"/>
        <v>201.34251591999359</v>
      </c>
    </row>
    <row r="194" spans="2:11" x14ac:dyDescent="0.25">
      <c r="B194" s="10">
        <v>190</v>
      </c>
      <c r="C194" s="21">
        <v>44081</v>
      </c>
      <c r="D194" s="12">
        <f t="shared" si="18"/>
        <v>10532.681630015109</v>
      </c>
      <c r="E194" s="12">
        <f t="shared" si="19"/>
        <v>51858.464661422913</v>
      </c>
      <c r="F194" s="12">
        <f t="shared" si="26"/>
        <v>218670.19980062018</v>
      </c>
      <c r="G194" s="12">
        <f t="shared" si="26"/>
        <v>27026.653907941843</v>
      </c>
      <c r="H194" s="9"/>
      <c r="I194" s="12">
        <f t="shared" si="21"/>
        <v>270.58046528621026</v>
      </c>
      <c r="J194" s="12">
        <f t="shared" si="22"/>
        <v>1583.2143770538503</v>
      </c>
      <c r="K194" s="12">
        <f t="shared" si="23"/>
        <v>195.67818143362214</v>
      </c>
    </row>
    <row r="195" spans="2:11" x14ac:dyDescent="0.25">
      <c r="B195" s="10">
        <v>191</v>
      </c>
      <c r="C195" s="21">
        <v>44082</v>
      </c>
      <c r="D195" s="12">
        <f t="shared" si="18"/>
        <v>10276.155611223448</v>
      </c>
      <c r="E195" s="12">
        <f t="shared" si="19"/>
        <v>50386.375191500476</v>
      </c>
      <c r="F195" s="12">
        <f t="shared" si="26"/>
        <v>220208.66758557572</v>
      </c>
      <c r="G195" s="12">
        <f t="shared" si="26"/>
        <v>27216.801611700394</v>
      </c>
      <c r="H195" s="9"/>
      <c r="I195" s="12">
        <f t="shared" si="21"/>
        <v>256.52601879166042</v>
      </c>
      <c r="J195" s="12">
        <f t="shared" si="22"/>
        <v>1538.4677849555462</v>
      </c>
      <c r="K195" s="12">
        <f t="shared" si="23"/>
        <v>190.14770375855085</v>
      </c>
    </row>
    <row r="196" spans="2:11" x14ac:dyDescent="0.25">
      <c r="B196" s="10">
        <v>192</v>
      </c>
      <c r="C196" s="21">
        <v>44083</v>
      </c>
      <c r="D196" s="12">
        <f t="shared" si="18"/>
        <v>10032.81728733538</v>
      </c>
      <c r="E196" s="12">
        <f t="shared" si="19"/>
        <v>48950.167675671866</v>
      </c>
      <c r="F196" s="12">
        <f t="shared" si="26"/>
        <v>221703.46338292357</v>
      </c>
      <c r="G196" s="12">
        <f t="shared" si="26"/>
        <v>27401.55165406923</v>
      </c>
      <c r="H196" s="9"/>
      <c r="I196" s="12">
        <f t="shared" si="21"/>
        <v>243.33832388806803</v>
      </c>
      <c r="J196" s="12">
        <f t="shared" si="22"/>
        <v>1494.7957973478474</v>
      </c>
      <c r="K196" s="12">
        <f t="shared" si="23"/>
        <v>184.75004236883524</v>
      </c>
    </row>
    <row r="197" spans="2:11" x14ac:dyDescent="0.25">
      <c r="B197" s="10">
        <v>193</v>
      </c>
      <c r="C197" s="21">
        <v>44084</v>
      </c>
      <c r="D197" s="12">
        <f t="shared" si="18"/>
        <v>9801.8611152057874</v>
      </c>
      <c r="E197" s="12">
        <f t="shared" si="19"/>
        <v>47549.451591945726</v>
      </c>
      <c r="F197" s="12">
        <f t="shared" si="26"/>
        <v>223155.65169063516</v>
      </c>
      <c r="G197" s="12">
        <f t="shared" si="26"/>
        <v>27581.03560221336</v>
      </c>
      <c r="H197" s="9"/>
      <c r="I197" s="12">
        <f t="shared" si="21"/>
        <v>230.956172129593</v>
      </c>
      <c r="J197" s="12">
        <f t="shared" si="22"/>
        <v>1452.1883077115986</v>
      </c>
      <c r="K197" s="12">
        <f t="shared" si="23"/>
        <v>179.48394814413035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9582.5380333265366</v>
      </c>
      <c r="E198" s="12">
        <f t="shared" ref="E198:E204" si="28">E197+I198-J198-K198</f>
        <v>46183.792954093449</v>
      </c>
      <c r="F198" s="12">
        <f t="shared" ref="F198:G204" si="29">F197+J198</f>
        <v>224566.28542119623</v>
      </c>
      <c r="G198" s="12">
        <f t="shared" si="29"/>
        <v>27755.383591383827</v>
      </c>
      <c r="H198" s="9"/>
      <c r="I198" s="12">
        <f t="shared" ref="I198:I204" si="30">E197*N$6*D197/SUM(D197:F197)*N$7</f>
        <v>219.32308187925051</v>
      </c>
      <c r="J198" s="12">
        <f t="shared" ref="J198:J204" si="31">E197*N$8/N$5</f>
        <v>1410.6337305610564</v>
      </c>
      <c r="K198" s="12">
        <f t="shared" ref="K198:K204" si="32">E197*N$9/N$5</f>
        <v>174.34798917046783</v>
      </c>
    </row>
    <row r="199" spans="2:11" x14ac:dyDescent="0.25">
      <c r="B199" s="10">
        <v>195</v>
      </c>
      <c r="C199" s="21">
        <v>44086</v>
      </c>
      <c r="D199" s="12">
        <f t="shared" si="27"/>
        <v>9374.1511161023718</v>
      </c>
      <c r="E199" s="12">
        <f t="shared" si="28"/>
        <v>44852.720106181165</v>
      </c>
      <c r="F199" s="12">
        <f t="shared" si="29"/>
        <v>225936.40461216765</v>
      </c>
      <c r="G199" s="12">
        <f t="shared" si="29"/>
        <v>27924.724165548836</v>
      </c>
      <c r="H199" s="9"/>
      <c r="I199" s="12">
        <f t="shared" si="30"/>
        <v>208.3869172241653</v>
      </c>
      <c r="J199" s="12">
        <f t="shared" si="31"/>
        <v>1370.1191909714389</v>
      </c>
      <c r="K199" s="12">
        <f t="shared" si="32"/>
        <v>169.34057416500946</v>
      </c>
    </row>
    <row r="200" spans="2:11" x14ac:dyDescent="0.25">
      <c r="B200" s="10">
        <v>196</v>
      </c>
      <c r="C200" s="21">
        <v>44087</v>
      </c>
      <c r="D200" s="12">
        <f t="shared" si="27"/>
        <v>9176.0515789705023</v>
      </c>
      <c r="E200" s="12">
        <f t="shared" si="28"/>
        <v>43555.728973106998</v>
      </c>
      <c r="F200" s="12">
        <f t="shared" si="29"/>
        <v>227267.03530865101</v>
      </c>
      <c r="G200" s="12">
        <f t="shared" si="29"/>
        <v>28089.1841392715</v>
      </c>
      <c r="H200" s="9"/>
      <c r="I200" s="12">
        <f t="shared" si="30"/>
        <v>198.09953713187031</v>
      </c>
      <c r="J200" s="12">
        <f t="shared" si="31"/>
        <v>1330.6306964833743</v>
      </c>
      <c r="K200" s="12">
        <f t="shared" si="32"/>
        <v>164.45997372266442</v>
      </c>
    </row>
    <row r="201" spans="2:11" x14ac:dyDescent="0.25">
      <c r="B201" s="10">
        <v>197</v>
      </c>
      <c r="C201" s="21">
        <v>44088</v>
      </c>
      <c r="D201" s="12">
        <f t="shared" si="27"/>
        <v>8987.635106210595</v>
      </c>
      <c r="E201" s="12">
        <f t="shared" si="28"/>
        <v>42292.287813430004</v>
      </c>
      <c r="F201" s="12">
        <f t="shared" si="29"/>
        <v>228559.18860151985</v>
      </c>
      <c r="G201" s="12">
        <f t="shared" si="29"/>
        <v>28248.888478839559</v>
      </c>
      <c r="H201" s="9"/>
      <c r="I201" s="12">
        <f t="shared" si="30"/>
        <v>188.41647275990798</v>
      </c>
      <c r="J201" s="12">
        <f t="shared" si="31"/>
        <v>1292.1532928688407</v>
      </c>
      <c r="K201" s="12">
        <f t="shared" si="32"/>
        <v>159.70433956805911</v>
      </c>
    </row>
    <row r="202" spans="2:11" x14ac:dyDescent="0.25">
      <c r="B202" s="10">
        <v>198</v>
      </c>
      <c r="C202" s="21">
        <v>44089</v>
      </c>
      <c r="D202" s="12">
        <f t="shared" si="27"/>
        <v>8808.3384753135706</v>
      </c>
      <c r="E202" s="12">
        <f t="shared" si="28"/>
        <v>41061.841517212699</v>
      </c>
      <c r="F202" s="12">
        <f t="shared" si="29"/>
        <v>229813.8598066516</v>
      </c>
      <c r="G202" s="12">
        <f t="shared" si="29"/>
        <v>28403.960200822137</v>
      </c>
      <c r="H202" s="9"/>
      <c r="I202" s="12">
        <f t="shared" si="30"/>
        <v>179.29663089702484</v>
      </c>
      <c r="J202" s="12">
        <f t="shared" si="31"/>
        <v>1254.6712051317566</v>
      </c>
      <c r="K202" s="12">
        <f t="shared" si="32"/>
        <v>155.07172198257683</v>
      </c>
    </row>
    <row r="203" spans="2:11" x14ac:dyDescent="0.25">
      <c r="B203" s="10">
        <v>199</v>
      </c>
      <c r="C203" s="21">
        <v>44090</v>
      </c>
      <c r="D203" s="12">
        <f t="shared" si="27"/>
        <v>8637.6364537155005</v>
      </c>
      <c r="E203" s="12">
        <f t="shared" si="28"/>
        <v>39863.815488237007</v>
      </c>
      <c r="F203" s="12">
        <f t="shared" si="29"/>
        <v>231032.02777166225</v>
      </c>
      <c r="G203" s="12">
        <f t="shared" si="29"/>
        <v>28554.52028638525</v>
      </c>
      <c r="H203" s="9"/>
      <c r="I203" s="12">
        <f t="shared" si="30"/>
        <v>170.70202159806973</v>
      </c>
      <c r="J203" s="12">
        <f t="shared" si="31"/>
        <v>1218.1679650106432</v>
      </c>
      <c r="K203" s="12">
        <f t="shared" si="32"/>
        <v>150.56008556311335</v>
      </c>
    </row>
    <row r="204" spans="2:11" x14ac:dyDescent="0.25">
      <c r="B204" s="20">
        <v>200</v>
      </c>
      <c r="C204" s="21">
        <v>44091</v>
      </c>
      <c r="D204" s="12">
        <f t="shared" si="27"/>
        <v>8475.0389455452587</v>
      </c>
      <c r="E204" s="12">
        <f t="shared" si="28"/>
        <v>38697.619146799349</v>
      </c>
      <c r="F204" s="12">
        <f t="shared" si="29"/>
        <v>232214.65429781328</v>
      </c>
      <c r="G204" s="12">
        <f t="shared" si="29"/>
        <v>28700.68760984212</v>
      </c>
      <c r="H204" s="9"/>
      <c r="I204" s="12">
        <f t="shared" si="30"/>
        <v>162.59750817024241</v>
      </c>
      <c r="J204" s="12">
        <f t="shared" si="31"/>
        <v>1182.6265261510312</v>
      </c>
      <c r="K204" s="12">
        <f t="shared" si="32"/>
        <v>146.16732345686916</v>
      </c>
    </row>
    <row r="205" spans="2:11" x14ac:dyDescent="0.25">
      <c r="B205" s="19"/>
      <c r="C205" s="1"/>
      <c r="E205" s="12">
        <f>MAX(E4:E204)</f>
        <v>127333.14145125129</v>
      </c>
      <c r="I205" s="12">
        <f>MAX(I4:I204)</f>
        <v>6866.4111938951974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34479-420D-4E16-8CDD-F2DEAD094651}">
  <sheetPr codeName="Hoja11"/>
  <dimension ref="B2:N762"/>
  <sheetViews>
    <sheetView showGridLines="0" topLeftCell="A190" workbookViewId="0">
      <selection activeCell="I205" sqref="I205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4" t="s">
        <v>26</v>
      </c>
      <c r="E2" s="35"/>
      <c r="F2" s="35"/>
      <c r="G2" s="36"/>
      <c r="I2" s="34" t="s">
        <v>27</v>
      </c>
      <c r="J2" s="35"/>
      <c r="K2" s="36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161645</v>
      </c>
    </row>
    <row r="4" spans="2:14" x14ac:dyDescent="0.25">
      <c r="B4" s="10">
        <v>0</v>
      </c>
      <c r="C4" s="11">
        <v>43891</v>
      </c>
      <c r="D4" s="12">
        <f>N3</f>
        <v>161645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161644.86800081661</v>
      </c>
      <c r="E5" s="12">
        <f>E4+I5-J5-K5</f>
        <v>1.0986658500674311</v>
      </c>
      <c r="F5" s="12">
        <f>F4+J5</f>
        <v>2.9666666666666664E-2</v>
      </c>
      <c r="G5" s="12">
        <f>G4+K5</f>
        <v>3.6666666666666701E-3</v>
      </c>
      <c r="H5" s="9"/>
      <c r="I5" s="12">
        <f>E4*N$6*D4/SUM(D4:F4)*N$7</f>
        <v>0.13199918340076464</v>
      </c>
      <c r="J5" s="12">
        <f>E4*N$8/N$5</f>
        <v>2.9666666666666664E-2</v>
      </c>
      <c r="K5" s="12">
        <f>E4*N$9/N$5</f>
        <v>3.6666666666666701E-3</v>
      </c>
      <c r="M5" s="2" t="s">
        <v>7</v>
      </c>
      <c r="N5" s="18">
        <f>Datos!G3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161644.7229779367</v>
      </c>
      <c r="E6" s="12">
        <f t="shared" ref="E6:E69" si="1">E5+I6-J6-K6</f>
        <v>1.2070665349683236</v>
      </c>
      <c r="F6" s="12">
        <f t="shared" ref="F6:G21" si="2">F5+J6</f>
        <v>6.2260420218667123E-2</v>
      </c>
      <c r="G6" s="12">
        <f t="shared" si="2"/>
        <v>7.6951081169139204E-3</v>
      </c>
      <c r="H6" s="9"/>
      <c r="I6" s="12">
        <f t="shared" ref="I6:I69" si="3">E5*N$6*D5/SUM(D5:F5)*N$7</f>
        <v>0.14502287990314019</v>
      </c>
      <c r="J6" s="12">
        <f t="shared" ref="J6:J69" si="4">E5*N$8/N$5</f>
        <v>3.2593753552000455E-2</v>
      </c>
      <c r="K6" s="12">
        <f t="shared" ref="K6:K69" si="5">E5*N$9/N$5</f>
        <v>4.0284414502472507E-3</v>
      </c>
      <c r="M6" s="2" t="s">
        <v>8</v>
      </c>
      <c r="N6" s="3">
        <f>Datos!G4</f>
        <v>2</v>
      </c>
    </row>
    <row r="7" spans="2:14" x14ac:dyDescent="0.25">
      <c r="B7" s="10">
        <v>3</v>
      </c>
      <c r="C7" s="11">
        <v>43894</v>
      </c>
      <c r="D7" s="12">
        <f t="shared" si="0"/>
        <v>161644.56364640524</v>
      </c>
      <c r="E7" s="12">
        <f t="shared" si="1"/>
        <v>1.3261625152560812</v>
      </c>
      <c r="F7" s="12">
        <f t="shared" si="2"/>
        <v>9.8070060756060715E-2</v>
      </c>
      <c r="G7" s="12">
        <f t="shared" si="2"/>
        <v>1.212101874513111E-2</v>
      </c>
      <c r="H7" s="9"/>
      <c r="I7" s="12">
        <f t="shared" si="3"/>
        <v>0.1593315314533684</v>
      </c>
      <c r="J7" s="12">
        <f t="shared" si="4"/>
        <v>3.5809640537393592E-2</v>
      </c>
      <c r="K7" s="12">
        <f t="shared" si="5"/>
        <v>4.4259106282171909E-3</v>
      </c>
      <c r="M7" s="2" t="s">
        <v>9</v>
      </c>
      <c r="N7" s="4">
        <f>Datos!G5</f>
        <v>6.6000000000000003E-2</v>
      </c>
    </row>
    <row r="8" spans="2:14" x14ac:dyDescent="0.25">
      <c r="B8" s="10">
        <v>4</v>
      </c>
      <c r="C8" s="11">
        <v>43895</v>
      </c>
      <c r="D8" s="12">
        <f t="shared" si="0"/>
        <v>161644.3885944956</v>
      </c>
      <c r="E8" s="12">
        <f t="shared" si="1"/>
        <v>1.4570090077314455</v>
      </c>
      <c r="F8" s="12">
        <f t="shared" si="2"/>
        <v>0.13741288204199112</v>
      </c>
      <c r="G8" s="12">
        <f t="shared" si="2"/>
        <v>1.6983614634403413E-2</v>
      </c>
      <c r="H8" s="9"/>
      <c r="I8" s="12">
        <f t="shared" si="3"/>
        <v>0.17505190965056702</v>
      </c>
      <c r="J8" s="12">
        <f t="shared" si="4"/>
        <v>3.9342821285930404E-2</v>
      </c>
      <c r="K8" s="12">
        <f t="shared" si="5"/>
        <v>4.8625958892723024E-3</v>
      </c>
      <c r="M8" s="2" t="s">
        <v>10</v>
      </c>
      <c r="N8" s="5">
        <f>Datos!G6</f>
        <v>0.8899999999999999</v>
      </c>
    </row>
    <row r="9" spans="2:14" x14ac:dyDescent="0.25">
      <c r="B9" s="10">
        <v>5</v>
      </c>
      <c r="C9" s="11">
        <v>43896</v>
      </c>
      <c r="D9" s="12">
        <f t="shared" si="0"/>
        <v>161644.1962712036</v>
      </c>
      <c r="E9" s="12">
        <f t="shared" si="1"/>
        <v>1.6007653327963023</v>
      </c>
      <c r="F9" s="12">
        <f t="shared" si="2"/>
        <v>0.18063748260469065</v>
      </c>
      <c r="G9" s="12">
        <f t="shared" si="2"/>
        <v>2.2325980996085383E-2</v>
      </c>
      <c r="H9" s="9"/>
      <c r="I9" s="12">
        <f t="shared" si="3"/>
        <v>0.19232329198923831</v>
      </c>
      <c r="J9" s="12">
        <f t="shared" si="4"/>
        <v>4.3224600562699542E-2</v>
      </c>
      <c r="K9" s="12">
        <f t="shared" si="5"/>
        <v>5.342366361681972E-3</v>
      </c>
      <c r="M9" s="2" t="s">
        <v>11</v>
      </c>
      <c r="N9" s="5">
        <f>Datos!G7</f>
        <v>0.1100000000000001</v>
      </c>
    </row>
    <row r="10" spans="2:14" x14ac:dyDescent="0.25">
      <c r="B10" s="10">
        <v>6</v>
      </c>
      <c r="C10" s="11">
        <v>43897</v>
      </c>
      <c r="D10" s="12">
        <f t="shared" si="0"/>
        <v>161643.9849725083</v>
      </c>
      <c r="E10" s="12">
        <f t="shared" si="1"/>
        <v>1.7587051836777425</v>
      </c>
      <c r="F10" s="12">
        <f t="shared" si="2"/>
        <v>0.22812685414431427</v>
      </c>
      <c r="G10" s="12">
        <f t="shared" si="2"/>
        <v>2.8195453883005164E-2</v>
      </c>
      <c r="H10" s="9"/>
      <c r="I10" s="12">
        <f t="shared" si="3"/>
        <v>0.21129869530798356</v>
      </c>
      <c r="J10" s="12">
        <f t="shared" si="4"/>
        <v>4.7489371539623626E-2</v>
      </c>
      <c r="K10" s="12">
        <f t="shared" si="5"/>
        <v>5.8694728869197795E-3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161643.75282627746</v>
      </c>
      <c r="E11" s="12">
        <f t="shared" si="1"/>
        <v>1.9322279083967639</v>
      </c>
      <c r="F11" s="12">
        <f t="shared" si="2"/>
        <v>0.28030177459342065</v>
      </c>
      <c r="G11" s="12">
        <f t="shared" si="2"/>
        <v>3.4644039556490223E-2</v>
      </c>
      <c r="H11" s="9"/>
      <c r="I11" s="12">
        <f t="shared" si="3"/>
        <v>0.23214623084161295</v>
      </c>
      <c r="J11" s="12">
        <f t="shared" si="4"/>
        <v>5.2174920449106356E-2</v>
      </c>
      <c r="K11" s="12">
        <f t="shared" si="5"/>
        <v>6.4485856734850617E-3</v>
      </c>
      <c r="M11" s="2" t="s">
        <v>12</v>
      </c>
      <c r="N11" s="7">
        <v>231480</v>
      </c>
    </row>
    <row r="12" spans="2:14" x14ac:dyDescent="0.25">
      <c r="B12" s="10">
        <v>8</v>
      </c>
      <c r="C12" s="11">
        <v>43899</v>
      </c>
      <c r="D12" s="12">
        <f t="shared" si="0"/>
        <v>161643.49777568461</v>
      </c>
      <c r="E12" s="12">
        <f t="shared" si="1"/>
        <v>2.1228709043049649</v>
      </c>
      <c r="F12" s="12">
        <f t="shared" si="2"/>
        <v>0.33762453587585795</v>
      </c>
      <c r="G12" s="12">
        <f t="shared" si="2"/>
        <v>4.1728875220611694E-2</v>
      </c>
      <c r="H12" s="9"/>
      <c r="I12" s="12">
        <f t="shared" si="3"/>
        <v>0.25505059285475967</v>
      </c>
      <c r="J12" s="12">
        <f t="shared" si="4"/>
        <v>5.7322761282437323E-2</v>
      </c>
      <c r="K12" s="12">
        <f t="shared" si="5"/>
        <v>7.0848356641214742E-3</v>
      </c>
      <c r="M12" s="2" t="s">
        <v>13</v>
      </c>
      <c r="N12" s="7">
        <f>SUM(J5:J204)</f>
        <v>125626.63701565517</v>
      </c>
    </row>
    <row r="13" spans="2:14" x14ac:dyDescent="0.25">
      <c r="B13" s="10">
        <v>9</v>
      </c>
      <c r="C13" s="11">
        <v>43900</v>
      </c>
      <c r="D13" s="12">
        <f t="shared" si="0"/>
        <v>161643.2175609906</v>
      </c>
      <c r="E13" s="12">
        <f t="shared" si="1"/>
        <v>2.3323232348409215</v>
      </c>
      <c r="F13" s="12">
        <f t="shared" si="2"/>
        <v>0.40060303937023856</v>
      </c>
      <c r="G13" s="12">
        <f t="shared" si="2"/>
        <v>4.9512735203063242E-2</v>
      </c>
      <c r="H13" s="9"/>
      <c r="I13" s="12">
        <f t="shared" si="3"/>
        <v>0.2802146940127887</v>
      </c>
      <c r="J13" s="12">
        <f t="shared" si="4"/>
        <v>6.2978503494380625E-2</v>
      </c>
      <c r="K13" s="12">
        <f t="shared" si="5"/>
        <v>7.7838599824515452E-3</v>
      </c>
      <c r="M13" s="2" t="s">
        <v>14</v>
      </c>
      <c r="N13" s="7">
        <f>SUM(K5:K204)</f>
        <v>15526.88772103605</v>
      </c>
    </row>
    <row r="14" spans="2:14" x14ac:dyDescent="0.25">
      <c r="B14" s="10">
        <v>10</v>
      </c>
      <c r="C14" s="11">
        <v>43901</v>
      </c>
      <c r="D14" s="12">
        <f t="shared" si="0"/>
        <v>161642.90969952865</v>
      </c>
      <c r="E14" s="12">
        <f t="shared" si="1"/>
        <v>2.5624405889516937</v>
      </c>
      <c r="F14" s="12">
        <f t="shared" si="2"/>
        <v>0.46979529533718589</v>
      </c>
      <c r="G14" s="12">
        <f t="shared" si="2"/>
        <v>5.8064587064146633E-2</v>
      </c>
      <c r="H14" s="9"/>
      <c r="I14" s="12">
        <f t="shared" si="3"/>
        <v>0.30786146193880276</v>
      </c>
      <c r="J14" s="12">
        <f t="shared" si="4"/>
        <v>6.9192255966947336E-2</v>
      </c>
      <c r="K14" s="12">
        <f t="shared" si="5"/>
        <v>8.5518518610833878E-3</v>
      </c>
      <c r="M14" s="2" t="s">
        <v>15</v>
      </c>
      <c r="N14" s="7">
        <f>SUM(D4:G4)-N11</f>
        <v>-69834</v>
      </c>
    </row>
    <row r="15" spans="2:14" x14ac:dyDescent="0.25">
      <c r="B15" s="10">
        <v>11</v>
      </c>
      <c r="C15" s="11">
        <v>43902</v>
      </c>
      <c r="D15" s="12">
        <f t="shared" si="0"/>
        <v>161642.57146371584</v>
      </c>
      <c r="E15" s="12">
        <f t="shared" si="1"/>
        <v>2.8152617154784019</v>
      </c>
      <c r="F15" s="12">
        <f t="shared" si="2"/>
        <v>0.5458143661427528</v>
      </c>
      <c r="G15" s="12">
        <f t="shared" si="2"/>
        <v>6.7460202556969523E-2</v>
      </c>
      <c r="H15" s="9"/>
      <c r="I15" s="12">
        <f t="shared" si="3"/>
        <v>0.33823581282509801</v>
      </c>
      <c r="J15" s="12">
        <f t="shared" si="4"/>
        <v>7.6019070805566899E-2</v>
      </c>
      <c r="K15" s="12">
        <f t="shared" si="5"/>
        <v>9.3956154928228862E-3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161642.1998568963</v>
      </c>
      <c r="E16" s="12">
        <f t="shared" si="1"/>
        <v>3.0930264778215695</v>
      </c>
      <c r="F16" s="12">
        <f t="shared" si="2"/>
        <v>0.6293337970352787</v>
      </c>
      <c r="G16" s="12">
        <f t="shared" si="2"/>
        <v>7.7782828847057006E-2</v>
      </c>
      <c r="H16" s="9"/>
      <c r="I16" s="12">
        <f t="shared" si="3"/>
        <v>0.3716068195257809</v>
      </c>
      <c r="J16" s="12">
        <f t="shared" si="4"/>
        <v>8.351943089252592E-2</v>
      </c>
      <c r="K16" s="12">
        <f t="shared" si="5"/>
        <v>1.0322626290087483E-2</v>
      </c>
      <c r="M16" s="2" t="s">
        <v>16</v>
      </c>
      <c r="N16" s="7">
        <f>MAX(E4:E204)</f>
        <v>66810.646748230385</v>
      </c>
    </row>
    <row r="17" spans="2:14" x14ac:dyDescent="0.25">
      <c r="B17" s="10">
        <v>13</v>
      </c>
      <c r="C17" s="11">
        <v>43904</v>
      </c>
      <c r="D17" s="12">
        <f t="shared" si="0"/>
        <v>161641.79158680304</v>
      </c>
      <c r="E17" s="12">
        <f t="shared" si="1"/>
        <v>3.3981956884953739</v>
      </c>
      <c r="F17" s="12">
        <f t="shared" si="2"/>
        <v>0.72109358254398526</v>
      </c>
      <c r="G17" s="12">
        <f t="shared" si="2"/>
        <v>8.9123925932402773E-2</v>
      </c>
      <c r="H17" s="9"/>
      <c r="I17" s="12">
        <f t="shared" si="3"/>
        <v>0.40827009326785696</v>
      </c>
      <c r="J17" s="12">
        <f t="shared" si="4"/>
        <v>9.1759785508706546E-2</v>
      </c>
      <c r="K17" s="12">
        <f t="shared" si="5"/>
        <v>1.1341097085345765E-2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161641.34303640304</v>
      </c>
      <c r="E18" s="12">
        <f t="shared" si="1"/>
        <v>3.7334728988745121</v>
      </c>
      <c r="F18" s="12">
        <f t="shared" si="2"/>
        <v>0.82190672130268139</v>
      </c>
      <c r="G18" s="12">
        <f t="shared" si="2"/>
        <v>0.10158397679021916</v>
      </c>
      <c r="H18" s="9"/>
      <c r="I18" s="12">
        <f t="shared" si="3"/>
        <v>0.44855039999565072</v>
      </c>
      <c r="J18" s="12">
        <f t="shared" si="4"/>
        <v>0.10081313875869609</v>
      </c>
      <c r="K18" s="12">
        <f t="shared" si="5"/>
        <v>1.2460050857816381E-2</v>
      </c>
      <c r="M18" s="2" t="s">
        <v>17</v>
      </c>
      <c r="N18" s="7">
        <f>MAX(I5:I204)</f>
        <v>3602.812132139456</v>
      </c>
    </row>
    <row r="19" spans="2:14" x14ac:dyDescent="0.25">
      <c r="B19" s="10">
        <v>15</v>
      </c>
      <c r="C19" s="11">
        <v>43906</v>
      </c>
      <c r="D19" s="12">
        <f t="shared" si="0"/>
        <v>161640.85023186862</v>
      </c>
      <c r="E19" s="12">
        <f t="shared" si="1"/>
        <v>4.1018283366693753</v>
      </c>
      <c r="F19" s="12">
        <f t="shared" si="2"/>
        <v>0.93266641730262523</v>
      </c>
      <c r="G19" s="12">
        <f t="shared" si="2"/>
        <v>0.11527337741942571</v>
      </c>
      <c r="H19" s="9"/>
      <c r="I19" s="12">
        <f t="shared" si="3"/>
        <v>0.49280453442401384</v>
      </c>
      <c r="J19" s="12">
        <f t="shared" si="4"/>
        <v>0.11075969599994386</v>
      </c>
      <c r="K19" s="12">
        <f t="shared" si="5"/>
        <v>1.3689400629206558E-2</v>
      </c>
      <c r="M19" s="2" t="s">
        <v>18</v>
      </c>
      <c r="N19" s="7">
        <f>MAX(J5:J204)</f>
        <v>1982.049186864168</v>
      </c>
    </row>
    <row r="20" spans="2:14" x14ac:dyDescent="0.25">
      <c r="B20" s="10">
        <v>16</v>
      </c>
      <c r="C20" s="11">
        <v>43907</v>
      </c>
      <c r="D20" s="12">
        <f t="shared" si="0"/>
        <v>161640.3088073915</v>
      </c>
      <c r="E20" s="12">
        <f t="shared" si="1"/>
        <v>4.5065252025840792</v>
      </c>
      <c r="F20" s="12">
        <f t="shared" si="2"/>
        <v>1.0543539912904833</v>
      </c>
      <c r="G20" s="12">
        <f t="shared" si="2"/>
        <v>0.13031341465388011</v>
      </c>
      <c r="H20" s="9"/>
      <c r="I20" s="12">
        <f t="shared" si="3"/>
        <v>0.54142447713701636</v>
      </c>
      <c r="J20" s="12">
        <f t="shared" si="4"/>
        <v>0.12168757398785811</v>
      </c>
      <c r="K20" s="12">
        <f t="shared" si="5"/>
        <v>1.5040037234454389E-2</v>
      </c>
      <c r="M20" s="2" t="s">
        <v>19</v>
      </c>
      <c r="N20" s="7">
        <f>MAX(K5:K204)</f>
        <v>244.97237141017828</v>
      </c>
    </row>
    <row r="21" spans="2:14" x14ac:dyDescent="0.25">
      <c r="B21" s="10">
        <v>17</v>
      </c>
      <c r="C21" s="11">
        <v>43908</v>
      </c>
      <c r="D21" s="12">
        <f t="shared" si="0"/>
        <v>161639.71396652894</v>
      </c>
      <c r="E21" s="12">
        <f t="shared" si="1"/>
        <v>4.95114855838123</v>
      </c>
      <c r="F21" s="12">
        <f t="shared" si="2"/>
        <v>1.1880475723004777</v>
      </c>
      <c r="G21" s="12">
        <f t="shared" si="2"/>
        <v>0.14683734039668841</v>
      </c>
      <c r="H21" s="9"/>
      <c r="I21" s="12">
        <f t="shared" si="3"/>
        <v>0.59484086254995316</v>
      </c>
      <c r="J21" s="12">
        <f t="shared" si="4"/>
        <v>0.13369358100999434</v>
      </c>
      <c r="K21" s="12">
        <f t="shared" si="5"/>
        <v>1.6523925742808303E-2</v>
      </c>
    </row>
    <row r="22" spans="2:14" x14ac:dyDescent="0.25">
      <c r="B22" s="10">
        <v>18</v>
      </c>
      <c r="C22" s="11">
        <v>43909</v>
      </c>
      <c r="D22" s="12">
        <f t="shared" si="0"/>
        <v>161639.06043974066</v>
      </c>
      <c r="E22" s="12">
        <f t="shared" si="1"/>
        <v>5.439637061376418</v>
      </c>
      <c r="F22" s="12">
        <f t="shared" ref="F22:G37" si="6">F21+J22</f>
        <v>1.334931646199121</v>
      </c>
      <c r="G22" s="12">
        <f t="shared" si="6"/>
        <v>0.16499155177741961</v>
      </c>
      <c r="H22" s="9"/>
      <c r="I22" s="12">
        <f t="shared" si="3"/>
        <v>0.65352678827456279</v>
      </c>
      <c r="J22" s="12">
        <f t="shared" si="4"/>
        <v>0.14688407389864314</v>
      </c>
      <c r="K22" s="12">
        <f t="shared" si="5"/>
        <v>1.8154211380731193E-2</v>
      </c>
    </row>
    <row r="23" spans="2:14" x14ac:dyDescent="0.25">
      <c r="B23" s="10">
        <v>19</v>
      </c>
      <c r="C23" s="11">
        <v>43910</v>
      </c>
      <c r="D23" s="12">
        <f t="shared" si="0"/>
        <v>161638.34243774123</v>
      </c>
      <c r="E23" s="12">
        <f t="shared" si="1"/>
        <v>5.9763178254105034</v>
      </c>
      <c r="F23" s="12">
        <f t="shared" si="6"/>
        <v>1.4963075456866213</v>
      </c>
      <c r="G23" s="12">
        <f t="shared" si="6"/>
        <v>0.18493688766913316</v>
      </c>
      <c r="H23" s="9"/>
      <c r="I23" s="12">
        <f t="shared" si="3"/>
        <v>0.71800199941329879</v>
      </c>
      <c r="J23" s="12">
        <f t="shared" si="4"/>
        <v>0.16137589948750039</v>
      </c>
      <c r="K23" s="12">
        <f t="shared" si="5"/>
        <v>1.9945335891713552E-2</v>
      </c>
    </row>
    <row r="24" spans="2:14" x14ac:dyDescent="0.25">
      <c r="B24" s="10">
        <v>20</v>
      </c>
      <c r="C24" s="11">
        <v>43911</v>
      </c>
      <c r="D24" s="12">
        <f t="shared" si="0"/>
        <v>161637.55360025665</v>
      </c>
      <c r="E24" s="12">
        <f t="shared" si="1"/>
        <v>6.56594471581358</v>
      </c>
      <c r="F24" s="12">
        <f t="shared" si="6"/>
        <v>1.6736049745071329</v>
      </c>
      <c r="G24" s="12">
        <f t="shared" si="6"/>
        <v>0.20685005302897169</v>
      </c>
      <c r="H24" s="9"/>
      <c r="I24" s="12">
        <f t="shared" si="3"/>
        <v>0.78883748458342695</v>
      </c>
      <c r="J24" s="12">
        <f t="shared" si="4"/>
        <v>0.17729742882051155</v>
      </c>
      <c r="K24" s="12">
        <f t="shared" si="5"/>
        <v>2.1913165359838529E-2</v>
      </c>
    </row>
    <row r="25" spans="2:14" x14ac:dyDescent="0.25">
      <c r="B25" s="10">
        <v>21</v>
      </c>
      <c r="C25" s="11">
        <v>43912</v>
      </c>
      <c r="D25" s="12">
        <f t="shared" si="0"/>
        <v>161636.68693973258</v>
      </c>
      <c r="E25" s="12">
        <f t="shared" si="1"/>
        <v>7.2137404160160532</v>
      </c>
      <c r="F25" s="12">
        <f t="shared" si="6"/>
        <v>1.8683946677429357</v>
      </c>
      <c r="G25" s="12">
        <f t="shared" si="6"/>
        <v>0.2309251836536215</v>
      </c>
      <c r="H25" s="9"/>
      <c r="I25" s="12">
        <f t="shared" si="3"/>
        <v>0.86666052406292626</v>
      </c>
      <c r="J25" s="12">
        <f t="shared" si="4"/>
        <v>0.19478969323580284</v>
      </c>
      <c r="K25" s="12">
        <f t="shared" si="5"/>
        <v>2.4075130624649815E-2</v>
      </c>
    </row>
    <row r="26" spans="2:14" x14ac:dyDescent="0.25">
      <c r="B26" s="10">
        <v>22</v>
      </c>
      <c r="C26" s="11">
        <v>43913</v>
      </c>
      <c r="D26" s="12">
        <f t="shared" si="0"/>
        <v>161635.73477949819</v>
      </c>
      <c r="E26" s="12">
        <f t="shared" si="1"/>
        <v>7.9254426365363644</v>
      </c>
      <c r="F26" s="12">
        <f t="shared" si="6"/>
        <v>2.0824023000847451</v>
      </c>
      <c r="G26" s="12">
        <f t="shared" si="6"/>
        <v>0.25737556517901372</v>
      </c>
      <c r="H26" s="9"/>
      <c r="I26" s="12">
        <f t="shared" si="3"/>
        <v>0.95216023438751329</v>
      </c>
      <c r="J26" s="12">
        <f t="shared" si="4"/>
        <v>0.21400763234180956</v>
      </c>
      <c r="K26" s="12">
        <f t="shared" si="5"/>
        <v>2.6450381525392218E-2</v>
      </c>
    </row>
    <row r="27" spans="2:14" x14ac:dyDescent="0.25">
      <c r="B27" s="10">
        <v>23</v>
      </c>
      <c r="C27" s="11">
        <v>43914</v>
      </c>
      <c r="D27" s="12">
        <f t="shared" si="0"/>
        <v>161634.68868584014</v>
      </c>
      <c r="E27" s="12">
        <f t="shared" si="1"/>
        <v>8.7073548733624619</v>
      </c>
      <c r="F27" s="12">
        <f t="shared" si="6"/>
        <v>2.3175237649686573</v>
      </c>
      <c r="G27" s="12">
        <f t="shared" si="6"/>
        <v>0.28643552151298041</v>
      </c>
      <c r="H27" s="9"/>
      <c r="I27" s="12">
        <f t="shared" si="3"/>
        <v>1.0460936580439761</v>
      </c>
      <c r="J27" s="12">
        <f t="shared" si="4"/>
        <v>0.23512146488391211</v>
      </c>
      <c r="K27" s="12">
        <f t="shared" si="5"/>
        <v>2.9059956333966696E-2</v>
      </c>
    </row>
    <row r="28" spans="2:14" x14ac:dyDescent="0.25">
      <c r="B28" s="10">
        <v>24</v>
      </c>
      <c r="C28" s="11">
        <v>43915</v>
      </c>
      <c r="D28" s="12">
        <f t="shared" si="0"/>
        <v>161633.53939338852</v>
      </c>
      <c r="E28" s="12">
        <f t="shared" si="1"/>
        <v>9.5664021625517819</v>
      </c>
      <c r="F28" s="12">
        <f t="shared" si="6"/>
        <v>2.5758419595450768</v>
      </c>
      <c r="G28" s="12">
        <f t="shared" si="6"/>
        <v>0.31836248938197614</v>
      </c>
      <c r="H28" s="9"/>
      <c r="I28" s="12">
        <f t="shared" si="3"/>
        <v>1.1492924516347365</v>
      </c>
      <c r="J28" s="12">
        <f t="shared" si="4"/>
        <v>0.25831819457641969</v>
      </c>
      <c r="K28" s="12">
        <f t="shared" si="5"/>
        <v>3.1926967868995723E-2</v>
      </c>
    </row>
    <row r="29" spans="2:14" x14ac:dyDescent="0.25">
      <c r="B29" s="10">
        <v>25</v>
      </c>
      <c r="C29" s="11">
        <v>43916</v>
      </c>
      <c r="D29" s="12">
        <f t="shared" si="0"/>
        <v>161632.27672315744</v>
      </c>
      <c r="E29" s="12">
        <f t="shared" si="1"/>
        <v>10.510192321537216</v>
      </c>
      <c r="F29" s="12">
        <f t="shared" si="6"/>
        <v>2.8596452237007797</v>
      </c>
      <c r="G29" s="12">
        <f t="shared" si="6"/>
        <v>0.35343929731133272</v>
      </c>
      <c r="H29" s="9"/>
      <c r="I29" s="12">
        <f t="shared" si="3"/>
        <v>1.262670231070494</v>
      </c>
      <c r="J29" s="12">
        <f t="shared" si="4"/>
        <v>0.28380326415570278</v>
      </c>
      <c r="K29" s="12">
        <f t="shared" si="5"/>
        <v>3.5076807929356565E-2</v>
      </c>
    </row>
    <row r="30" spans="2:14" x14ac:dyDescent="0.25">
      <c r="B30" s="10">
        <v>26</v>
      </c>
      <c r="C30" s="11">
        <v>43917</v>
      </c>
      <c r="D30" s="12">
        <f t="shared" si="0"/>
        <v>161630.8894925194</v>
      </c>
      <c r="E30" s="12">
        <f t="shared" si="1"/>
        <v>11.54708321550955</v>
      </c>
      <c r="F30" s="12">
        <f t="shared" si="6"/>
        <v>3.1714475959063839</v>
      </c>
      <c r="G30" s="12">
        <f t="shared" si="6"/>
        <v>0.39197666915696922</v>
      </c>
      <c r="H30" s="9"/>
      <c r="I30" s="12">
        <f t="shared" si="3"/>
        <v>1.3872306380235735</v>
      </c>
      <c r="J30" s="12">
        <f t="shared" si="4"/>
        <v>0.31180237220560408</v>
      </c>
      <c r="K30" s="12">
        <f t="shared" si="5"/>
        <v>3.8537371845636499E-2</v>
      </c>
    </row>
    <row r="31" spans="2:14" x14ac:dyDescent="0.25">
      <c r="B31" s="10">
        <v>27</v>
      </c>
      <c r="C31" s="11">
        <v>43918</v>
      </c>
      <c r="D31" s="12">
        <f t="shared" si="0"/>
        <v>161629.36541632132</v>
      </c>
      <c r="E31" s="12">
        <f t="shared" si="1"/>
        <v>12.686256639748569</v>
      </c>
      <c r="F31" s="12">
        <f t="shared" si="6"/>
        <v>3.5140110646331673</v>
      </c>
      <c r="G31" s="12">
        <f t="shared" si="6"/>
        <v>0.43431597428050428</v>
      </c>
      <c r="H31" s="9"/>
      <c r="I31" s="12">
        <f t="shared" si="3"/>
        <v>1.524076198089338</v>
      </c>
      <c r="J31" s="12">
        <f t="shared" si="4"/>
        <v>0.34256346872678328</v>
      </c>
      <c r="K31" s="12">
        <f t="shared" si="5"/>
        <v>4.2339305123535051E-2</v>
      </c>
    </row>
    <row r="32" spans="2:14" x14ac:dyDescent="0.25">
      <c r="B32" s="10">
        <v>28</v>
      </c>
      <c r="C32" s="11">
        <v>43919</v>
      </c>
      <c r="D32" s="12">
        <f t="shared" si="0"/>
        <v>161627.69099827341</v>
      </c>
      <c r="E32" s="12">
        <f t="shared" si="1"/>
        <v>13.937799466329151</v>
      </c>
      <c r="F32" s="12">
        <f t="shared" si="6"/>
        <v>3.8903700116123749</v>
      </c>
      <c r="G32" s="12">
        <f t="shared" si="6"/>
        <v>0.48083224862624907</v>
      </c>
      <c r="H32" s="9"/>
      <c r="I32" s="12">
        <f t="shared" si="3"/>
        <v>1.6744180479055355</v>
      </c>
      <c r="J32" s="12">
        <f t="shared" si="4"/>
        <v>0.37635894697920752</v>
      </c>
      <c r="K32" s="12">
        <f t="shared" si="5"/>
        <v>4.6516274345744797E-2</v>
      </c>
    </row>
    <row r="33" spans="2:11" x14ac:dyDescent="0.25">
      <c r="B33" s="10">
        <v>29</v>
      </c>
      <c r="C33" s="11">
        <v>43920</v>
      </c>
      <c r="D33" s="12">
        <f t="shared" si="0"/>
        <v>161625.8514116575</v>
      </c>
      <c r="E33" s="12">
        <f t="shared" si="1"/>
        <v>15.312792766707393</v>
      </c>
      <c r="F33" s="12">
        <f t="shared" si="6"/>
        <v>4.3038580624468068</v>
      </c>
      <c r="G33" s="12">
        <f t="shared" si="6"/>
        <v>0.53193751333612271</v>
      </c>
      <c r="H33" s="9"/>
      <c r="I33" s="12">
        <f t="shared" si="3"/>
        <v>1.839586615922546</v>
      </c>
      <c r="J33" s="12">
        <f t="shared" si="4"/>
        <v>0.41348805083443146</v>
      </c>
      <c r="K33" s="12">
        <f t="shared" si="5"/>
        <v>5.1105264709873602E-2</v>
      </c>
    </row>
    <row r="34" spans="2:11" x14ac:dyDescent="0.25">
      <c r="B34" s="10">
        <v>30</v>
      </c>
      <c r="C34" s="13">
        <v>43921</v>
      </c>
      <c r="D34" s="12">
        <f t="shared" si="0"/>
        <v>161623.83036830783</v>
      </c>
      <c r="E34" s="12">
        <f t="shared" si="1"/>
        <v>16.823409690808425</v>
      </c>
      <c r="F34" s="12">
        <f t="shared" si="6"/>
        <v>4.7581375811924591</v>
      </c>
      <c r="G34" s="12">
        <f t="shared" si="6"/>
        <v>0.58808442014738316</v>
      </c>
      <c r="H34" s="9"/>
      <c r="I34" s="12">
        <f t="shared" si="3"/>
        <v>2.0210433496579463</v>
      </c>
      <c r="J34" s="12">
        <f t="shared" si="4"/>
        <v>0.45427951874565259</v>
      </c>
      <c r="K34" s="12">
        <f t="shared" si="5"/>
        <v>5.6146906811260486E-2</v>
      </c>
    </row>
    <row r="35" spans="2:11" x14ac:dyDescent="0.25">
      <c r="B35" s="10">
        <v>31</v>
      </c>
      <c r="C35" s="11">
        <v>43922</v>
      </c>
      <c r="D35" s="12">
        <f t="shared" si="0"/>
        <v>161621.60997471664</v>
      </c>
      <c r="E35" s="12">
        <f t="shared" si="1"/>
        <v>18.48302295894943</v>
      </c>
      <c r="F35" s="12">
        <f t="shared" si="6"/>
        <v>5.2572320686864424</v>
      </c>
      <c r="G35" s="12">
        <f t="shared" si="6"/>
        <v>0.64977025568034741</v>
      </c>
      <c r="H35" s="9"/>
      <c r="I35" s="12">
        <f t="shared" si="3"/>
        <v>2.220393591167952</v>
      </c>
      <c r="J35" s="12">
        <f t="shared" si="4"/>
        <v>0.49909448749398322</v>
      </c>
      <c r="K35" s="12">
        <f t="shared" si="5"/>
        <v>6.1685835532964278E-2</v>
      </c>
    </row>
    <row r="36" spans="2:11" x14ac:dyDescent="0.25">
      <c r="B36" s="10">
        <v>32</v>
      </c>
      <c r="C36" s="11">
        <v>43923</v>
      </c>
      <c r="D36" s="12">
        <f t="shared" si="0"/>
        <v>161619.17057400444</v>
      </c>
      <c r="E36" s="12">
        <f t="shared" si="1"/>
        <v>20.306322905842769</v>
      </c>
      <c r="F36" s="12">
        <f t="shared" si="6"/>
        <v>5.8055617498019423</v>
      </c>
      <c r="G36" s="12">
        <f t="shared" si="6"/>
        <v>0.71754133986316204</v>
      </c>
      <c r="H36" s="9"/>
      <c r="I36" s="12">
        <f t="shared" si="3"/>
        <v>2.439400712191655</v>
      </c>
      <c r="J36" s="12">
        <f t="shared" si="4"/>
        <v>0.54832968111549962</v>
      </c>
      <c r="K36" s="12">
        <f t="shared" si="5"/>
        <v>6.7771084182814648E-2</v>
      </c>
    </row>
    <row r="37" spans="2:11" x14ac:dyDescent="0.25">
      <c r="B37" s="10">
        <v>33</v>
      </c>
      <c r="C37" s="11">
        <v>43924</v>
      </c>
      <c r="D37" s="12">
        <f t="shared" si="0"/>
        <v>161616.49057237341</v>
      </c>
      <c r="E37" s="12">
        <f t="shared" si="1"/>
        <v>22.309447106689856</v>
      </c>
      <c r="F37" s="12">
        <f t="shared" si="6"/>
        <v>6.4079826626752778</v>
      </c>
      <c r="G37" s="12">
        <f t="shared" si="6"/>
        <v>0.7919978571845856</v>
      </c>
      <c r="H37" s="9"/>
      <c r="I37" s="12">
        <f t="shared" si="3"/>
        <v>2.680001631041844</v>
      </c>
      <c r="J37" s="12">
        <f t="shared" si="4"/>
        <v>0.60242091287333543</v>
      </c>
      <c r="K37" s="12">
        <f t="shared" si="5"/>
        <v>7.4456517321423554E-2</v>
      </c>
    </row>
    <row r="38" spans="2:11" x14ac:dyDescent="0.25">
      <c r="B38" s="10">
        <v>34</v>
      </c>
      <c r="C38" s="11">
        <v>43925</v>
      </c>
      <c r="D38" s="12">
        <f t="shared" si="0"/>
        <v>161613.5462485285</v>
      </c>
      <c r="E38" s="12">
        <f t="shared" si="1"/>
        <v>24.510122714703744</v>
      </c>
      <c r="F38" s="12">
        <f t="shared" ref="F38:G53" si="7">F37+J38</f>
        <v>7.0698295935070767</v>
      </c>
      <c r="G38" s="12">
        <f t="shared" si="7"/>
        <v>0.87379916324244844</v>
      </c>
      <c r="H38" s="9"/>
      <c r="I38" s="12">
        <f t="shared" si="3"/>
        <v>2.9443238449035496</v>
      </c>
      <c r="J38" s="12">
        <f t="shared" si="4"/>
        <v>0.66184693083179902</v>
      </c>
      <c r="K38" s="12">
        <f t="shared" si="5"/>
        <v>8.1801306057862871E-2</v>
      </c>
    </row>
    <row r="39" spans="2:11" x14ac:dyDescent="0.25">
      <c r="B39" s="10">
        <v>35</v>
      </c>
      <c r="C39" s="11">
        <v>43926</v>
      </c>
      <c r="D39" s="12">
        <f t="shared" si="0"/>
        <v>161610.31154440466</v>
      </c>
      <c r="E39" s="12">
        <f t="shared" si="1"/>
        <v>26.927822748051277</v>
      </c>
      <c r="F39" s="12">
        <f t="shared" si="7"/>
        <v>7.7969632340432877</v>
      </c>
      <c r="G39" s="12">
        <f t="shared" si="7"/>
        <v>0.96366961319636224</v>
      </c>
      <c r="H39" s="9"/>
      <c r="I39" s="12">
        <f t="shared" si="3"/>
        <v>3.2347041238376537</v>
      </c>
      <c r="J39" s="12">
        <f t="shared" si="4"/>
        <v>0.72713364053621099</v>
      </c>
      <c r="K39" s="12">
        <f t="shared" si="5"/>
        <v>8.9870449953913814E-2</v>
      </c>
    </row>
    <row r="40" spans="2:11" x14ac:dyDescent="0.25">
      <c r="B40" s="10">
        <v>36</v>
      </c>
      <c r="C40" s="11">
        <v>43927</v>
      </c>
      <c r="D40" s="12">
        <f t="shared" si="0"/>
        <v>161606.75783537811</v>
      </c>
      <c r="E40" s="12">
        <f t="shared" si="1"/>
        <v>29.583937683005825</v>
      </c>
      <c r="F40" s="12">
        <f t="shared" si="7"/>
        <v>8.5958219755688088</v>
      </c>
      <c r="G40" s="12">
        <f t="shared" si="7"/>
        <v>1.0624049632725503</v>
      </c>
      <c r="H40" s="9"/>
      <c r="I40" s="12">
        <f t="shared" si="3"/>
        <v>3.5537090265562585</v>
      </c>
      <c r="J40" s="12">
        <f t="shared" si="4"/>
        <v>0.79885874152552117</v>
      </c>
      <c r="K40" s="12">
        <f t="shared" si="5"/>
        <v>9.8735350076188097E-2</v>
      </c>
    </row>
    <row r="41" spans="2:11" x14ac:dyDescent="0.25">
      <c r="B41" s="10">
        <v>37</v>
      </c>
      <c r="C41" s="11">
        <v>43928</v>
      </c>
      <c r="D41" s="12">
        <f t="shared" si="0"/>
        <v>161602.85367796509</v>
      </c>
      <c r="E41" s="12">
        <f t="shared" si="1"/>
        <v>32.501963839932856</v>
      </c>
      <c r="F41" s="12">
        <f t="shared" si="7"/>
        <v>9.4734787934979821</v>
      </c>
      <c r="G41" s="12">
        <f t="shared" si="7"/>
        <v>1.1708794014435717</v>
      </c>
      <c r="H41" s="9"/>
      <c r="I41" s="12">
        <f t="shared" si="3"/>
        <v>3.9041574130272276</v>
      </c>
      <c r="J41" s="12">
        <f t="shared" si="4"/>
        <v>0.87765681792917272</v>
      </c>
      <c r="K41" s="12">
        <f t="shared" si="5"/>
        <v>0.10847443817102145</v>
      </c>
    </row>
    <row r="42" spans="2:11" x14ac:dyDescent="0.25">
      <c r="B42" s="10">
        <v>38</v>
      </c>
      <c r="C42" s="11">
        <v>43929</v>
      </c>
      <c r="D42" s="12">
        <f t="shared" si="0"/>
        <v>161598.56453281982</v>
      </c>
      <c r="E42" s="12">
        <f t="shared" si="1"/>
        <v>35.707710190538315</v>
      </c>
      <c r="F42" s="12">
        <f t="shared" si="7"/>
        <v>10.437703720749324</v>
      </c>
      <c r="G42" s="12">
        <f t="shared" si="7"/>
        <v>1.2900532688566591</v>
      </c>
      <c r="H42" s="9"/>
      <c r="I42" s="12">
        <f t="shared" si="3"/>
        <v>4.2891451452698899</v>
      </c>
      <c r="J42" s="12">
        <f t="shared" si="4"/>
        <v>0.96422492725134135</v>
      </c>
      <c r="K42" s="12">
        <f t="shared" si="5"/>
        <v>0.11917386741308725</v>
      </c>
    </row>
    <row r="43" spans="2:11" x14ac:dyDescent="0.25">
      <c r="B43" s="10">
        <v>39</v>
      </c>
      <c r="C43" s="11">
        <v>43930</v>
      </c>
      <c r="D43" s="12">
        <f t="shared" si="0"/>
        <v>161593.8524606344</v>
      </c>
      <c r="E43" s="12">
        <f t="shared" si="1"/>
        <v>39.229525369604914</v>
      </c>
      <c r="F43" s="12">
        <f t="shared" si="7"/>
        <v>11.497032456401961</v>
      </c>
      <c r="G43" s="12">
        <f t="shared" si="7"/>
        <v>1.4209815395552996</v>
      </c>
      <c r="H43" s="9"/>
      <c r="I43" s="12">
        <f t="shared" si="3"/>
        <v>4.7120721854178722</v>
      </c>
      <c r="J43" s="12">
        <f t="shared" si="4"/>
        <v>1.0593287356526366</v>
      </c>
      <c r="K43" s="12">
        <f t="shared" si="5"/>
        <v>0.1309282706986406</v>
      </c>
    </row>
    <row r="44" spans="2:11" x14ac:dyDescent="0.25">
      <c r="B44" s="10">
        <v>40</v>
      </c>
      <c r="C44" s="11">
        <v>43931</v>
      </c>
      <c r="D44" s="12">
        <f t="shared" si="0"/>
        <v>161588.67578831504</v>
      </c>
      <c r="E44" s="12">
        <f t="shared" si="1"/>
        <v>43.098546843298138</v>
      </c>
      <c r="F44" s="12">
        <f t="shared" si="7"/>
        <v>12.660841709033573</v>
      </c>
      <c r="G44" s="12">
        <f t="shared" si="7"/>
        <v>1.5648231325771844</v>
      </c>
      <c r="H44" s="9"/>
      <c r="I44" s="12">
        <f t="shared" si="3"/>
        <v>5.1766723193467241</v>
      </c>
      <c r="J44" s="12">
        <f t="shared" si="4"/>
        <v>1.1638092526316124</v>
      </c>
      <c r="K44" s="12">
        <f t="shared" si="5"/>
        <v>0.14384159302188479</v>
      </c>
    </row>
    <row r="45" spans="2:11" x14ac:dyDescent="0.25">
      <c r="B45" s="10">
        <v>41</v>
      </c>
      <c r="C45" s="11">
        <v>43932</v>
      </c>
      <c r="D45" s="12">
        <f t="shared" si="0"/>
        <v>161582.98874256006</v>
      </c>
      <c r="E45" s="12">
        <f t="shared" si="1"/>
        <v>47.348974370181026</v>
      </c>
      <c r="F45" s="12">
        <f t="shared" si="7"/>
        <v>13.939431932051416</v>
      </c>
      <c r="G45" s="12">
        <f t="shared" si="7"/>
        <v>1.7228511376692777</v>
      </c>
      <c r="H45" s="9"/>
      <c r="I45" s="12">
        <f t="shared" si="3"/>
        <v>5.6870457549928224</v>
      </c>
      <c r="J45" s="12">
        <f t="shared" si="4"/>
        <v>1.2785902230178445</v>
      </c>
      <c r="K45" s="12">
        <f t="shared" si="5"/>
        <v>0.1580280050920933</v>
      </c>
    </row>
    <row r="46" spans="2:11" x14ac:dyDescent="0.25">
      <c r="B46" s="10">
        <v>42</v>
      </c>
      <c r="C46" s="11">
        <v>43933</v>
      </c>
      <c r="D46" s="12">
        <f t="shared" si="0"/>
        <v>161576.74104769304</v>
      </c>
      <c r="E46" s="12">
        <f t="shared" si="1"/>
        <v>52.018370091533811</v>
      </c>
      <c r="F46" s="12">
        <f t="shared" si="7"/>
        <v>15.344118171700121</v>
      </c>
      <c r="G46" s="12">
        <f t="shared" si="7"/>
        <v>1.8964640436932749</v>
      </c>
      <c r="H46" s="9"/>
      <c r="I46" s="12">
        <f t="shared" si="3"/>
        <v>6.2476948670254835</v>
      </c>
      <c r="J46" s="12">
        <f t="shared" si="4"/>
        <v>1.4046862396487036</v>
      </c>
      <c r="K46" s="12">
        <f t="shared" si="5"/>
        <v>0.17361290602399723</v>
      </c>
    </row>
    <row r="47" spans="2:11" x14ac:dyDescent="0.25">
      <c r="B47" s="10">
        <v>43</v>
      </c>
      <c r="C47" s="11">
        <v>43934</v>
      </c>
      <c r="D47" s="12">
        <f t="shared" si="0"/>
        <v>161569.87748430917</v>
      </c>
      <c r="E47" s="12">
        <f t="shared" si="1"/>
        <v>57.147987805689056</v>
      </c>
      <c r="F47" s="12">
        <f t="shared" si="7"/>
        <v>16.887329817748956</v>
      </c>
      <c r="G47" s="12">
        <f t="shared" si="7"/>
        <v>2.0871980673622326</v>
      </c>
      <c r="H47" s="9"/>
      <c r="I47" s="12">
        <f t="shared" si="3"/>
        <v>6.8635633838730419</v>
      </c>
      <c r="J47" s="12">
        <f t="shared" si="4"/>
        <v>1.5432116460488361</v>
      </c>
      <c r="K47" s="12">
        <f t="shared" si="5"/>
        <v>0.19073402366895748</v>
      </c>
    </row>
    <row r="48" spans="2:11" x14ac:dyDescent="0.25">
      <c r="B48" s="10">
        <v>44</v>
      </c>
      <c r="C48" s="11">
        <v>43935</v>
      </c>
      <c r="D48" s="12">
        <f t="shared" si="0"/>
        <v>161562.33740496982</v>
      </c>
      <c r="E48" s="12">
        <f t="shared" si="1"/>
        <v>62.783134218171206</v>
      </c>
      <c r="F48" s="12">
        <f t="shared" si="7"/>
        <v>18.582720122651065</v>
      </c>
      <c r="G48" s="12">
        <f t="shared" si="7"/>
        <v>2.2967406893164259</v>
      </c>
      <c r="H48" s="9"/>
      <c r="I48" s="12">
        <f t="shared" si="3"/>
        <v>7.5400793393384422</v>
      </c>
      <c r="J48" s="12">
        <f t="shared" si="4"/>
        <v>1.6953903049021084</v>
      </c>
      <c r="K48" s="12">
        <f t="shared" si="5"/>
        <v>0.20954262195419338</v>
      </c>
    </row>
    <row r="49" spans="2:11" x14ac:dyDescent="0.25">
      <c r="B49" s="10">
        <v>45</v>
      </c>
      <c r="C49" s="11">
        <v>43936</v>
      </c>
      <c r="D49" s="12">
        <f t="shared" si="0"/>
        <v>161554.05420283056</v>
      </c>
      <c r="E49" s="12">
        <f t="shared" si="1"/>
        <v>68.973565216819708</v>
      </c>
      <c r="F49" s="12">
        <f t="shared" si="7"/>
        <v>20.445286437790145</v>
      </c>
      <c r="G49" s="12">
        <f t="shared" si="7"/>
        <v>2.526945514783054</v>
      </c>
      <c r="H49" s="9"/>
      <c r="I49" s="12">
        <f t="shared" si="3"/>
        <v>8.2832021392542075</v>
      </c>
      <c r="J49" s="12">
        <f t="shared" si="4"/>
        <v>1.862566315139079</v>
      </c>
      <c r="K49" s="12">
        <f t="shared" si="5"/>
        <v>0.23020482546662796</v>
      </c>
    </row>
    <row r="50" spans="2:11" x14ac:dyDescent="0.25">
      <c r="B50" s="10">
        <v>46</v>
      </c>
      <c r="C50" s="11">
        <v>43937</v>
      </c>
      <c r="D50" s="12">
        <f t="shared" si="0"/>
        <v>161544.95472870668</v>
      </c>
      <c r="E50" s="12">
        <f t="shared" si="1"/>
        <v>75.773920500150751</v>
      </c>
      <c r="F50" s="12">
        <f t="shared" si="7"/>
        <v>22.49150220588913</v>
      </c>
      <c r="G50" s="12">
        <f t="shared" si="7"/>
        <v>2.7798485872447265</v>
      </c>
      <c r="H50" s="9"/>
      <c r="I50" s="12">
        <f t="shared" si="3"/>
        <v>9.0994741238917065</v>
      </c>
      <c r="J50" s="12">
        <f t="shared" si="4"/>
        <v>2.0462157680989845</v>
      </c>
      <c r="K50" s="12">
        <f t="shared" si="5"/>
        <v>0.25290307246167248</v>
      </c>
    </row>
    <row r="51" spans="2:11" x14ac:dyDescent="0.25">
      <c r="B51" s="10">
        <v>47</v>
      </c>
      <c r="C51" s="11">
        <v>43938</v>
      </c>
      <c r="D51" s="12">
        <f t="shared" si="0"/>
        <v>161534.95865166746</v>
      </c>
      <c r="E51" s="12">
        <f t="shared" si="1"/>
        <v>83.244200189354956</v>
      </c>
      <c r="F51" s="12">
        <f t="shared" si="7"/>
        <v>24.739461847393603</v>
      </c>
      <c r="G51" s="12">
        <f t="shared" si="7"/>
        <v>3.0576862957452793</v>
      </c>
      <c r="H51" s="9"/>
      <c r="I51" s="12">
        <f t="shared" si="3"/>
        <v>9.9960770392092222</v>
      </c>
      <c r="J51" s="12">
        <f t="shared" si="4"/>
        <v>2.247959641504472</v>
      </c>
      <c r="K51" s="12">
        <f t="shared" si="5"/>
        <v>0.277837708500553</v>
      </c>
    </row>
    <row r="52" spans="2:11" x14ac:dyDescent="0.25">
      <c r="B52" s="10">
        <v>48</v>
      </c>
      <c r="C52" s="11">
        <v>43939</v>
      </c>
      <c r="D52" s="12">
        <f t="shared" si="0"/>
        <v>161523.97775780293</v>
      </c>
      <c r="E52" s="12">
        <f t="shared" si="1"/>
        <v>91.450287380901756</v>
      </c>
      <c r="F52" s="12">
        <f t="shared" si="7"/>
        <v>27.209039786344466</v>
      </c>
      <c r="G52" s="12">
        <f t="shared" si="7"/>
        <v>3.3629150297729145</v>
      </c>
      <c r="H52" s="9"/>
      <c r="I52" s="12">
        <f t="shared" si="3"/>
        <v>10.980893864525305</v>
      </c>
      <c r="J52" s="12">
        <f t="shared" si="4"/>
        <v>2.4695779389508634</v>
      </c>
      <c r="K52" s="12">
        <f t="shared" si="5"/>
        <v>0.30522873402763506</v>
      </c>
    </row>
    <row r="53" spans="2:11" x14ac:dyDescent="0.25">
      <c r="B53" s="10">
        <v>49</v>
      </c>
      <c r="C53" s="11">
        <v>43940</v>
      </c>
      <c r="D53" s="12">
        <f t="shared" si="0"/>
        <v>161511.91518132211</v>
      </c>
      <c r="E53" s="12">
        <f t="shared" si="1"/>
        <v>100.46452094903927</v>
      </c>
      <c r="F53" s="12">
        <f t="shared" si="7"/>
        <v>29.922064978644549</v>
      </c>
      <c r="G53" s="12">
        <f t="shared" si="7"/>
        <v>3.6982327501695544</v>
      </c>
      <c r="H53" s="9"/>
      <c r="I53" s="12">
        <f t="shared" si="3"/>
        <v>12.062576480834236</v>
      </c>
      <c r="J53" s="12">
        <f t="shared" si="4"/>
        <v>2.7130251923000852</v>
      </c>
      <c r="K53" s="12">
        <f t="shared" si="5"/>
        <v>0.33531772039664004</v>
      </c>
    </row>
    <row r="54" spans="2:11" x14ac:dyDescent="0.25">
      <c r="B54" s="10">
        <v>50</v>
      </c>
      <c r="C54" s="11">
        <v>43941</v>
      </c>
      <c r="D54" s="12">
        <f t="shared" si="0"/>
        <v>161498.66456161943</v>
      </c>
      <c r="E54" s="12">
        <f t="shared" si="1"/>
        <v>110.3663232867623</v>
      </c>
      <c r="F54" s="12">
        <f t="shared" ref="F54:G69" si="8">F53+J54</f>
        <v>32.90251243346605</v>
      </c>
      <c r="G54" s="12">
        <f t="shared" si="8"/>
        <v>4.0666026603160317</v>
      </c>
      <c r="H54" s="9"/>
      <c r="I54" s="12">
        <f t="shared" si="3"/>
        <v>13.250619702691019</v>
      </c>
      <c r="J54" s="12">
        <f t="shared" si="4"/>
        <v>2.9804474548214981</v>
      </c>
      <c r="K54" s="12">
        <f t="shared" si="5"/>
        <v>0.36836991014647763</v>
      </c>
    </row>
    <row r="55" spans="2:11" x14ac:dyDescent="0.25">
      <c r="B55" s="10">
        <v>51</v>
      </c>
      <c r="C55" s="11">
        <v>43942</v>
      </c>
      <c r="D55" s="12">
        <f t="shared" si="0"/>
        <v>161484.10911938216</v>
      </c>
      <c r="E55" s="12">
        <f t="shared" si="1"/>
        <v>121.24288808115013</v>
      </c>
      <c r="F55" s="12">
        <f t="shared" si="8"/>
        <v>36.176713357639997</v>
      </c>
      <c r="G55" s="12">
        <f t="shared" si="8"/>
        <v>4.4712791790341608</v>
      </c>
      <c r="H55" s="9"/>
      <c r="I55" s="12">
        <f t="shared" si="3"/>
        <v>14.555442237279919</v>
      </c>
      <c r="J55" s="12">
        <f t="shared" si="4"/>
        <v>3.2742009241739476</v>
      </c>
      <c r="K55" s="12">
        <f t="shared" si="5"/>
        <v>0.40467651871812882</v>
      </c>
    </row>
    <row r="56" spans="2:11" x14ac:dyDescent="0.25">
      <c r="B56" s="10">
        <v>52</v>
      </c>
      <c r="C56" s="11">
        <v>43943</v>
      </c>
      <c r="D56" s="12">
        <f t="shared" si="0"/>
        <v>161468.1206442054</v>
      </c>
      <c r="E56" s="12">
        <f t="shared" si="1"/>
        <v>133.18993365521268</v>
      </c>
      <c r="F56" s="12">
        <f t="shared" si="8"/>
        <v>39.773585704047449</v>
      </c>
      <c r="G56" s="12">
        <f t="shared" si="8"/>
        <v>4.9158364353317117</v>
      </c>
      <c r="H56" s="9"/>
      <c r="I56" s="12">
        <f t="shared" si="3"/>
        <v>15.988475176767546</v>
      </c>
      <c r="J56" s="12">
        <f t="shared" si="4"/>
        <v>3.5968723464074532</v>
      </c>
      <c r="K56" s="12">
        <f t="shared" si="5"/>
        <v>0.44455725629755088</v>
      </c>
    </row>
    <row r="57" spans="2:11" x14ac:dyDescent="0.25">
      <c r="B57" s="10">
        <v>53</v>
      </c>
      <c r="C57" s="11">
        <v>43944</v>
      </c>
      <c r="D57" s="12">
        <f t="shared" si="0"/>
        <v>161450.55838553133</v>
      </c>
      <c r="E57" s="12">
        <f t="shared" si="1"/>
        <v>146.31252787410145</v>
      </c>
      <c r="F57" s="12">
        <f t="shared" si="8"/>
        <v>43.724887069152089</v>
      </c>
      <c r="G57" s="12">
        <f t="shared" si="8"/>
        <v>5.4041995254008253</v>
      </c>
      <c r="H57" s="9"/>
      <c r="I57" s="12">
        <f t="shared" si="3"/>
        <v>17.56225867406253</v>
      </c>
      <c r="J57" s="12">
        <f t="shared" si="4"/>
        <v>3.9513013651046425</v>
      </c>
      <c r="K57" s="12">
        <f t="shared" si="5"/>
        <v>0.4883630900691136</v>
      </c>
    </row>
    <row r="58" spans="2:11" x14ac:dyDescent="0.25">
      <c r="B58" s="10">
        <v>54</v>
      </c>
      <c r="C58" s="11">
        <v>43945</v>
      </c>
      <c r="D58" s="12">
        <f t="shared" si="0"/>
        <v>161431.26783803405</v>
      </c>
      <c r="E58" s="12">
        <f t="shared" si="1"/>
        <v>160.72599110891048</v>
      </c>
      <c r="F58" s="12">
        <f t="shared" si="8"/>
        <v>48.06549206275043</v>
      </c>
      <c r="G58" s="12">
        <f t="shared" si="8"/>
        <v>5.9406787942725305</v>
      </c>
      <c r="H58" s="9"/>
      <c r="I58" s="12">
        <f t="shared" si="3"/>
        <v>19.290547497279075</v>
      </c>
      <c r="J58" s="12">
        <f t="shared" si="4"/>
        <v>4.3406049935983431</v>
      </c>
      <c r="K58" s="12">
        <f t="shared" si="5"/>
        <v>0.53647926887170572</v>
      </c>
    </row>
    <row r="59" spans="2:11" x14ac:dyDescent="0.25">
      <c r="B59" s="10">
        <v>55</v>
      </c>
      <c r="C59" s="11">
        <v>43946</v>
      </c>
      <c r="D59" s="12">
        <f t="shared" si="0"/>
        <v>161410.07941183005</v>
      </c>
      <c r="E59" s="12">
        <f t="shared" si="1"/>
        <v>176.55688427595672</v>
      </c>
      <c r="F59" s="12">
        <f t="shared" si="8"/>
        <v>52.833696465648103</v>
      </c>
      <c r="G59" s="12">
        <f t="shared" si="8"/>
        <v>6.5300074283385356</v>
      </c>
      <c r="H59" s="9"/>
      <c r="I59" s="12">
        <f t="shared" si="3"/>
        <v>21.188426204009918</v>
      </c>
      <c r="J59" s="12">
        <f t="shared" si="4"/>
        <v>4.7682044028976769</v>
      </c>
      <c r="K59" s="12">
        <f t="shared" si="5"/>
        <v>0.58932863406600555</v>
      </c>
    </row>
    <row r="60" spans="2:11" x14ac:dyDescent="0.25">
      <c r="B60" s="10">
        <v>56</v>
      </c>
      <c r="C60" s="11">
        <v>43947</v>
      </c>
      <c r="D60" s="12">
        <f t="shared" si="0"/>
        <v>161386.8069771078</v>
      </c>
      <c r="E60" s="12">
        <f t="shared" si="1"/>
        <v>193.94408952235099</v>
      </c>
      <c r="F60" s="12">
        <f t="shared" si="8"/>
        <v>58.071550699168149</v>
      </c>
      <c r="G60" s="12">
        <f t="shared" si="8"/>
        <v>7.1773826706837109</v>
      </c>
      <c r="H60" s="9"/>
      <c r="I60" s="12">
        <f t="shared" si="3"/>
        <v>23.27243472225949</v>
      </c>
      <c r="J60" s="12">
        <f t="shared" si="4"/>
        <v>5.2378542335200491</v>
      </c>
      <c r="K60" s="12">
        <f t="shared" si="5"/>
        <v>0.64737524234517518</v>
      </c>
    </row>
    <row r="61" spans="2:11" x14ac:dyDescent="0.25">
      <c r="B61" s="10">
        <v>57</v>
      </c>
      <c r="C61" s="11">
        <v>43948</v>
      </c>
      <c r="D61" s="12">
        <f t="shared" si="0"/>
        <v>161361.24627193814</v>
      </c>
      <c r="E61" s="12">
        <f t="shared" si="1"/>
        <v>213.03999170793236</v>
      </c>
      <c r="F61" s="12">
        <f t="shared" si="8"/>
        <v>63.825225354997897</v>
      </c>
      <c r="G61" s="12">
        <f t="shared" si="8"/>
        <v>7.8885109989323317</v>
      </c>
      <c r="H61" s="9"/>
      <c r="I61" s="12">
        <f t="shared" si="3"/>
        <v>25.560705169659748</v>
      </c>
      <c r="J61" s="12">
        <f t="shared" si="4"/>
        <v>5.7536746558297454</v>
      </c>
      <c r="K61" s="12">
        <f t="shared" si="5"/>
        <v>0.71112832824862093</v>
      </c>
    </row>
    <row r="62" spans="2:11" x14ac:dyDescent="0.25">
      <c r="B62" s="10">
        <v>58</v>
      </c>
      <c r="C62" s="11">
        <v>43949</v>
      </c>
      <c r="D62" s="12">
        <f t="shared" si="0"/>
        <v>161333.17316115292</v>
      </c>
      <c r="E62" s="12">
        <f t="shared" si="1"/>
        <v>234.01176943621658</v>
      </c>
      <c r="F62" s="12">
        <f t="shared" si="8"/>
        <v>70.14541177566656</v>
      </c>
      <c r="G62" s="12">
        <f t="shared" si="8"/>
        <v>8.669657635194751</v>
      </c>
      <c r="H62" s="9"/>
      <c r="I62" s="12">
        <f t="shared" si="3"/>
        <v>28.073110785215274</v>
      </c>
      <c r="J62" s="12">
        <f t="shared" si="4"/>
        <v>6.3201864206686595</v>
      </c>
      <c r="K62" s="12">
        <f t="shared" si="5"/>
        <v>0.78114663626241942</v>
      </c>
    </row>
    <row r="63" spans="2:11" x14ac:dyDescent="0.25">
      <c r="B63" s="10">
        <v>59</v>
      </c>
      <c r="C63" s="11">
        <v>43950</v>
      </c>
      <c r="D63" s="12">
        <f t="shared" si="0"/>
        <v>161302.3417332661</v>
      </c>
      <c r="E63" s="12">
        <f t="shared" si="1"/>
        <v>257.04280500848245</v>
      </c>
      <c r="F63" s="12">
        <f t="shared" si="8"/>
        <v>77.087760935607648</v>
      </c>
      <c r="G63" s="12">
        <f t="shared" si="8"/>
        <v>9.5277007897942116</v>
      </c>
      <c r="H63" s="9"/>
      <c r="I63" s="12">
        <f t="shared" si="3"/>
        <v>30.831427886806381</v>
      </c>
      <c r="J63" s="12">
        <f t="shared" si="4"/>
        <v>6.9423491599410907</v>
      </c>
      <c r="K63" s="12">
        <f t="shared" si="5"/>
        <v>0.85804315459946146</v>
      </c>
    </row>
    <row r="64" spans="2:11" x14ac:dyDescent="0.25">
      <c r="B64" s="10">
        <v>60</v>
      </c>
      <c r="C64" s="13">
        <v>43951</v>
      </c>
      <c r="D64" s="12">
        <f t="shared" si="0"/>
        <v>161268.48222146498</v>
      </c>
      <c r="E64" s="12">
        <f t="shared" si="1"/>
        <v>282.33422330933712</v>
      </c>
      <c r="F64" s="12">
        <f t="shared" si="8"/>
        <v>84.713364150859292</v>
      </c>
      <c r="G64" s="12">
        <f t="shared" si="8"/>
        <v>10.470191074825316</v>
      </c>
      <c r="H64" s="9"/>
      <c r="I64" s="12">
        <f t="shared" si="3"/>
        <v>33.859511801137423</v>
      </c>
      <c r="J64" s="12">
        <f t="shared" si="4"/>
        <v>7.6256032152516449</v>
      </c>
      <c r="K64" s="12">
        <f t="shared" si="5"/>
        <v>0.94249028503110321</v>
      </c>
    </row>
    <row r="65" spans="2:11" x14ac:dyDescent="0.25">
      <c r="B65" s="10">
        <v>61</v>
      </c>
      <c r="C65" s="11">
        <v>43952</v>
      </c>
      <c r="D65" s="12">
        <f t="shared" si="0"/>
        <v>161231.29873372658</v>
      </c>
      <c r="E65" s="12">
        <f t="shared" si="1"/>
        <v>310.10657027075968</v>
      </c>
      <c r="F65" s="12">
        <f t="shared" si="8"/>
        <v>93.08927944236963</v>
      </c>
      <c r="G65" s="12">
        <f t="shared" si="8"/>
        <v>11.505416560292886</v>
      </c>
      <c r="H65" s="9"/>
      <c r="I65" s="12">
        <f t="shared" si="3"/>
        <v>37.183487738400459</v>
      </c>
      <c r="J65" s="12">
        <f t="shared" si="4"/>
        <v>8.3759152915103332</v>
      </c>
      <c r="K65" s="12">
        <f t="shared" si="5"/>
        <v>1.0352254854675704</v>
      </c>
    </row>
    <row r="66" spans="2:11" x14ac:dyDescent="0.25">
      <c r="B66" s="10">
        <v>62</v>
      </c>
      <c r="C66" s="11">
        <v>43953</v>
      </c>
      <c r="D66" s="12">
        <f t="shared" si="0"/>
        <v>161190.46677612787</v>
      </c>
      <c r="E66" s="12">
        <f t="shared" si="1"/>
        <v>340.6016421937864</v>
      </c>
      <c r="F66" s="12">
        <f t="shared" si="8"/>
        <v>102.2891076937355</v>
      </c>
      <c r="G66" s="12">
        <f t="shared" si="8"/>
        <v>12.642473984619006</v>
      </c>
      <c r="H66" s="9"/>
      <c r="I66" s="12">
        <f t="shared" si="3"/>
        <v>40.831957598718738</v>
      </c>
      <c r="J66" s="12">
        <f t="shared" si="4"/>
        <v>9.1998282513658687</v>
      </c>
      <c r="K66" s="12">
        <f t="shared" si="5"/>
        <v>1.1370574243261198</v>
      </c>
    </row>
    <row r="67" spans="2:11" x14ac:dyDescent="0.25">
      <c r="B67" s="10">
        <v>63</v>
      </c>
      <c r="C67" s="11">
        <v>43954</v>
      </c>
      <c r="D67" s="12">
        <f t="shared" si="0"/>
        <v>161145.63055243003</v>
      </c>
      <c r="E67" s="12">
        <f t="shared" si="1"/>
        <v>374.08447781851049</v>
      </c>
      <c r="F67" s="12">
        <f t="shared" si="8"/>
        <v>112.39362307881782</v>
      </c>
      <c r="G67" s="12">
        <f t="shared" si="8"/>
        <v>13.891346672662891</v>
      </c>
      <c r="H67" s="9"/>
      <c r="I67" s="12">
        <f t="shared" si="3"/>
        <v>44.836223697850293</v>
      </c>
      <c r="J67" s="12">
        <f t="shared" si="4"/>
        <v>10.104515385082328</v>
      </c>
      <c r="K67" s="12">
        <f t="shared" si="5"/>
        <v>1.2488726880438847</v>
      </c>
    </row>
    <row r="68" spans="2:11" x14ac:dyDescent="0.25">
      <c r="B68" s="10">
        <v>64</v>
      </c>
      <c r="C68" s="11">
        <v>43955</v>
      </c>
      <c r="D68" s="12">
        <f t="shared" si="0"/>
        <v>161096.40002204874</v>
      </c>
      <c r="E68" s="12">
        <f t="shared" si="1"/>
        <v>410.84552560584103</v>
      </c>
      <c r="F68" s="12">
        <f t="shared" si="8"/>
        <v>123.49146258743363</v>
      </c>
      <c r="G68" s="12">
        <f t="shared" si="8"/>
        <v>15.262989757997431</v>
      </c>
      <c r="H68" s="9"/>
      <c r="I68" s="12">
        <f t="shared" si="3"/>
        <v>49.230530381280921</v>
      </c>
      <c r="J68" s="12">
        <f t="shared" si="4"/>
        <v>11.097839508615809</v>
      </c>
      <c r="K68" s="12">
        <f t="shared" si="5"/>
        <v>1.3716430853345398</v>
      </c>
    </row>
    <row r="69" spans="2:11" x14ac:dyDescent="0.25">
      <c r="B69" s="10">
        <v>65</v>
      </c>
      <c r="C69" s="11">
        <v>43956</v>
      </c>
      <c r="D69" s="12">
        <f t="shared" si="0"/>
        <v>161042.34769759537</v>
      </c>
      <c r="E69" s="12">
        <f t="shared" si="1"/>
        <v>451.20299920568539</v>
      </c>
      <c r="F69" s="12">
        <f t="shared" si="8"/>
        <v>135.67987984707358</v>
      </c>
      <c r="G69" s="12">
        <f t="shared" si="8"/>
        <v>16.769423351885518</v>
      </c>
      <c r="H69" s="9"/>
      <c r="I69" s="12">
        <f t="shared" si="3"/>
        <v>54.052324453372357</v>
      </c>
      <c r="J69" s="12">
        <f t="shared" si="4"/>
        <v>12.18841725963995</v>
      </c>
      <c r="K69" s="12">
        <f t="shared" si="5"/>
        <v>1.5064335938880853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160983.00516232019</v>
      </c>
      <c r="E70" s="12">
        <f t="shared" ref="E70:E133" si="10">E69+I70-J70-K70</f>
        <v>495.50543450735489</v>
      </c>
      <c r="F70" s="12">
        <f t="shared" ref="F70:G85" si="11">F69+J70</f>
        <v>149.0655688235089</v>
      </c>
      <c r="G70" s="12">
        <f t="shared" si="11"/>
        <v>18.423834348973031</v>
      </c>
      <c r="H70" s="9"/>
      <c r="I70" s="12">
        <f t="shared" ref="I70:I133" si="12">E69*N$6*D69/SUM(D69:F69)*N$7</f>
        <v>59.34253527519234</v>
      </c>
      <c r="J70" s="12">
        <f t="shared" ref="J70:J133" si="13">E69*N$8/N$5</f>
        <v>13.385688976435331</v>
      </c>
      <c r="K70" s="12">
        <f t="shared" ref="K70:K133" si="14">E69*N$9/N$5</f>
        <v>1.6544109970875145</v>
      </c>
    </row>
    <row r="71" spans="2:11" x14ac:dyDescent="0.25">
      <c r="B71" s="10">
        <v>67</v>
      </c>
      <c r="C71" s="11">
        <v>43958</v>
      </c>
      <c r="D71" s="12">
        <f t="shared" si="9"/>
        <v>160917.85928704694</v>
      </c>
      <c r="E71" s="12">
        <f t="shared" si="10"/>
        <v>544.13446196369591</v>
      </c>
      <c r="F71" s="12">
        <f t="shared" si="11"/>
        <v>163.76556338056042</v>
      </c>
      <c r="G71" s="12">
        <f t="shared" si="11"/>
        <v>20.240687608833333</v>
      </c>
      <c r="H71" s="9"/>
      <c r="I71" s="12">
        <f t="shared" si="12"/>
        <v>65.145875273252912</v>
      </c>
      <c r="J71" s="12">
        <f t="shared" si="13"/>
        <v>14.699994557051527</v>
      </c>
      <c r="K71" s="12">
        <f t="shared" si="14"/>
        <v>1.8168532598603029</v>
      </c>
    </row>
    <row r="72" spans="2:11" x14ac:dyDescent="0.25">
      <c r="B72" s="10">
        <v>68</v>
      </c>
      <c r="C72" s="11">
        <v>43959</v>
      </c>
      <c r="D72" s="12">
        <f t="shared" si="9"/>
        <v>160846.34812560465</v>
      </c>
      <c r="E72" s="12">
        <f t="shared" si="10"/>
        <v>597.50780800720736</v>
      </c>
      <c r="F72" s="12">
        <f t="shared" si="11"/>
        <v>179.90821908548341</v>
      </c>
      <c r="G72" s="12">
        <f t="shared" si="11"/>
        <v>22.235847302700222</v>
      </c>
      <c r="H72" s="9"/>
      <c r="I72" s="12">
        <f t="shared" si="12"/>
        <v>71.51116144230123</v>
      </c>
      <c r="J72" s="12">
        <f t="shared" si="13"/>
        <v>16.142655704922976</v>
      </c>
      <c r="K72" s="12">
        <f t="shared" si="14"/>
        <v>1.995159693866887</v>
      </c>
    </row>
    <row r="73" spans="2:11" x14ac:dyDescent="0.25">
      <c r="B73" s="10">
        <v>69</v>
      </c>
      <c r="C73" s="11">
        <v>43960</v>
      </c>
      <c r="D73" s="12">
        <f t="shared" si="9"/>
        <v>160767.85646739721</v>
      </c>
      <c r="E73" s="12">
        <f t="shared" si="10"/>
        <v>656.08253928107274</v>
      </c>
      <c r="F73" s="12">
        <f t="shared" si="11"/>
        <v>197.6342840563639</v>
      </c>
      <c r="G73" s="12">
        <f t="shared" si="11"/>
        <v>24.426709265393317</v>
      </c>
      <c r="H73" s="9"/>
      <c r="I73" s="12">
        <f t="shared" si="12"/>
        <v>78.491658207438917</v>
      </c>
      <c r="J73" s="12">
        <f t="shared" si="13"/>
        <v>17.726064970880483</v>
      </c>
      <c r="K73" s="12">
        <f t="shared" si="14"/>
        <v>2.1908619626930959</v>
      </c>
    </row>
    <row r="74" spans="2:11" x14ac:dyDescent="0.25">
      <c r="B74" s="10">
        <v>70</v>
      </c>
      <c r="C74" s="11">
        <v>43961</v>
      </c>
      <c r="D74" s="12">
        <f t="shared" si="9"/>
        <v>160681.71102567617</v>
      </c>
      <c r="E74" s="12">
        <f t="shared" si="10"/>
        <v>720.3585630260751</v>
      </c>
      <c r="F74" s="12">
        <f t="shared" si="11"/>
        <v>217.09806605503573</v>
      </c>
      <c r="G74" s="12">
        <f t="shared" si="11"/>
        <v>26.832345242757253</v>
      </c>
      <c r="H74" s="9"/>
      <c r="I74" s="12">
        <f t="shared" si="12"/>
        <v>86.14544172103804</v>
      </c>
      <c r="J74" s="12">
        <f t="shared" si="13"/>
        <v>19.463781998671823</v>
      </c>
      <c r="K74" s="12">
        <f t="shared" si="14"/>
        <v>2.4056359773639358</v>
      </c>
    </row>
    <row r="75" spans="2:11" x14ac:dyDescent="0.25">
      <c r="B75" s="10">
        <v>71</v>
      </c>
      <c r="C75" s="11">
        <v>43962</v>
      </c>
      <c r="D75" s="12">
        <f t="shared" si="9"/>
        <v>160587.17524038348</v>
      </c>
      <c r="E75" s="12">
        <f t="shared" si="10"/>
        <v>790.88239621788466</v>
      </c>
      <c r="F75" s="12">
        <f t="shared" si="11"/>
        <v>238.46870342480929</v>
      </c>
      <c r="G75" s="12">
        <f t="shared" si="11"/>
        <v>29.473659973852865</v>
      </c>
      <c r="H75" s="9"/>
      <c r="I75" s="12">
        <f t="shared" si="12"/>
        <v>94.535785292678739</v>
      </c>
      <c r="J75" s="12">
        <f t="shared" si="13"/>
        <v>21.370637369773558</v>
      </c>
      <c r="K75" s="12">
        <f t="shared" si="14"/>
        <v>2.6413147310956111</v>
      </c>
    </row>
    <row r="76" spans="2:11" x14ac:dyDescent="0.25">
      <c r="B76" s="10">
        <v>72</v>
      </c>
      <c r="C76" s="11">
        <v>43963</v>
      </c>
      <c r="D76" s="12">
        <f t="shared" si="9"/>
        <v>160483.44367521597</v>
      </c>
      <c r="E76" s="12">
        <f t="shared" si="10"/>
        <v>868.25121484480962</v>
      </c>
      <c r="F76" s="12">
        <f t="shared" si="11"/>
        <v>261.93154784593986</v>
      </c>
      <c r="G76" s="12">
        <f t="shared" si="11"/>
        <v>32.373562093318441</v>
      </c>
      <c r="H76" s="9"/>
      <c r="I76" s="12">
        <f t="shared" si="12"/>
        <v>103.73156516752108</v>
      </c>
      <c r="J76" s="12">
        <f t="shared" si="13"/>
        <v>23.462844421130576</v>
      </c>
      <c r="K76" s="12">
        <f t="shared" si="14"/>
        <v>2.8999021194655796</v>
      </c>
    </row>
    <row r="77" spans="2:11" x14ac:dyDescent="0.25">
      <c r="B77" s="10">
        <v>73</v>
      </c>
      <c r="C77" s="11">
        <v>43964</v>
      </c>
      <c r="D77" s="12">
        <f t="shared" si="9"/>
        <v>160369.63598995691</v>
      </c>
      <c r="E77" s="12">
        <f t="shared" si="10"/>
        <v>953.11719294237241</v>
      </c>
      <c r="F77" s="12">
        <f t="shared" si="11"/>
        <v>287.68966721966922</v>
      </c>
      <c r="G77" s="12">
        <f t="shared" si="11"/>
        <v>35.557149881082744</v>
      </c>
      <c r="H77" s="9"/>
      <c r="I77" s="12">
        <f t="shared" si="12"/>
        <v>113.80768525905637</v>
      </c>
      <c r="J77" s="12">
        <f t="shared" si="13"/>
        <v>25.75811937372935</v>
      </c>
      <c r="K77" s="12">
        <f t="shared" si="14"/>
        <v>3.1835877877643046</v>
      </c>
    </row>
    <row r="78" spans="2:11" x14ac:dyDescent="0.25">
      <c r="B78" s="10">
        <v>74</v>
      </c>
      <c r="C78" s="11">
        <v>43965</v>
      </c>
      <c r="D78" s="12">
        <f t="shared" si="9"/>
        <v>160244.79047127516</v>
      </c>
      <c r="E78" s="12">
        <f t="shared" si="10"/>
        <v>1046.1921385260271</v>
      </c>
      <c r="F78" s="12">
        <f t="shared" si="11"/>
        <v>315.96547727695958</v>
      </c>
      <c r="G78" s="12">
        <f t="shared" si="11"/>
        <v>39.051912921871448</v>
      </c>
      <c r="H78" s="9"/>
      <c r="I78" s="12">
        <f t="shared" si="12"/>
        <v>124.84551868173375</v>
      </c>
      <c r="J78" s="12">
        <f t="shared" si="13"/>
        <v>28.275810057290379</v>
      </c>
      <c r="K78" s="12">
        <f t="shared" si="14"/>
        <v>3.494763040788702</v>
      </c>
    </row>
    <row r="79" spans="2:11" x14ac:dyDescent="0.25">
      <c r="B79" s="10">
        <v>75</v>
      </c>
      <c r="C79" s="11">
        <v>43966</v>
      </c>
      <c r="D79" s="12">
        <f t="shared" si="9"/>
        <v>160107.85710828548</v>
      </c>
      <c r="E79" s="12">
        <f t="shared" si="10"/>
        <v>1148.2524302315258</v>
      </c>
      <c r="F79" s="12">
        <f t="shared" si="11"/>
        <v>347.0025107198984</v>
      </c>
      <c r="G79" s="12">
        <f t="shared" si="11"/>
        <v>42.887950763133553</v>
      </c>
      <c r="H79" s="9"/>
      <c r="I79" s="12">
        <f t="shared" si="12"/>
        <v>136.93336298969953</v>
      </c>
      <c r="J79" s="12">
        <f t="shared" si="13"/>
        <v>31.0370334429388</v>
      </c>
      <c r="K79" s="12">
        <f t="shared" si="14"/>
        <v>3.8360378412621028</v>
      </c>
    </row>
    <row r="80" spans="2:11" x14ac:dyDescent="0.25">
      <c r="B80" s="10">
        <v>76</v>
      </c>
      <c r="C80" s="11">
        <v>43967</v>
      </c>
      <c r="D80" s="12">
        <f t="shared" si="9"/>
        <v>159957.69020340717</v>
      </c>
      <c r="E80" s="12">
        <f t="shared" si="10"/>
        <v>1260.1442541021088</v>
      </c>
      <c r="F80" s="12">
        <f t="shared" si="11"/>
        <v>381.06733281676702</v>
      </c>
      <c r="G80" s="12">
        <f t="shared" si="11"/>
        <v>47.098209673982481</v>
      </c>
      <c r="H80" s="9"/>
      <c r="I80" s="12">
        <f t="shared" si="12"/>
        <v>150.16690487830047</v>
      </c>
      <c r="J80" s="12">
        <f t="shared" si="13"/>
        <v>34.064822096868596</v>
      </c>
      <c r="K80" s="12">
        <f t="shared" si="14"/>
        <v>4.2102589108489319</v>
      </c>
    </row>
    <row r="81" spans="2:11" x14ac:dyDescent="0.25">
      <c r="B81" s="10">
        <v>77</v>
      </c>
      <c r="C81" s="11">
        <v>43968</v>
      </c>
      <c r="D81" s="12">
        <f t="shared" si="9"/>
        <v>159793.04051469735</v>
      </c>
      <c r="E81" s="12">
        <f t="shared" si="10"/>
        <v>1382.7891343418432</v>
      </c>
      <c r="F81" s="12">
        <f t="shared" si="11"/>
        <v>418.45161235512955</v>
      </c>
      <c r="G81" s="12">
        <f t="shared" si="11"/>
        <v>51.71873860569022</v>
      </c>
      <c r="H81" s="9"/>
      <c r="I81" s="12">
        <f t="shared" si="12"/>
        <v>164.64968870980462</v>
      </c>
      <c r="J81" s="12">
        <f t="shared" si="13"/>
        <v>37.384279538362556</v>
      </c>
      <c r="K81" s="12">
        <f t="shared" si="14"/>
        <v>4.620528931707736</v>
      </c>
    </row>
    <row r="82" spans="2:11" x14ac:dyDescent="0.25">
      <c r="B82" s="10">
        <v>78</v>
      </c>
      <c r="C82" s="11">
        <v>43969</v>
      </c>
      <c r="D82" s="12">
        <f t="shared" si="9"/>
        <v>159612.54693315231</v>
      </c>
      <c r="E82" s="12">
        <f t="shared" si="10"/>
        <v>1517.1897447421597</v>
      </c>
      <c r="F82" s="12">
        <f t="shared" si="11"/>
        <v>459.47435667393756</v>
      </c>
      <c r="G82" s="12">
        <f t="shared" si="11"/>
        <v>56.788965431610315</v>
      </c>
      <c r="H82" s="9"/>
      <c r="I82" s="12">
        <f t="shared" si="12"/>
        <v>180.49358154504469</v>
      </c>
      <c r="J82" s="12">
        <f t="shared" si="13"/>
        <v>41.022744318808009</v>
      </c>
      <c r="K82" s="12">
        <f t="shared" si="14"/>
        <v>5.0702268259200967</v>
      </c>
    </row>
    <row r="83" spans="2:11" x14ac:dyDescent="0.25">
      <c r="B83" s="10">
        <v>79</v>
      </c>
      <c r="C83" s="11">
        <v>43970</v>
      </c>
      <c r="D83" s="12">
        <f t="shared" si="9"/>
        <v>159414.72770779618</v>
      </c>
      <c r="E83" s="12">
        <f t="shared" si="10"/>
        <v>1664.4359786068967</v>
      </c>
      <c r="F83" s="12">
        <f t="shared" si="11"/>
        <v>504.48431910128829</v>
      </c>
      <c r="G83" s="12">
        <f t="shared" si="11"/>
        <v>62.351994495664904</v>
      </c>
      <c r="H83" s="9"/>
      <c r="I83" s="12">
        <f t="shared" si="12"/>
        <v>197.8192253561422</v>
      </c>
      <c r="J83" s="12">
        <f t="shared" si="13"/>
        <v>45.009962427350736</v>
      </c>
      <c r="K83" s="12">
        <f t="shared" si="14"/>
        <v>5.5630290640545903</v>
      </c>
    </row>
    <row r="84" spans="2:11" x14ac:dyDescent="0.25">
      <c r="B84" s="10">
        <v>80</v>
      </c>
      <c r="C84" s="11">
        <v>43971</v>
      </c>
      <c r="D84" s="12">
        <f t="shared" si="9"/>
        <v>159197.97124307885</v>
      </c>
      <c r="E84" s="12">
        <f t="shared" si="10"/>
        <v>1825.7112440373232</v>
      </c>
      <c r="F84" s="12">
        <f t="shared" si="11"/>
        <v>553.86258646662623</v>
      </c>
      <c r="G84" s="12">
        <f t="shared" si="11"/>
        <v>68.454926417223533</v>
      </c>
      <c r="H84" s="9"/>
      <c r="I84" s="12">
        <f t="shared" si="12"/>
        <v>216.75646471732307</v>
      </c>
      <c r="J84" s="12">
        <f t="shared" si="13"/>
        <v>49.378267365337933</v>
      </c>
      <c r="K84" s="12">
        <f t="shared" si="14"/>
        <v>6.1029319215586266</v>
      </c>
    </row>
    <row r="85" spans="2:11" x14ac:dyDescent="0.25">
      <c r="B85" s="10">
        <v>81</v>
      </c>
      <c r="C85" s="11">
        <v>43972</v>
      </c>
      <c r="D85" s="12">
        <f t="shared" si="9"/>
        <v>158960.52650760391</v>
      </c>
      <c r="E85" s="12">
        <f t="shared" si="10"/>
        <v>2002.2989380443546</v>
      </c>
      <c r="F85" s="12">
        <f t="shared" si="11"/>
        <v>608.02535337306676</v>
      </c>
      <c r="G85" s="12">
        <f t="shared" si="11"/>
        <v>75.149200978693727</v>
      </c>
      <c r="H85" s="9"/>
      <c r="I85" s="12">
        <f t="shared" si="12"/>
        <v>237.44473547494195</v>
      </c>
      <c r="J85" s="12">
        <f t="shared" si="13"/>
        <v>54.162766906440581</v>
      </c>
      <c r="K85" s="12">
        <f t="shared" si="14"/>
        <v>6.6942745614701913</v>
      </c>
    </row>
    <row r="86" spans="2:11" x14ac:dyDescent="0.25">
      <c r="B86" s="10">
        <v>82</v>
      </c>
      <c r="C86" s="11">
        <v>43973</v>
      </c>
      <c r="D86" s="12">
        <f t="shared" si="9"/>
        <v>158700.49311096527</v>
      </c>
      <c r="E86" s="12">
        <f t="shared" si="10"/>
        <v>2195.5890367481761</v>
      </c>
      <c r="F86" s="12">
        <f t="shared" ref="F86:G101" si="15">F85+J86</f>
        <v>667.42688853504933</v>
      </c>
      <c r="G86" s="12">
        <f t="shared" si="15"/>
        <v>82.49096375152304</v>
      </c>
      <c r="H86" s="9"/>
      <c r="I86" s="12">
        <f t="shared" si="12"/>
        <v>260.03339663863346</v>
      </c>
      <c r="J86" s="12">
        <f t="shared" si="13"/>
        <v>59.401535161982515</v>
      </c>
      <c r="K86" s="12">
        <f t="shared" si="14"/>
        <v>7.3417627728293073</v>
      </c>
    </row>
    <row r="87" spans="2:11" x14ac:dyDescent="0.25">
      <c r="B87" s="10">
        <v>83</v>
      </c>
      <c r="C87" s="11">
        <v>43974</v>
      </c>
      <c r="D87" s="12">
        <f t="shared" si="9"/>
        <v>158415.81112699443</v>
      </c>
      <c r="E87" s="12">
        <f t="shared" si="10"/>
        <v>2407.0847194940607</v>
      </c>
      <c r="F87" s="12">
        <f t="shared" si="15"/>
        <v>732.56269662524517</v>
      </c>
      <c r="G87" s="12">
        <f t="shared" si="15"/>
        <v>90.54145688626636</v>
      </c>
      <c r="H87" s="9"/>
      <c r="I87" s="12">
        <f t="shared" si="12"/>
        <v>284.68198397082386</v>
      </c>
      <c r="J87" s="12">
        <f t="shared" si="13"/>
        <v>65.13580809019588</v>
      </c>
      <c r="K87" s="12">
        <f t="shared" si="14"/>
        <v>8.05049313474332</v>
      </c>
    </row>
    <row r="88" spans="2:11" x14ac:dyDescent="0.25">
      <c r="B88" s="10">
        <v>84</v>
      </c>
      <c r="C88" s="11">
        <v>43975</v>
      </c>
      <c r="D88" s="12">
        <f t="shared" si="9"/>
        <v>158104.25076754764</v>
      </c>
      <c r="E88" s="12">
        <f t="shared" si="10"/>
        <v>2638.4089216243974</v>
      </c>
      <c r="F88" s="12">
        <f t="shared" si="15"/>
        <v>803.97287663690224</v>
      </c>
      <c r="G88" s="12">
        <f t="shared" si="15"/>
        <v>99.367434191077919</v>
      </c>
      <c r="H88" s="9"/>
      <c r="I88" s="12">
        <f t="shared" si="12"/>
        <v>311.56035944680548</v>
      </c>
      <c r="J88" s="12">
        <f t="shared" si="13"/>
        <v>71.410180011657118</v>
      </c>
      <c r="K88" s="12">
        <f t="shared" si="14"/>
        <v>8.8259773048115644</v>
      </c>
    </row>
    <row r="89" spans="2:11" x14ac:dyDescent="0.25">
      <c r="B89" s="10">
        <v>85</v>
      </c>
      <c r="C89" s="11">
        <v>43976</v>
      </c>
      <c r="D89" s="12">
        <f t="shared" si="9"/>
        <v>157763.40204165759</v>
      </c>
      <c r="E89" s="12">
        <f t="shared" si="10"/>
        <v>2891.3106834602927</v>
      </c>
      <c r="F89" s="12">
        <f t="shared" si="15"/>
        <v>882.24567464509266</v>
      </c>
      <c r="G89" s="12">
        <f t="shared" si="15"/>
        <v>109.04160023703405</v>
      </c>
      <c r="H89" s="9"/>
      <c r="I89" s="12">
        <f t="shared" si="12"/>
        <v>340.84872589004181</v>
      </c>
      <c r="J89" s="12">
        <f t="shared" si="13"/>
        <v>78.272798008190449</v>
      </c>
      <c r="K89" s="12">
        <f t="shared" si="14"/>
        <v>9.6741660459561327</v>
      </c>
    </row>
    <row r="90" spans="2:11" x14ac:dyDescent="0.25">
      <c r="B90" s="10">
        <v>86</v>
      </c>
      <c r="C90" s="11">
        <v>43977</v>
      </c>
      <c r="D90" s="12">
        <f t="shared" si="9"/>
        <v>157390.66457100256</v>
      </c>
      <c r="E90" s="12">
        <f t="shared" si="10"/>
        <v>3167.671131333318</v>
      </c>
      <c r="F90" s="12">
        <f t="shared" si="15"/>
        <v>968.02122492108128</v>
      </c>
      <c r="G90" s="12">
        <f t="shared" si="15"/>
        <v>119.64307274305513</v>
      </c>
      <c r="H90" s="9"/>
      <c r="I90" s="12">
        <f t="shared" si="12"/>
        <v>372.73747065503557</v>
      </c>
      <c r="J90" s="12">
        <f t="shared" si="13"/>
        <v>85.775550275988678</v>
      </c>
      <c r="K90" s="12">
        <f t="shared" si="14"/>
        <v>10.601472506021082</v>
      </c>
    </row>
    <row r="91" spans="2:11" x14ac:dyDescent="0.25">
      <c r="B91" s="10">
        <v>87</v>
      </c>
      <c r="C91" s="11">
        <v>43978</v>
      </c>
      <c r="D91" s="12">
        <f t="shared" si="9"/>
        <v>156983.23777474277</v>
      </c>
      <c r="E91" s="12">
        <f t="shared" si="10"/>
        <v>3469.5088898819922</v>
      </c>
      <c r="F91" s="12">
        <f t="shared" si="15"/>
        <v>1061.9954684839697</v>
      </c>
      <c r="G91" s="12">
        <f t="shared" si="15"/>
        <v>131.2578668912773</v>
      </c>
      <c r="H91" s="9"/>
      <c r="I91" s="12">
        <f t="shared" si="12"/>
        <v>407.42679625978496</v>
      </c>
      <c r="J91" s="12">
        <f t="shared" si="13"/>
        <v>93.974243562888432</v>
      </c>
      <c r="K91" s="12">
        <f t="shared" si="14"/>
        <v>11.614794148222177</v>
      </c>
    </row>
    <row r="92" spans="2:11" x14ac:dyDescent="0.25">
      <c r="B92" s="10">
        <v>88</v>
      </c>
      <c r="C92" s="11">
        <v>43979</v>
      </c>
      <c r="D92" s="12">
        <f t="shared" si="9"/>
        <v>156538.11168531346</v>
      </c>
      <c r="E92" s="12">
        <f t="shared" si="10"/>
        <v>3798.9846829819053</v>
      </c>
      <c r="F92" s="12">
        <f t="shared" si="15"/>
        <v>1164.9242322171356</v>
      </c>
      <c r="G92" s="12">
        <f t="shared" si="15"/>
        <v>143.97939948751127</v>
      </c>
      <c r="H92" s="9"/>
      <c r="I92" s="12">
        <f t="shared" si="12"/>
        <v>445.12608942931297</v>
      </c>
      <c r="J92" s="12">
        <f t="shared" si="13"/>
        <v>102.92876373316577</v>
      </c>
      <c r="K92" s="12">
        <f t="shared" si="14"/>
        <v>12.721532596233981</v>
      </c>
    </row>
    <row r="93" spans="2:11" x14ac:dyDescent="0.25">
      <c r="B93" s="10">
        <v>89</v>
      </c>
      <c r="C93" s="11">
        <v>43980</v>
      </c>
      <c r="D93" s="12">
        <f t="shared" si="9"/>
        <v>156052.05871208926</v>
      </c>
      <c r="E93" s="12">
        <f t="shared" si="10"/>
        <v>4158.4048334400413</v>
      </c>
      <c r="F93" s="12">
        <f t="shared" si="15"/>
        <v>1277.6274444789321</v>
      </c>
      <c r="G93" s="12">
        <f t="shared" si="15"/>
        <v>157.90900999177828</v>
      </c>
      <c r="H93" s="9"/>
      <c r="I93" s="12">
        <f t="shared" si="12"/>
        <v>486.05297322419943</v>
      </c>
      <c r="J93" s="12">
        <f t="shared" si="13"/>
        <v>112.70321226179651</v>
      </c>
      <c r="K93" s="12">
        <f t="shared" si="14"/>
        <v>13.929610504266998</v>
      </c>
    </row>
    <row r="94" spans="2:11" x14ac:dyDescent="0.25">
      <c r="B94" s="10">
        <v>90</v>
      </c>
      <c r="C94" s="11">
        <v>43981</v>
      </c>
      <c r="D94" s="12">
        <f t="shared" si="9"/>
        <v>155521.62673209951</v>
      </c>
      <c r="E94" s="12">
        <f t="shared" si="10"/>
        <v>4550.2233189817834</v>
      </c>
      <c r="F94" s="12">
        <f t="shared" si="15"/>
        <v>1400.9934545376534</v>
      </c>
      <c r="G94" s="12">
        <f t="shared" si="15"/>
        <v>173.15649438105845</v>
      </c>
      <c r="H94" s="9"/>
      <c r="I94" s="12">
        <f t="shared" si="12"/>
        <v>530.43197998974392</v>
      </c>
      <c r="J94" s="12">
        <f t="shared" si="13"/>
        <v>123.36601005872122</v>
      </c>
      <c r="K94" s="12">
        <f t="shared" si="14"/>
        <v>15.247484389280165</v>
      </c>
    </row>
    <row r="95" spans="2:11" x14ac:dyDescent="0.25">
      <c r="B95" s="10">
        <v>91</v>
      </c>
      <c r="C95" s="13">
        <v>43982</v>
      </c>
      <c r="D95" s="12">
        <f t="shared" si="9"/>
        <v>154943.13395603723</v>
      </c>
      <c r="E95" s="12">
        <f t="shared" si="10"/>
        <v>4977.0419844113276</v>
      </c>
      <c r="F95" s="12">
        <f t="shared" si="15"/>
        <v>1535.9834130007796</v>
      </c>
      <c r="G95" s="12">
        <f t="shared" si="15"/>
        <v>189.84064655065833</v>
      </c>
      <c r="H95" s="9"/>
      <c r="I95" s="12">
        <f t="shared" si="12"/>
        <v>578.49277606227088</v>
      </c>
      <c r="J95" s="12">
        <f t="shared" si="13"/>
        <v>134.98995846312624</v>
      </c>
      <c r="K95" s="12">
        <f t="shared" si="14"/>
        <v>16.684152169599887</v>
      </c>
    </row>
    <row r="96" spans="2:11" x14ac:dyDescent="0.25">
      <c r="B96" s="10">
        <v>92</v>
      </c>
      <c r="C96" s="11">
        <v>43983</v>
      </c>
      <c r="D96" s="12">
        <f t="shared" si="9"/>
        <v>154312.6660931212</v>
      </c>
      <c r="E96" s="12">
        <f t="shared" si="10"/>
        <v>5441.6084478469938</v>
      </c>
      <c r="F96" s="12">
        <f t="shared" si="15"/>
        <v>1683.6356585383155</v>
      </c>
      <c r="G96" s="12">
        <f t="shared" si="15"/>
        <v>208.08980049349989</v>
      </c>
      <c r="H96" s="9"/>
      <c r="I96" s="12">
        <f t="shared" si="12"/>
        <v>630.46786291604428</v>
      </c>
      <c r="J96" s="12">
        <f t="shared" si="13"/>
        <v>147.65224553753603</v>
      </c>
      <c r="K96" s="12">
        <f t="shared" si="14"/>
        <v>18.249153942841549</v>
      </c>
    </row>
    <row r="97" spans="2:11" x14ac:dyDescent="0.25">
      <c r="B97" s="10">
        <v>93</v>
      </c>
      <c r="C97" s="11">
        <v>43984</v>
      </c>
      <c r="D97" s="12">
        <f t="shared" si="9"/>
        <v>153626.07641884492</v>
      </c>
      <c r="E97" s="12">
        <f t="shared" si="10"/>
        <v>5946.8111738616917</v>
      </c>
      <c r="F97" s="12">
        <f t="shared" si="15"/>
        <v>1845.0700424911097</v>
      </c>
      <c r="G97" s="12">
        <f t="shared" si="15"/>
        <v>228.04236480227223</v>
      </c>
      <c r="H97" s="9"/>
      <c r="I97" s="12">
        <f t="shared" si="12"/>
        <v>686.58967427626408</v>
      </c>
      <c r="J97" s="12">
        <f t="shared" si="13"/>
        <v>161.43438395279415</v>
      </c>
      <c r="K97" s="12">
        <f t="shared" si="14"/>
        <v>19.952564308772327</v>
      </c>
    </row>
    <row r="98" spans="2:11" x14ac:dyDescent="0.25">
      <c r="B98" s="10">
        <v>94</v>
      </c>
      <c r="C98" s="11">
        <v>43985</v>
      </c>
      <c r="D98" s="12">
        <f t="shared" si="9"/>
        <v>152878.98943346774</v>
      </c>
      <c r="E98" s="12">
        <f t="shared" si="10"/>
        <v>6495.6711201101625</v>
      </c>
      <c r="F98" s="12">
        <f t="shared" si="15"/>
        <v>2021.4921073156731</v>
      </c>
      <c r="G98" s="12">
        <f t="shared" si="15"/>
        <v>249.84733910643178</v>
      </c>
      <c r="H98" s="9"/>
      <c r="I98" s="12">
        <f t="shared" si="12"/>
        <v>747.08698537719397</v>
      </c>
      <c r="J98" s="12">
        <f t="shared" si="13"/>
        <v>176.42206482456351</v>
      </c>
      <c r="K98" s="12">
        <f t="shared" si="14"/>
        <v>21.804974304159554</v>
      </c>
    </row>
    <row r="99" spans="2:11" x14ac:dyDescent="0.25">
      <c r="B99" s="10">
        <v>95</v>
      </c>
      <c r="C99" s="11">
        <v>43986</v>
      </c>
      <c r="D99" s="12">
        <f t="shared" si="9"/>
        <v>152066.80888355101</v>
      </c>
      <c r="E99" s="12">
        <f t="shared" si="10"/>
        <v>7091.3292993565447</v>
      </c>
      <c r="F99" s="12">
        <f t="shared" si="15"/>
        <v>2214.1970172122747</v>
      </c>
      <c r="G99" s="12">
        <f t="shared" si="15"/>
        <v>273.66479988016908</v>
      </c>
      <c r="H99" s="9"/>
      <c r="I99" s="12">
        <f t="shared" si="12"/>
        <v>812.18054991672102</v>
      </c>
      <c r="J99" s="12">
        <f t="shared" si="13"/>
        <v>192.70490989660146</v>
      </c>
      <c r="K99" s="12">
        <f t="shared" si="14"/>
        <v>23.817460773737285</v>
      </c>
    </row>
    <row r="100" spans="2:11" x14ac:dyDescent="0.25">
      <c r="B100" s="10">
        <v>96</v>
      </c>
      <c r="C100" s="11">
        <v>43987</v>
      </c>
      <c r="D100" s="12">
        <f t="shared" si="9"/>
        <v>151184.7310000867</v>
      </c>
      <c r="E100" s="12">
        <f t="shared" si="10"/>
        <v>7737.029539508977</v>
      </c>
      <c r="F100" s="12">
        <f t="shared" si="15"/>
        <v>2424.573119759852</v>
      </c>
      <c r="G100" s="12">
        <f t="shared" si="15"/>
        <v>299.66634064447646</v>
      </c>
      <c r="H100" s="9"/>
      <c r="I100" s="12">
        <f t="shared" si="12"/>
        <v>882.07788346431812</v>
      </c>
      <c r="J100" s="12">
        <f t="shared" si="13"/>
        <v>210.37610254757746</v>
      </c>
      <c r="K100" s="12">
        <f t="shared" si="14"/>
        <v>26.001540764307354</v>
      </c>
    </row>
    <row r="101" spans="2:11" x14ac:dyDescent="0.25">
      <c r="B101" s="10">
        <v>97</v>
      </c>
      <c r="C101" s="11">
        <v>43988</v>
      </c>
      <c r="D101" s="12">
        <f t="shared" si="9"/>
        <v>150227.76387964084</v>
      </c>
      <c r="E101" s="12">
        <f t="shared" si="10"/>
        <v>8436.095675304543</v>
      </c>
      <c r="F101" s="12">
        <f t="shared" si="15"/>
        <v>2654.1049960986184</v>
      </c>
      <c r="G101" s="12">
        <f t="shared" si="15"/>
        <v>328.03544895600942</v>
      </c>
      <c r="H101" s="9"/>
      <c r="I101" s="12">
        <f t="shared" si="12"/>
        <v>956.96712044586639</v>
      </c>
      <c r="J101" s="12">
        <f t="shared" si="13"/>
        <v>229.5318763387663</v>
      </c>
      <c r="K101" s="12">
        <f t="shared" si="14"/>
        <v>28.369108311532941</v>
      </c>
    </row>
    <row r="102" spans="2:11" x14ac:dyDescent="0.25">
      <c r="B102" s="10">
        <v>98</v>
      </c>
      <c r="C102" s="11">
        <v>43989</v>
      </c>
      <c r="D102" s="12">
        <f t="shared" si="9"/>
        <v>149190.75399275834</v>
      </c>
      <c r="E102" s="12">
        <f t="shared" si="10"/>
        <v>9191.9023730102272</v>
      </c>
      <c r="F102" s="12">
        <f t="shared" ref="F102:G117" si="16">F101+J102</f>
        <v>2904.3758344659864</v>
      </c>
      <c r="G102" s="12">
        <f t="shared" si="16"/>
        <v>358.96779976545946</v>
      </c>
      <c r="H102" s="9"/>
      <c r="I102" s="12">
        <f t="shared" si="12"/>
        <v>1037.009886882503</v>
      </c>
      <c r="J102" s="12">
        <f t="shared" si="13"/>
        <v>250.27083836736807</v>
      </c>
      <c r="K102" s="12">
        <f t="shared" si="14"/>
        <v>30.932350809450021</v>
      </c>
    </row>
    <row r="103" spans="2:11" x14ac:dyDescent="0.25">
      <c r="B103" s="10">
        <v>99</v>
      </c>
      <c r="C103" s="11">
        <v>43990</v>
      </c>
      <c r="D103" s="12">
        <f t="shared" si="9"/>
        <v>148068.42083827371</v>
      </c>
      <c r="E103" s="12">
        <f t="shared" si="10"/>
        <v>10007.838781727847</v>
      </c>
      <c r="F103" s="12">
        <f t="shared" si="16"/>
        <v>3177.0689381986231</v>
      </c>
      <c r="G103" s="12">
        <f t="shared" si="16"/>
        <v>392.67144179983035</v>
      </c>
      <c r="H103" s="9"/>
      <c r="I103" s="12">
        <f t="shared" si="12"/>
        <v>1122.3331544846285</v>
      </c>
      <c r="J103" s="12">
        <f t="shared" si="13"/>
        <v>272.6931037326367</v>
      </c>
      <c r="K103" s="12">
        <f t="shared" si="14"/>
        <v>33.703642034370866</v>
      </c>
    </row>
    <row r="104" spans="2:11" x14ac:dyDescent="0.25">
      <c r="B104" s="10">
        <v>100</v>
      </c>
      <c r="C104" s="11">
        <v>43991</v>
      </c>
      <c r="D104" s="12">
        <f t="shared" si="9"/>
        <v>146855.40076301919</v>
      </c>
      <c r="E104" s="12">
        <f t="shared" si="10"/>
        <v>10887.264230924779</v>
      </c>
      <c r="F104" s="12">
        <f t="shared" si="16"/>
        <v>3473.9681553898827</v>
      </c>
      <c r="G104" s="12">
        <f t="shared" si="16"/>
        <v>429.36685066616582</v>
      </c>
      <c r="H104" s="9"/>
      <c r="I104" s="12">
        <f t="shared" si="12"/>
        <v>1213.0200752545256</v>
      </c>
      <c r="J104" s="12">
        <f t="shared" si="13"/>
        <v>296.89921719125942</v>
      </c>
      <c r="K104" s="12">
        <f t="shared" si="14"/>
        <v>36.69540886633547</v>
      </c>
    </row>
    <row r="105" spans="2:11" x14ac:dyDescent="0.25">
      <c r="B105" s="10">
        <v>101</v>
      </c>
      <c r="C105" s="11">
        <v>43992</v>
      </c>
      <c r="D105" s="12">
        <f t="shared" si="9"/>
        <v>145546.30092188745</v>
      </c>
      <c r="E105" s="12">
        <f t="shared" si="10"/>
        <v>11833.455264359016</v>
      </c>
      <c r="F105" s="12">
        <f t="shared" si="16"/>
        <v>3796.9569942406511</v>
      </c>
      <c r="G105" s="12">
        <f t="shared" si="16"/>
        <v>469.28681951289002</v>
      </c>
      <c r="H105" s="9"/>
      <c r="I105" s="12">
        <f t="shared" si="12"/>
        <v>1309.0998411317289</v>
      </c>
      <c r="J105" s="12">
        <f t="shared" si="13"/>
        <v>322.98883885076845</v>
      </c>
      <c r="K105" s="12">
        <f t="shared" si="14"/>
        <v>39.919968846724224</v>
      </c>
    </row>
    <row r="106" spans="2:11" x14ac:dyDescent="0.25">
      <c r="B106" s="10">
        <v>102</v>
      </c>
      <c r="C106" s="11">
        <v>43993</v>
      </c>
      <c r="D106" s="12">
        <f t="shared" si="9"/>
        <v>144135.76425001791</v>
      </c>
      <c r="E106" s="12">
        <f t="shared" si="10"/>
        <v>12849.543427416591</v>
      </c>
      <c r="F106" s="12">
        <f t="shared" si="16"/>
        <v>4148.0161670833022</v>
      </c>
      <c r="G106" s="12">
        <f t="shared" si="16"/>
        <v>512.67615548220647</v>
      </c>
      <c r="H106" s="9"/>
      <c r="I106" s="12">
        <f t="shared" si="12"/>
        <v>1410.5366718695416</v>
      </c>
      <c r="J106" s="12">
        <f t="shared" si="13"/>
        <v>351.05917284265075</v>
      </c>
      <c r="K106" s="12">
        <f t="shared" si="14"/>
        <v>43.389335969316434</v>
      </c>
    </row>
    <row r="107" spans="2:11" x14ac:dyDescent="0.25">
      <c r="B107" s="10">
        <v>103</v>
      </c>
      <c r="C107" s="11">
        <v>43994</v>
      </c>
      <c r="D107" s="12">
        <f t="shared" si="9"/>
        <v>142618.5461428377</v>
      </c>
      <c r="E107" s="12">
        <f t="shared" si="10"/>
        <v>13938.443420349562</v>
      </c>
      <c r="F107" s="12">
        <f t="shared" si="16"/>
        <v>4529.2192887633273</v>
      </c>
      <c r="G107" s="12">
        <f t="shared" si="16"/>
        <v>559.7911480494007</v>
      </c>
      <c r="H107" s="9"/>
      <c r="I107" s="12">
        <f t="shared" si="12"/>
        <v>1517.2181071801908</v>
      </c>
      <c r="J107" s="12">
        <f t="shared" si="13"/>
        <v>381.20312168002545</v>
      </c>
      <c r="K107" s="12">
        <f t="shared" si="14"/>
        <v>47.114992567194207</v>
      </c>
    </row>
    <row r="108" spans="2:11" x14ac:dyDescent="0.25">
      <c r="B108" s="10">
        <v>104</v>
      </c>
      <c r="C108" s="11">
        <v>43995</v>
      </c>
      <c r="D108" s="12">
        <f t="shared" si="9"/>
        <v>140989.60327655575</v>
      </c>
      <c r="E108" s="12">
        <f t="shared" si="10"/>
        <v>15102.771505953189</v>
      </c>
      <c r="F108" s="12">
        <f t="shared" si="16"/>
        <v>4942.7264435670313</v>
      </c>
      <c r="G108" s="12">
        <f t="shared" si="16"/>
        <v>610.89877392401581</v>
      </c>
      <c r="H108" s="9"/>
      <c r="I108" s="12">
        <f t="shared" si="12"/>
        <v>1628.9428662819444</v>
      </c>
      <c r="J108" s="12">
        <f t="shared" si="13"/>
        <v>413.50715480370366</v>
      </c>
      <c r="K108" s="12">
        <f t="shared" si="14"/>
        <v>51.10762587461511</v>
      </c>
    </row>
    <row r="109" spans="2:11" x14ac:dyDescent="0.25">
      <c r="B109" s="10">
        <v>105</v>
      </c>
      <c r="C109" s="11">
        <v>43996</v>
      </c>
      <c r="D109" s="12">
        <f t="shared" si="9"/>
        <v>139244.19463846317</v>
      </c>
      <c r="E109" s="12">
        <f t="shared" si="10"/>
        <v>16344.754427180669</v>
      </c>
      <c r="F109" s="12">
        <f t="shared" si="16"/>
        <v>5390.775331576976</v>
      </c>
      <c r="G109" s="12">
        <f t="shared" si="16"/>
        <v>666.27560277917758</v>
      </c>
      <c r="H109" s="9"/>
      <c r="I109" s="12">
        <f t="shared" si="12"/>
        <v>1745.4086380925862</v>
      </c>
      <c r="J109" s="12">
        <f t="shared" si="13"/>
        <v>448.04888800994456</v>
      </c>
      <c r="K109" s="12">
        <f t="shared" si="14"/>
        <v>55.376828855161747</v>
      </c>
    </row>
    <row r="110" spans="2:11" x14ac:dyDescent="0.25">
      <c r="B110" s="10">
        <v>106</v>
      </c>
      <c r="C110" s="11">
        <v>43997</v>
      </c>
      <c r="D110" s="12">
        <f t="shared" si="9"/>
        <v>137377.99436299762</v>
      </c>
      <c r="E110" s="12">
        <f t="shared" si="10"/>
        <v>17666.12955507353</v>
      </c>
      <c r="F110" s="12">
        <f t="shared" si="16"/>
        <v>5875.6697129166687</v>
      </c>
      <c r="G110" s="12">
        <f t="shared" si="16"/>
        <v>726.20636901217347</v>
      </c>
      <c r="H110" s="9"/>
      <c r="I110" s="12">
        <f t="shared" si="12"/>
        <v>1866.2002754655521</v>
      </c>
      <c r="J110" s="12">
        <f t="shared" si="13"/>
        <v>484.8943813396931</v>
      </c>
      <c r="K110" s="12">
        <f t="shared" si="14"/>
        <v>59.930766232995843</v>
      </c>
    </row>
    <row r="111" spans="2:11" x14ac:dyDescent="0.25">
      <c r="B111" s="10">
        <v>107</v>
      </c>
      <c r="C111" s="11">
        <v>43998</v>
      </c>
      <c r="D111" s="12">
        <f t="shared" si="9"/>
        <v>135387.21538111698</v>
      </c>
      <c r="E111" s="12">
        <f t="shared" si="10"/>
        <v>19068.037551785048</v>
      </c>
      <c r="F111" s="12">
        <f t="shared" si="16"/>
        <v>6399.764889717183</v>
      </c>
      <c r="G111" s="12">
        <f t="shared" si="16"/>
        <v>790.98217738077642</v>
      </c>
      <c r="H111" s="9"/>
      <c r="I111" s="12">
        <f t="shared" si="12"/>
        <v>1990.7789818806348</v>
      </c>
      <c r="J111" s="12">
        <f t="shared" si="13"/>
        <v>524.09517680051465</v>
      </c>
      <c r="K111" s="12">
        <f t="shared" si="14"/>
        <v>64.775808368603009</v>
      </c>
    </row>
    <row r="112" spans="2:11" x14ac:dyDescent="0.25">
      <c r="B112" s="10">
        <v>108</v>
      </c>
      <c r="C112" s="11">
        <v>43999</v>
      </c>
      <c r="D112" s="12">
        <f t="shared" si="9"/>
        <v>133268.74219000366</v>
      </c>
      <c r="E112" s="12">
        <f t="shared" si="10"/>
        <v>20550.909491172206</v>
      </c>
      <c r="F112" s="12">
        <f t="shared" si="16"/>
        <v>6965.4500037534726</v>
      </c>
      <c r="G112" s="12">
        <f t="shared" si="16"/>
        <v>860.89831507065503</v>
      </c>
      <c r="H112" s="9"/>
      <c r="I112" s="12">
        <f t="shared" si="12"/>
        <v>2118.4731911133249</v>
      </c>
      <c r="J112" s="12">
        <f t="shared" si="13"/>
        <v>565.68511403628975</v>
      </c>
      <c r="K112" s="12">
        <f t="shared" si="14"/>
        <v>69.916137689878568</v>
      </c>
    </row>
    <row r="113" spans="2:11" x14ac:dyDescent="0.25">
      <c r="B113" s="10">
        <v>109</v>
      </c>
      <c r="C113" s="11">
        <v>44000</v>
      </c>
      <c r="D113" s="12">
        <f t="shared" si="9"/>
        <v>131020.27025095974</v>
      </c>
      <c r="E113" s="12">
        <f t="shared" si="10"/>
        <v>22114.351113843702</v>
      </c>
      <c r="F113" s="12">
        <f t="shared" si="16"/>
        <v>7575.1269853249141</v>
      </c>
      <c r="G113" s="12">
        <f t="shared" si="16"/>
        <v>936.25164987161986</v>
      </c>
      <c r="H113" s="9"/>
      <c r="I113" s="12">
        <f t="shared" si="12"/>
        <v>2248.4719390439072</v>
      </c>
      <c r="J113" s="12">
        <f t="shared" si="13"/>
        <v>609.67698157144196</v>
      </c>
      <c r="K113" s="12">
        <f t="shared" si="14"/>
        <v>75.353334800964817</v>
      </c>
    </row>
    <row r="114" spans="2:11" x14ac:dyDescent="0.25">
      <c r="B114" s="10">
        <v>110</v>
      </c>
      <c r="C114" s="11">
        <v>44001</v>
      </c>
      <c r="D114" s="12">
        <f t="shared" si="9"/>
        <v>128640.44865232012</v>
      </c>
      <c r="E114" s="12">
        <f t="shared" si="10"/>
        <v>23757.027675355206</v>
      </c>
      <c r="F114" s="12">
        <f t="shared" si="16"/>
        <v>8231.1860683689447</v>
      </c>
      <c r="G114" s="12">
        <f t="shared" si="16"/>
        <v>1017.3376039557135</v>
      </c>
      <c r="H114" s="9"/>
      <c r="I114" s="12">
        <f t="shared" si="12"/>
        <v>2379.8215986396272</v>
      </c>
      <c r="J114" s="12">
        <f t="shared" si="13"/>
        <v>656.05908304402976</v>
      </c>
      <c r="K114" s="12">
        <f t="shared" si="14"/>
        <v>81.085954084093643</v>
      </c>
    </row>
    <row r="115" spans="2:11" x14ac:dyDescent="0.25">
      <c r="B115" s="10">
        <v>111</v>
      </c>
      <c r="C115" s="11">
        <v>44002</v>
      </c>
      <c r="D115" s="12">
        <f t="shared" si="9"/>
        <v>126129.02177355177</v>
      </c>
      <c r="E115" s="12">
        <f t="shared" si="10"/>
        <v>25476.553631611714</v>
      </c>
      <c r="F115" s="12">
        <f t="shared" si="16"/>
        <v>8935.977889404483</v>
      </c>
      <c r="G115" s="12">
        <f t="shared" si="16"/>
        <v>1104.446705432016</v>
      </c>
      <c r="H115" s="9"/>
      <c r="I115" s="12">
        <f t="shared" si="12"/>
        <v>2511.4268787683523</v>
      </c>
      <c r="J115" s="12">
        <f t="shared" si="13"/>
        <v>704.79182103553774</v>
      </c>
      <c r="K115" s="12">
        <f t="shared" si="14"/>
        <v>87.109101476302513</v>
      </c>
    </row>
    <row r="116" spans="2:11" x14ac:dyDescent="0.25">
      <c r="B116" s="10">
        <v>112</v>
      </c>
      <c r="C116" s="11">
        <v>44003</v>
      </c>
      <c r="D116" s="12">
        <f t="shared" si="9"/>
        <v>123486.96481524935</v>
      </c>
      <c r="E116" s="12">
        <f t="shared" si="10"/>
        <v>27269.392135527083</v>
      </c>
      <c r="F116" s="12">
        <f t="shared" si="16"/>
        <v>9691.7823138089643</v>
      </c>
      <c r="G116" s="12">
        <f t="shared" si="16"/>
        <v>1197.8607354145922</v>
      </c>
      <c r="H116" s="9"/>
      <c r="I116" s="12">
        <f t="shared" si="12"/>
        <v>2642.0569583024253</v>
      </c>
      <c r="J116" s="12">
        <f t="shared" si="13"/>
        <v>755.80442440448076</v>
      </c>
      <c r="K116" s="12">
        <f t="shared" si="14"/>
        <v>93.414029982576366</v>
      </c>
    </row>
    <row r="117" spans="2:11" x14ac:dyDescent="0.25">
      <c r="B117" s="10">
        <v>113</v>
      </c>
      <c r="C117" s="11">
        <v>44004</v>
      </c>
      <c r="D117" s="12">
        <f t="shared" si="9"/>
        <v>120716.60729222535</v>
      </c>
      <c r="E117" s="12">
        <f t="shared" si="10"/>
        <v>29130.769920700171</v>
      </c>
      <c r="F117" s="12">
        <f t="shared" si="16"/>
        <v>10500.774280496267</v>
      </c>
      <c r="G117" s="12">
        <f t="shared" si="16"/>
        <v>1297.8485065781915</v>
      </c>
      <c r="H117" s="9"/>
      <c r="I117" s="12">
        <f t="shared" si="12"/>
        <v>2770.3575230239917</v>
      </c>
      <c r="J117" s="12">
        <f t="shared" si="13"/>
        <v>808.99196668730337</v>
      </c>
      <c r="K117" s="12">
        <f t="shared" si="14"/>
        <v>99.98777116359939</v>
      </c>
    </row>
    <row r="118" spans="2:11" x14ac:dyDescent="0.25">
      <c r="B118" s="10">
        <v>114</v>
      </c>
      <c r="C118" s="11">
        <v>44005</v>
      </c>
      <c r="D118" s="12">
        <f t="shared" si="9"/>
        <v>117821.73801094666</v>
      </c>
      <c r="E118" s="12">
        <f t="shared" si="10"/>
        <v>31054.61353795552</v>
      </c>
      <c r="F118" s="12">
        <f t="shared" ref="F118:G133" si="17">F117+J118</f>
        <v>11364.987121477039</v>
      </c>
      <c r="G118" s="12">
        <f t="shared" si="17"/>
        <v>1404.6613296207588</v>
      </c>
      <c r="H118" s="9"/>
      <c r="I118" s="12">
        <f t="shared" si="12"/>
        <v>2894.8692812786876</v>
      </c>
      <c r="J118" s="12">
        <f t="shared" si="13"/>
        <v>864.21284098077172</v>
      </c>
      <c r="K118" s="12">
        <f t="shared" si="14"/>
        <v>106.81282304256739</v>
      </c>
    </row>
    <row r="119" spans="2:11" x14ac:dyDescent="0.25">
      <c r="B119" s="10">
        <v>115</v>
      </c>
      <c r="C119" s="11">
        <v>44006</v>
      </c>
      <c r="D119" s="12">
        <f t="shared" si="9"/>
        <v>114807.68476272012</v>
      </c>
      <c r="E119" s="12">
        <f t="shared" si="10"/>
        <v>33033.513001583546</v>
      </c>
      <c r="F119" s="12">
        <f t="shared" si="17"/>
        <v>12286.273989769719</v>
      </c>
      <c r="G119" s="12">
        <f t="shared" si="17"/>
        <v>1518.5282459265959</v>
      </c>
      <c r="H119" s="9"/>
      <c r="I119" s="12">
        <f t="shared" si="12"/>
        <v>3014.0532482265398</v>
      </c>
      <c r="J119" s="12">
        <f t="shared" si="13"/>
        <v>921.28686829268031</v>
      </c>
      <c r="K119" s="12">
        <f t="shared" si="14"/>
        <v>113.86691630583701</v>
      </c>
    </row>
    <row r="120" spans="2:11" x14ac:dyDescent="0.25">
      <c r="B120" s="10">
        <v>116</v>
      </c>
      <c r="C120" s="11">
        <v>44007</v>
      </c>
      <c r="D120" s="12">
        <f t="shared" si="9"/>
        <v>111681.36205270281</v>
      </c>
      <c r="E120" s="12">
        <f t="shared" si="10"/>
        <v>35058.718611548065</v>
      </c>
      <c r="F120" s="12">
        <f t="shared" si="17"/>
        <v>13266.268208816698</v>
      </c>
      <c r="G120" s="12">
        <f t="shared" si="17"/>
        <v>1639.6511269324023</v>
      </c>
      <c r="H120" s="9"/>
      <c r="I120" s="12">
        <f t="shared" si="12"/>
        <v>3126.322710017309</v>
      </c>
      <c r="J120" s="12">
        <f t="shared" si="13"/>
        <v>979.99421904697851</v>
      </c>
      <c r="K120" s="12">
        <f t="shared" si="14"/>
        <v>121.12288100580645</v>
      </c>
    </row>
    <row r="121" spans="2:11" x14ac:dyDescent="0.25">
      <c r="B121" s="10">
        <v>117</v>
      </c>
      <c r="C121" s="11">
        <v>44008</v>
      </c>
      <c r="D121" s="12">
        <f t="shared" si="9"/>
        <v>108451.28073055766</v>
      </c>
      <c r="E121" s="12">
        <f t="shared" si="10"/>
        <v>37120.175979974956</v>
      </c>
      <c r="F121" s="12">
        <f t="shared" si="17"/>
        <v>14306.343527625957</v>
      </c>
      <c r="G121" s="12">
        <f t="shared" si="17"/>
        <v>1768.1997618414121</v>
      </c>
      <c r="H121" s="9"/>
      <c r="I121" s="12">
        <f t="shared" si="12"/>
        <v>3230.0813221451554</v>
      </c>
      <c r="J121" s="12">
        <f t="shared" si="13"/>
        <v>1040.0753188092592</v>
      </c>
      <c r="K121" s="12">
        <f t="shared" si="14"/>
        <v>128.54863490900968</v>
      </c>
    </row>
    <row r="122" spans="2:11" x14ac:dyDescent="0.25">
      <c r="B122" s="10">
        <v>118</v>
      </c>
      <c r="C122" s="11">
        <v>44009</v>
      </c>
      <c r="D122" s="12">
        <f t="shared" si="9"/>
        <v>105127.51444257573</v>
      </c>
      <c r="E122" s="12">
        <f t="shared" si="10"/>
        <v>39206.603068624383</v>
      </c>
      <c r="F122" s="12">
        <f t="shared" si="17"/>
        <v>15407.575415031881</v>
      </c>
      <c r="G122" s="12">
        <f t="shared" si="17"/>
        <v>1904.307073767987</v>
      </c>
      <c r="H122" s="9"/>
      <c r="I122" s="12">
        <f t="shared" si="12"/>
        <v>3323.7662879819231</v>
      </c>
      <c r="J122" s="12">
        <f t="shared" si="13"/>
        <v>1101.2318874059235</v>
      </c>
      <c r="K122" s="12">
        <f t="shared" si="14"/>
        <v>136.10731192657497</v>
      </c>
    </row>
    <row r="123" spans="2:11" x14ac:dyDescent="0.25">
      <c r="B123" s="10">
        <v>119</v>
      </c>
      <c r="C123" s="11">
        <v>44010</v>
      </c>
      <c r="D123" s="12">
        <f t="shared" si="9"/>
        <v>101721.61939765295</v>
      </c>
      <c r="E123" s="12">
        <f t="shared" si="10"/>
        <v>41305.611344593017</v>
      </c>
      <c r="F123" s="12">
        <f t="shared" si="17"/>
        <v>16570.704639401072</v>
      </c>
      <c r="G123" s="12">
        <f t="shared" si="17"/>
        <v>2048.0646183529434</v>
      </c>
      <c r="H123" s="9"/>
      <c r="I123" s="12">
        <f t="shared" si="12"/>
        <v>3405.8950449227873</v>
      </c>
      <c r="J123" s="12">
        <f t="shared" si="13"/>
        <v>1163.1292243691898</v>
      </c>
      <c r="K123" s="12">
        <f t="shared" si="14"/>
        <v>143.75754458495621</v>
      </c>
    </row>
    <row r="124" spans="2:11" x14ac:dyDescent="0.25">
      <c r="B124" s="10">
        <v>120</v>
      </c>
      <c r="C124" s="11">
        <v>44011</v>
      </c>
      <c r="D124" s="12">
        <f t="shared" si="9"/>
        <v>98246.505988887569</v>
      </c>
      <c r="E124" s="12">
        <f t="shared" si="10"/>
        <v>43403.871041871964</v>
      </c>
      <c r="F124" s="12">
        <f t="shared" si="17"/>
        <v>17796.104442623997</v>
      </c>
      <c r="G124" s="12">
        <f t="shared" si="17"/>
        <v>2199.5185266164513</v>
      </c>
      <c r="H124" s="9"/>
      <c r="I124" s="12">
        <f t="shared" si="12"/>
        <v>3475.1134087653827</v>
      </c>
      <c r="J124" s="12">
        <f t="shared" si="13"/>
        <v>1225.399803222926</v>
      </c>
      <c r="K124" s="12">
        <f t="shared" si="14"/>
        <v>151.45390826350786</v>
      </c>
    </row>
    <row r="125" spans="2:11" x14ac:dyDescent="0.25">
      <c r="B125" s="10">
        <v>121</v>
      </c>
      <c r="C125" s="13">
        <v>44012</v>
      </c>
      <c r="D125" s="12">
        <f t="shared" si="9"/>
        <v>94716.263238690677</v>
      </c>
      <c r="E125" s="12">
        <f t="shared" si="10"/>
        <v>45487.318090673121</v>
      </c>
      <c r="F125" s="12">
        <f t="shared" si="17"/>
        <v>19083.752616866197</v>
      </c>
      <c r="G125" s="12">
        <f t="shared" si="17"/>
        <v>2358.6660537699818</v>
      </c>
      <c r="H125" s="9"/>
      <c r="I125" s="12">
        <f t="shared" si="12"/>
        <v>3530.2427501968932</v>
      </c>
      <c r="J125" s="12">
        <f t="shared" si="13"/>
        <v>1287.6481742422013</v>
      </c>
      <c r="K125" s="12">
        <f t="shared" si="14"/>
        <v>159.14752715353066</v>
      </c>
    </row>
    <row r="126" spans="2:11" x14ac:dyDescent="0.25">
      <c r="B126" s="10">
        <v>122</v>
      </c>
      <c r="C126" s="11">
        <v>44013</v>
      </c>
      <c r="D126" s="12">
        <f t="shared" si="9"/>
        <v>91145.939680890748</v>
      </c>
      <c r="E126" s="12">
        <f t="shared" si="10"/>
        <v>47541.397712117279</v>
      </c>
      <c r="F126" s="12">
        <f t="shared" si="17"/>
        <v>20433.209720222832</v>
      </c>
      <c r="G126" s="12">
        <f t="shared" si="17"/>
        <v>2525.4528867691165</v>
      </c>
      <c r="H126" s="9"/>
      <c r="I126" s="12">
        <f t="shared" si="12"/>
        <v>3570.3235577999289</v>
      </c>
      <c r="J126" s="12">
        <f t="shared" si="13"/>
        <v>1349.4571033566358</v>
      </c>
      <c r="K126" s="12">
        <f t="shared" si="14"/>
        <v>166.7868329991349</v>
      </c>
    </row>
    <row r="127" spans="2:11" x14ac:dyDescent="0.25">
      <c r="B127" s="10">
        <v>123</v>
      </c>
      <c r="C127" s="11">
        <v>44014</v>
      </c>
      <c r="D127" s="12">
        <f t="shared" si="9"/>
        <v>87551.286953878647</v>
      </c>
      <c r="E127" s="12">
        <f t="shared" si="10"/>
        <v>49551.3371820588</v>
      </c>
      <c r="F127" s="12">
        <f t="shared" si="17"/>
        <v>21843.604519015644</v>
      </c>
      <c r="G127" s="12">
        <f t="shared" si="17"/>
        <v>2699.77134504688</v>
      </c>
      <c r="H127" s="9"/>
      <c r="I127" s="12">
        <f t="shared" si="12"/>
        <v>3594.652727012096</v>
      </c>
      <c r="J127" s="12">
        <f t="shared" si="13"/>
        <v>1410.3947987928125</v>
      </c>
      <c r="K127" s="12">
        <f t="shared" si="14"/>
        <v>174.31845827776351</v>
      </c>
    </row>
    <row r="128" spans="2:11" x14ac:dyDescent="0.25">
      <c r="B128" s="10">
        <v>124</v>
      </c>
      <c r="C128" s="11">
        <v>44015</v>
      </c>
      <c r="D128" s="12">
        <f t="shared" si="9"/>
        <v>83948.47482173919</v>
      </c>
      <c r="E128" s="12">
        <f t="shared" si="10"/>
        <v>51502.4380747963</v>
      </c>
      <c r="F128" s="12">
        <f t="shared" si="17"/>
        <v>23313.627522083389</v>
      </c>
      <c r="G128" s="12">
        <f t="shared" si="17"/>
        <v>2881.4595813810956</v>
      </c>
      <c r="H128" s="9"/>
      <c r="I128" s="12">
        <f t="shared" si="12"/>
        <v>3602.812132139456</v>
      </c>
      <c r="J128" s="12">
        <f t="shared" si="13"/>
        <v>1470.0230030677442</v>
      </c>
      <c r="K128" s="12">
        <f t="shared" si="14"/>
        <v>181.68823633421576</v>
      </c>
    </row>
    <row r="129" spans="2:11" x14ac:dyDescent="0.25">
      <c r="B129" s="10">
        <v>125</v>
      </c>
      <c r="C129" s="11">
        <v>44016</v>
      </c>
      <c r="D129" s="12">
        <f t="shared" si="9"/>
        <v>80353.788331137534</v>
      </c>
      <c r="E129" s="12">
        <f t="shared" si="10"/>
        <v>53380.376629571401</v>
      </c>
      <c r="F129" s="12">
        <f t="shared" si="17"/>
        <v>24841.533184969012</v>
      </c>
      <c r="G129" s="12">
        <f t="shared" si="17"/>
        <v>3070.3018543220155</v>
      </c>
      <c r="H129" s="9"/>
      <c r="I129" s="12">
        <f t="shared" si="12"/>
        <v>3594.6864906016503</v>
      </c>
      <c r="J129" s="12">
        <f t="shared" si="13"/>
        <v>1527.9056628856233</v>
      </c>
      <c r="K129" s="12">
        <f t="shared" si="14"/>
        <v>188.84227294091994</v>
      </c>
    </row>
    <row r="130" spans="2:11" x14ac:dyDescent="0.25">
      <c r="B130" s="10">
        <v>126</v>
      </c>
      <c r="C130" s="11">
        <v>44017</v>
      </c>
      <c r="D130" s="12">
        <f t="shared" si="9"/>
        <v>76783.319144465015</v>
      </c>
      <c r="E130" s="12">
        <f t="shared" si="10"/>
        <v>55171.49992859154</v>
      </c>
      <c r="F130" s="12">
        <f t="shared" si="17"/>
        <v>26425.15102497963</v>
      </c>
      <c r="G130" s="12">
        <f t="shared" si="17"/>
        <v>3266.0299019637773</v>
      </c>
      <c r="H130" s="9"/>
      <c r="I130" s="12">
        <f t="shared" si="12"/>
        <v>3570.4691866725184</v>
      </c>
      <c r="J130" s="12">
        <f t="shared" si="13"/>
        <v>1583.617840010618</v>
      </c>
      <c r="K130" s="12">
        <f t="shared" si="14"/>
        <v>195.72804764176198</v>
      </c>
    </row>
    <row r="131" spans="2:11" x14ac:dyDescent="0.25">
      <c r="B131" s="10">
        <v>127</v>
      </c>
      <c r="C131" s="11">
        <v>44018</v>
      </c>
      <c r="D131" s="12">
        <f t="shared" si="9"/>
        <v>73252.663615879399</v>
      </c>
      <c r="E131" s="12">
        <f t="shared" si="10"/>
        <v>56863.105459557431</v>
      </c>
      <c r="F131" s="12">
        <f t="shared" si="17"/>
        <v>28061.90552286118</v>
      </c>
      <c r="G131" s="12">
        <f t="shared" si="17"/>
        <v>3468.3254017019467</v>
      </c>
      <c r="H131" s="9"/>
      <c r="I131" s="12">
        <f t="shared" si="12"/>
        <v>3530.6555285856107</v>
      </c>
      <c r="J131" s="12">
        <f t="shared" si="13"/>
        <v>1636.7544978815488</v>
      </c>
      <c r="K131" s="12">
        <f t="shared" si="14"/>
        <v>202.29549973816918</v>
      </c>
    </row>
    <row r="132" spans="2:11" x14ac:dyDescent="0.25">
      <c r="B132" s="10">
        <v>128</v>
      </c>
      <c r="C132" s="11">
        <v>44019</v>
      </c>
      <c r="D132" s="12">
        <f t="shared" si="9"/>
        <v>69776.639828079307</v>
      </c>
      <c r="E132" s="12">
        <f t="shared" si="10"/>
        <v>58443.692398705622</v>
      </c>
      <c r="F132" s="12">
        <f t="shared" si="17"/>
        <v>29748.844318161384</v>
      </c>
      <c r="G132" s="12">
        <f t="shared" si="17"/>
        <v>3676.8234550536577</v>
      </c>
      <c r="H132" s="9"/>
      <c r="I132" s="12">
        <f t="shared" si="12"/>
        <v>3476.023787800098</v>
      </c>
      <c r="J132" s="12">
        <f t="shared" si="13"/>
        <v>1686.9387953002038</v>
      </c>
      <c r="K132" s="12">
        <f t="shared" si="14"/>
        <v>208.49805335171078</v>
      </c>
    </row>
    <row r="133" spans="2:11" x14ac:dyDescent="0.25">
      <c r="B133" s="10">
        <v>129</v>
      </c>
      <c r="C133" s="11">
        <v>44020</v>
      </c>
      <c r="D133" s="12">
        <f t="shared" si="9"/>
        <v>66369.034607633817</v>
      </c>
      <c r="E133" s="12">
        <f t="shared" si="10"/>
        <v>59903.174539194268</v>
      </c>
      <c r="F133" s="12">
        <f t="shared" si="17"/>
        <v>31482.673859322982</v>
      </c>
      <c r="G133" s="12">
        <f t="shared" si="17"/>
        <v>3891.116993848912</v>
      </c>
      <c r="H133" s="9"/>
      <c r="I133" s="12">
        <f t="shared" si="12"/>
        <v>3407.6052204454945</v>
      </c>
      <c r="J133" s="12">
        <f t="shared" si="13"/>
        <v>1733.8295411615998</v>
      </c>
      <c r="K133" s="12">
        <f t="shared" si="14"/>
        <v>214.29353879525414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63042.389599500573</v>
      </c>
      <c r="E134" s="12">
        <f t="shared" ref="E134:E197" si="19">E133+I134-J134-K134</f>
        <v>61233.0470626877</v>
      </c>
      <c r="F134" s="12">
        <f t="shared" ref="F134:G149" si="20">F133+J134</f>
        <v>33259.801370652414</v>
      </c>
      <c r="G134" s="12">
        <f t="shared" si="20"/>
        <v>4110.7619671592911</v>
      </c>
      <c r="H134" s="9"/>
      <c r="I134" s="12">
        <f t="shared" ref="I134:I197" si="21">E133*N$6*D133/SUM(D133:F133)*N$7</f>
        <v>3326.6450081332455</v>
      </c>
      <c r="J134" s="12">
        <f t="shared" ref="J134:J197" si="22">E133*N$8/N$5</f>
        <v>1777.1275113294296</v>
      </c>
      <c r="K134" s="12">
        <f t="shared" ref="K134:K197" si="23">E133*N$9/N$5</f>
        <v>219.64497331037919</v>
      </c>
    </row>
    <row r="135" spans="2:11" x14ac:dyDescent="0.25">
      <c r="B135" s="10">
        <v>131</v>
      </c>
      <c r="C135" s="11">
        <v>44022</v>
      </c>
      <c r="D135" s="12">
        <f t="shared" si="18"/>
        <v>59807.832996233672</v>
      </c>
      <c r="E135" s="12">
        <f t="shared" si="19"/>
        <v>62426.502097198347</v>
      </c>
      <c r="F135" s="12">
        <f t="shared" si="20"/>
        <v>35076.381766845479</v>
      </c>
      <c r="G135" s="12">
        <f t="shared" si="20"/>
        <v>4335.28313972248</v>
      </c>
      <c r="H135" s="9"/>
      <c r="I135" s="12">
        <f t="shared" si="21"/>
        <v>3234.5566032668994</v>
      </c>
      <c r="J135" s="12">
        <f t="shared" si="22"/>
        <v>1816.5803961930683</v>
      </c>
      <c r="K135" s="12">
        <f t="shared" si="23"/>
        <v>224.52117256318843</v>
      </c>
    </row>
    <row r="136" spans="2:11" x14ac:dyDescent="0.25">
      <c r="B136" s="10">
        <v>132</v>
      </c>
      <c r="C136" s="11">
        <v>44023</v>
      </c>
      <c r="D136" s="12">
        <f t="shared" si="18"/>
        <v>56674.960722709264</v>
      </c>
      <c r="E136" s="12">
        <f t="shared" si="19"/>
        <v>63478.490967482809</v>
      </c>
      <c r="F136" s="12">
        <f t="shared" si="20"/>
        <v>36928.36799572903</v>
      </c>
      <c r="G136" s="12">
        <f t="shared" si="20"/>
        <v>4564.1803140788743</v>
      </c>
      <c r="H136" s="9"/>
      <c r="I136" s="12">
        <f t="shared" si="21"/>
        <v>3132.872273524406</v>
      </c>
      <c r="J136" s="12">
        <f t="shared" si="22"/>
        <v>1851.9862288835507</v>
      </c>
      <c r="K136" s="12">
        <f t="shared" si="23"/>
        <v>228.89717435639415</v>
      </c>
    </row>
    <row r="137" spans="2:11" x14ac:dyDescent="0.25">
      <c r="B137" s="10">
        <v>133</v>
      </c>
      <c r="C137" s="11">
        <v>44024</v>
      </c>
      <c r="D137" s="12">
        <f t="shared" si="18"/>
        <v>53651.768028509381</v>
      </c>
      <c r="E137" s="12">
        <f t="shared" si="19"/>
        <v>64385.733962766601</v>
      </c>
      <c r="F137" s="12">
        <f t="shared" si="20"/>
        <v>38811.563227764353</v>
      </c>
      <c r="G137" s="12">
        <f t="shared" si="20"/>
        <v>4796.9347809596447</v>
      </c>
      <c r="H137" s="9"/>
      <c r="I137" s="12">
        <f t="shared" si="21"/>
        <v>3023.1926941998859</v>
      </c>
      <c r="J137" s="12">
        <f t="shared" si="22"/>
        <v>1883.1952320353232</v>
      </c>
      <c r="K137" s="12">
        <f t="shared" si="23"/>
        <v>232.75446688077051</v>
      </c>
    </row>
    <row r="138" spans="2:11" x14ac:dyDescent="0.25">
      <c r="B138" s="10">
        <v>134</v>
      </c>
      <c r="C138" s="11">
        <v>44025</v>
      </c>
      <c r="D138" s="12">
        <f t="shared" si="18"/>
        <v>50744.629777681504</v>
      </c>
      <c r="E138" s="12">
        <f t="shared" si="19"/>
        <v>65146.681081502262</v>
      </c>
      <c r="F138" s="12">
        <f t="shared" si="20"/>
        <v>40721.673335326428</v>
      </c>
      <c r="G138" s="12">
        <f t="shared" si="20"/>
        <v>5033.0158054897893</v>
      </c>
      <c r="H138" s="9"/>
      <c r="I138" s="12">
        <f t="shared" si="21"/>
        <v>2907.138250827878</v>
      </c>
      <c r="J138" s="12">
        <f t="shared" si="22"/>
        <v>1910.1101075620757</v>
      </c>
      <c r="K138" s="12">
        <f t="shared" si="23"/>
        <v>236.08102453014442</v>
      </c>
    </row>
    <row r="139" spans="2:11" x14ac:dyDescent="0.25">
      <c r="B139" s="10">
        <v>135</v>
      </c>
      <c r="C139" s="11">
        <v>44026</v>
      </c>
      <c r="D139" s="12">
        <f t="shared" si="18"/>
        <v>47958.325447142706</v>
      </c>
      <c r="E139" s="12">
        <f t="shared" si="19"/>
        <v>65761.429375990978</v>
      </c>
      <c r="F139" s="12">
        <f t="shared" si="20"/>
        <v>42654.358207410995</v>
      </c>
      <c r="G139" s="12">
        <f t="shared" si="20"/>
        <v>5271.8869694552977</v>
      </c>
      <c r="H139" s="9"/>
      <c r="I139" s="12">
        <f t="shared" si="21"/>
        <v>2786.3043305388014</v>
      </c>
      <c r="J139" s="12">
        <f t="shared" si="22"/>
        <v>1932.6848720845669</v>
      </c>
      <c r="K139" s="12">
        <f t="shared" si="23"/>
        <v>238.87116396550852</v>
      </c>
    </row>
    <row r="140" spans="2:11" x14ac:dyDescent="0.25">
      <c r="B140" s="10">
        <v>136</v>
      </c>
      <c r="C140" s="11">
        <v>44027</v>
      </c>
      <c r="D140" s="12">
        <f t="shared" si="18"/>
        <v>45296.103087312295</v>
      </c>
      <c r="E140" s="12">
        <f t="shared" si="19"/>
        <v>66231.604089955028</v>
      </c>
      <c r="F140" s="12">
        <f t="shared" si="20"/>
        <v>44605.280612232062</v>
      </c>
      <c r="G140" s="12">
        <f t="shared" si="20"/>
        <v>5513.0122105005985</v>
      </c>
      <c r="H140" s="9"/>
      <c r="I140" s="12">
        <f t="shared" si="21"/>
        <v>2662.2223598304154</v>
      </c>
      <c r="J140" s="12">
        <f t="shared" si="22"/>
        <v>1950.9224048210656</v>
      </c>
      <c r="K140" s="12">
        <f t="shared" si="23"/>
        <v>241.12524104530047</v>
      </c>
    </row>
    <row r="141" spans="2:11" x14ac:dyDescent="0.25">
      <c r="B141" s="10">
        <v>137</v>
      </c>
      <c r="C141" s="11">
        <v>44028</v>
      </c>
      <c r="D141" s="12">
        <f t="shared" si="18"/>
        <v>42759.775329904252</v>
      </c>
      <c r="E141" s="12">
        <f t="shared" si="19"/>
        <v>66560.211711031239</v>
      </c>
      <c r="F141" s="12">
        <f t="shared" si="20"/>
        <v>46570.15153356739</v>
      </c>
      <c r="G141" s="12">
        <f t="shared" si="20"/>
        <v>5755.8614254971008</v>
      </c>
      <c r="H141" s="9"/>
      <c r="I141" s="12">
        <f t="shared" si="21"/>
        <v>2536.3277574080457</v>
      </c>
      <c r="J141" s="12">
        <f t="shared" si="22"/>
        <v>1964.8709213353322</v>
      </c>
      <c r="K141" s="12">
        <f t="shared" si="23"/>
        <v>242.84921499650198</v>
      </c>
    </row>
    <row r="142" spans="2:11" x14ac:dyDescent="0.25">
      <c r="B142" s="10">
        <v>138</v>
      </c>
      <c r="C142" s="11">
        <v>44029</v>
      </c>
      <c r="D142" s="12">
        <f t="shared" si="18"/>
        <v>40349.839950666043</v>
      </c>
      <c r="E142" s="12">
        <f t="shared" si="19"/>
        <v>66751.473366568403</v>
      </c>
      <c r="F142" s="12">
        <f t="shared" si="20"/>
        <v>48544.771147661319</v>
      </c>
      <c r="G142" s="12">
        <f t="shared" si="20"/>
        <v>5999.9155351042155</v>
      </c>
      <c r="H142" s="9"/>
      <c r="I142" s="12">
        <f t="shared" si="21"/>
        <v>2409.935379238209</v>
      </c>
      <c r="J142" s="12">
        <f t="shared" si="22"/>
        <v>1974.6196140939267</v>
      </c>
      <c r="K142" s="12">
        <f t="shared" si="23"/>
        <v>244.05410960711475</v>
      </c>
    </row>
    <row r="143" spans="2:11" x14ac:dyDescent="0.25">
      <c r="B143" s="10">
        <v>139</v>
      </c>
      <c r="C143" s="11">
        <v>44030</v>
      </c>
      <c r="D143" s="12">
        <f t="shared" si="18"/>
        <v>38065.617456785098</v>
      </c>
      <c r="E143" s="12">
        <f t="shared" si="19"/>
        <v>66810.646748230385</v>
      </c>
      <c r="F143" s="12">
        <f t="shared" si="20"/>
        <v>50525.064857536177</v>
      </c>
      <c r="G143" s="12">
        <f t="shared" si="20"/>
        <v>6244.6709374482998</v>
      </c>
      <c r="H143" s="9"/>
      <c r="I143" s="12">
        <f t="shared" si="21"/>
        <v>2284.2224938809422</v>
      </c>
      <c r="J143" s="12">
        <f t="shared" si="22"/>
        <v>1980.2937098748623</v>
      </c>
      <c r="K143" s="12">
        <f t="shared" si="23"/>
        <v>244.75540234408436</v>
      </c>
    </row>
    <row r="144" spans="2:11" x14ac:dyDescent="0.25">
      <c r="B144" s="10">
        <v>140</v>
      </c>
      <c r="C144" s="11">
        <v>44031</v>
      </c>
      <c r="D144" s="12">
        <f t="shared" si="18"/>
        <v>35905.398578233537</v>
      </c>
      <c r="E144" s="12">
        <f t="shared" si="19"/>
        <v>66743.844068507606</v>
      </c>
      <c r="F144" s="12">
        <f t="shared" si="20"/>
        <v>52507.114044400347</v>
      </c>
      <c r="G144" s="12">
        <f t="shared" si="20"/>
        <v>6489.6433088584781</v>
      </c>
      <c r="H144" s="9"/>
      <c r="I144" s="12">
        <f t="shared" si="21"/>
        <v>2160.2188785515609</v>
      </c>
      <c r="J144" s="12">
        <f t="shared" si="22"/>
        <v>1982.049186864168</v>
      </c>
      <c r="K144" s="12">
        <f t="shared" si="23"/>
        <v>244.97237141017828</v>
      </c>
    </row>
    <row r="145" spans="2:11" x14ac:dyDescent="0.25">
      <c r="B145" s="10">
        <v>141</v>
      </c>
      <c r="C145" s="11">
        <v>44032</v>
      </c>
      <c r="D145" s="12">
        <f t="shared" si="18"/>
        <v>33866.595286483338</v>
      </c>
      <c r="E145" s="12">
        <f t="shared" si="19"/>
        <v>66557.852557974213</v>
      </c>
      <c r="F145" s="12">
        <f t="shared" si="20"/>
        <v>54487.181418432738</v>
      </c>
      <c r="G145" s="12">
        <f t="shared" si="20"/>
        <v>6734.3707371096725</v>
      </c>
      <c r="H145" s="9"/>
      <c r="I145" s="12">
        <f t="shared" si="21"/>
        <v>2038.8032917501964</v>
      </c>
      <c r="J145" s="12">
        <f t="shared" si="22"/>
        <v>1980.0673740323921</v>
      </c>
      <c r="K145" s="12">
        <f t="shared" si="23"/>
        <v>244.72742825119477</v>
      </c>
    </row>
    <row r="146" spans="2:11" x14ac:dyDescent="0.25">
      <c r="B146" s="10">
        <v>142</v>
      </c>
      <c r="C146" s="11">
        <v>44033</v>
      </c>
      <c r="D146" s="12">
        <f t="shared" si="18"/>
        <v>31945.889924525738</v>
      </c>
      <c r="E146" s="12">
        <f t="shared" si="19"/>
        <v>66259.962834666003</v>
      </c>
      <c r="F146" s="12">
        <f t="shared" si="20"/>
        <v>56461.731044319306</v>
      </c>
      <c r="G146" s="12">
        <f t="shared" si="20"/>
        <v>6978.4161964889117</v>
      </c>
      <c r="H146" s="9"/>
      <c r="I146" s="12">
        <f t="shared" si="21"/>
        <v>1920.7053619575997</v>
      </c>
      <c r="J146" s="12">
        <f t="shared" si="22"/>
        <v>1974.549625886568</v>
      </c>
      <c r="K146" s="12">
        <f t="shared" si="23"/>
        <v>244.04545937923902</v>
      </c>
    </row>
    <row r="147" spans="2:11" x14ac:dyDescent="0.25">
      <c r="B147" s="10">
        <v>143</v>
      </c>
      <c r="C147" s="11">
        <v>44034</v>
      </c>
      <c r="D147" s="12">
        <f t="shared" si="18"/>
        <v>30139.378098500696</v>
      </c>
      <c r="E147" s="12">
        <f t="shared" si="19"/>
        <v>65857.809232868851</v>
      </c>
      <c r="F147" s="12">
        <f t="shared" si="20"/>
        <v>58427.443275081067</v>
      </c>
      <c r="G147" s="12">
        <f t="shared" si="20"/>
        <v>7221.3693935493538</v>
      </c>
      <c r="H147" s="9"/>
      <c r="I147" s="12">
        <f t="shared" si="21"/>
        <v>1806.5118260250401</v>
      </c>
      <c r="J147" s="12">
        <f t="shared" si="22"/>
        <v>1965.7122307617578</v>
      </c>
      <c r="K147" s="12">
        <f t="shared" si="23"/>
        <v>242.95319706044222</v>
      </c>
    </row>
    <row r="148" spans="2:11" x14ac:dyDescent="0.25">
      <c r="B148" s="10">
        <v>144</v>
      </c>
      <c r="C148" s="11">
        <v>44035</v>
      </c>
      <c r="D148" s="12">
        <f t="shared" si="18"/>
        <v>28442.702059746036</v>
      </c>
      <c r="E148" s="12">
        <f t="shared" si="19"/>
        <v>65359.224963861212</v>
      </c>
      <c r="F148" s="12">
        <f t="shared" si="20"/>
        <v>60381.224948989511</v>
      </c>
      <c r="G148" s="12">
        <f t="shared" si="20"/>
        <v>7462.8480274032063</v>
      </c>
      <c r="H148" s="9"/>
      <c r="I148" s="12">
        <f t="shared" si="21"/>
        <v>1696.6760387546592</v>
      </c>
      <c r="J148" s="12">
        <f t="shared" si="22"/>
        <v>1953.7816739084424</v>
      </c>
      <c r="K148" s="12">
        <f t="shared" si="23"/>
        <v>241.47863385385264</v>
      </c>
    </row>
    <row r="149" spans="2:11" x14ac:dyDescent="0.25">
      <c r="B149" s="10">
        <v>145</v>
      </c>
      <c r="C149" s="11">
        <v>44036</v>
      </c>
      <c r="D149" s="12">
        <f t="shared" si="18"/>
        <v>26851.17232442183</v>
      </c>
      <c r="E149" s="12">
        <f t="shared" si="19"/>
        <v>64772.113867056709</v>
      </c>
      <c r="F149" s="12">
        <f t="shared" si="20"/>
        <v>62320.215289584063</v>
      </c>
      <c r="G149" s="12">
        <f t="shared" si="20"/>
        <v>7702.4985189373647</v>
      </c>
      <c r="H149" s="9"/>
      <c r="I149" s="12">
        <f t="shared" si="21"/>
        <v>1591.5297353242051</v>
      </c>
      <c r="J149" s="12">
        <f t="shared" si="22"/>
        <v>1938.990340594549</v>
      </c>
      <c r="K149" s="12">
        <f t="shared" si="23"/>
        <v>239.65049153415799</v>
      </c>
    </row>
    <row r="150" spans="2:11" x14ac:dyDescent="0.25">
      <c r="B150" s="10">
        <v>146</v>
      </c>
      <c r="C150" s="11">
        <v>44037</v>
      </c>
      <c r="D150" s="12">
        <f t="shared" si="18"/>
        <v>25359.876186307498</v>
      </c>
      <c r="E150" s="12">
        <f t="shared" si="19"/>
        <v>64104.339542935813</v>
      </c>
      <c r="F150" s="12">
        <f t="shared" ref="F150:G165" si="24">F149+J150</f>
        <v>64241.788000973414</v>
      </c>
      <c r="G150" s="12">
        <f t="shared" si="24"/>
        <v>7939.9962697832398</v>
      </c>
      <c r="H150" s="9"/>
      <c r="I150" s="12">
        <f t="shared" si="21"/>
        <v>1491.2961381143311</v>
      </c>
      <c r="J150" s="12">
        <f t="shared" si="22"/>
        <v>1921.5727113893488</v>
      </c>
      <c r="K150" s="12">
        <f t="shared" si="23"/>
        <v>237.4977508458748</v>
      </c>
    </row>
    <row r="151" spans="2:11" x14ac:dyDescent="0.25">
      <c r="B151" s="10">
        <v>147</v>
      </c>
      <c r="C151" s="11">
        <v>44038</v>
      </c>
      <c r="D151" s="12">
        <f t="shared" si="18"/>
        <v>23963.772548091285</v>
      </c>
      <c r="E151" s="12">
        <f t="shared" si="19"/>
        <v>63363.631863054172</v>
      </c>
      <c r="F151" s="12">
        <f t="shared" si="24"/>
        <v>66143.550074080515</v>
      </c>
      <c r="G151" s="12">
        <f t="shared" si="24"/>
        <v>8175.0455147740049</v>
      </c>
      <c r="H151" s="9"/>
      <c r="I151" s="12">
        <f t="shared" si="21"/>
        <v>1396.1036382162144</v>
      </c>
      <c r="J151" s="12">
        <f t="shared" si="22"/>
        <v>1901.7620731070956</v>
      </c>
      <c r="K151" s="12">
        <f t="shared" si="23"/>
        <v>235.04924499076483</v>
      </c>
    </row>
    <row r="152" spans="2:11" x14ac:dyDescent="0.25">
      <c r="B152" s="10">
        <v>148</v>
      </c>
      <c r="C152" s="11">
        <v>44039</v>
      </c>
      <c r="D152" s="12">
        <f t="shared" si="18"/>
        <v>22657.773116288652</v>
      </c>
      <c r="E152" s="12">
        <f t="shared" si="19"/>
        <v>62557.510232754998</v>
      </c>
      <c r="F152" s="12">
        <f t="shared" si="24"/>
        <v>68023.337819351116</v>
      </c>
      <c r="G152" s="12">
        <f t="shared" si="24"/>
        <v>8407.3788316052032</v>
      </c>
      <c r="H152" s="9"/>
      <c r="I152" s="12">
        <f t="shared" si="21"/>
        <v>1305.999431802634</v>
      </c>
      <c r="J152" s="12">
        <f t="shared" si="22"/>
        <v>1879.7877452706068</v>
      </c>
      <c r="K152" s="12">
        <f t="shared" si="23"/>
        <v>232.33331683119883</v>
      </c>
    </row>
    <row r="153" spans="2:11" x14ac:dyDescent="0.25">
      <c r="B153" s="10">
        <v>149</v>
      </c>
      <c r="C153" s="11">
        <v>44040</v>
      </c>
      <c r="D153" s="12">
        <f t="shared" si="18"/>
        <v>21436.810477202253</v>
      </c>
      <c r="E153" s="12">
        <f t="shared" si="19"/>
        <v>61693.222530749568</v>
      </c>
      <c r="F153" s="12">
        <f t="shared" si="24"/>
        <v>69879.210622922852</v>
      </c>
      <c r="G153" s="12">
        <f t="shared" si="24"/>
        <v>8636.7563691253054</v>
      </c>
      <c r="H153" s="9"/>
      <c r="I153" s="12">
        <f t="shared" si="21"/>
        <v>1220.9626390863996</v>
      </c>
      <c r="J153" s="12">
        <f t="shared" si="22"/>
        <v>1855.8728035717315</v>
      </c>
      <c r="K153" s="12">
        <f t="shared" si="23"/>
        <v>229.37753752010184</v>
      </c>
    </row>
    <row r="154" spans="2:11" x14ac:dyDescent="0.25">
      <c r="B154" s="10">
        <v>150</v>
      </c>
      <c r="C154" s="11">
        <v>44041</v>
      </c>
      <c r="D154" s="12">
        <f t="shared" si="18"/>
        <v>20295.893907841772</v>
      </c>
      <c r="E154" s="12">
        <f t="shared" si="19"/>
        <v>60777.698349085069</v>
      </c>
      <c r="F154" s="12">
        <f t="shared" si="24"/>
        <v>71709.442891335086</v>
      </c>
      <c r="G154" s="12">
        <f t="shared" si="24"/>
        <v>8862.9648517380538</v>
      </c>
      <c r="H154" s="9"/>
      <c r="I154" s="12">
        <f t="shared" si="21"/>
        <v>1140.9165693604814</v>
      </c>
      <c r="J154" s="12">
        <f t="shared" si="22"/>
        <v>1830.2322684122371</v>
      </c>
      <c r="K154" s="12">
        <f t="shared" si="23"/>
        <v>226.20848261274861</v>
      </c>
    </row>
    <row r="155" spans="2:11" x14ac:dyDescent="0.25">
      <c r="B155" s="10">
        <v>151</v>
      </c>
      <c r="C155" s="11">
        <v>44042</v>
      </c>
      <c r="D155" s="12">
        <f t="shared" si="18"/>
        <v>19230.153993900658</v>
      </c>
      <c r="E155" s="12">
        <f t="shared" si="19"/>
        <v>59817.514984723341</v>
      </c>
      <c r="F155" s="12">
        <f t="shared" si="24"/>
        <v>73512.514609024613</v>
      </c>
      <c r="G155" s="12">
        <f t="shared" si="24"/>
        <v>9085.8164123513652</v>
      </c>
      <c r="H155" s="9"/>
      <c r="I155" s="12">
        <f t="shared" si="21"/>
        <v>1065.7399139411148</v>
      </c>
      <c r="J155" s="12">
        <f t="shared" si="22"/>
        <v>1803.0717176895234</v>
      </c>
      <c r="K155" s="12">
        <f t="shared" si="23"/>
        <v>222.8515606133121</v>
      </c>
    </row>
    <row r="156" spans="2:11" x14ac:dyDescent="0.25">
      <c r="B156" s="10">
        <v>152</v>
      </c>
      <c r="C156" s="13">
        <v>44043</v>
      </c>
      <c r="D156" s="12">
        <f t="shared" si="18"/>
        <v>18234.877246795328</v>
      </c>
      <c r="E156" s="12">
        <f t="shared" si="19"/>
        <v>58818.874565671227</v>
      </c>
      <c r="F156" s="12">
        <f t="shared" si="24"/>
        <v>75287.100886904736</v>
      </c>
      <c r="G156" s="12">
        <f t="shared" si="24"/>
        <v>9305.1473006286851</v>
      </c>
      <c r="H156" s="9"/>
      <c r="I156" s="12">
        <f t="shared" si="21"/>
        <v>995.27674710533142</v>
      </c>
      <c r="J156" s="12">
        <f t="shared" si="22"/>
        <v>1774.5862778801254</v>
      </c>
      <c r="K156" s="12">
        <f t="shared" si="23"/>
        <v>219.3308882773191</v>
      </c>
    </row>
    <row r="157" spans="2:11" x14ac:dyDescent="0.25">
      <c r="B157" s="10">
        <v>153</v>
      </c>
      <c r="C157" s="21">
        <v>44044</v>
      </c>
      <c r="D157" s="12">
        <f t="shared" si="18"/>
        <v>17305.531953780959</v>
      </c>
      <c r="E157" s="12">
        <f t="shared" si="19"/>
        <v>57787.590706496558</v>
      </c>
      <c r="F157" s="12">
        <f t="shared" si="24"/>
        <v>77032.060832352989</v>
      </c>
      <c r="G157" s="12">
        <f t="shared" si="24"/>
        <v>9520.81650736948</v>
      </c>
      <c r="H157" s="9"/>
      <c r="I157" s="12">
        <f t="shared" si="21"/>
        <v>929.34529301436885</v>
      </c>
      <c r="J157" s="12">
        <f t="shared" si="22"/>
        <v>1744.9599454482461</v>
      </c>
      <c r="K157" s="12">
        <f t="shared" si="23"/>
        <v>215.66920674079469</v>
      </c>
    </row>
    <row r="158" spans="2:11" x14ac:dyDescent="0.25">
      <c r="B158" s="10">
        <v>154</v>
      </c>
      <c r="C158" s="21">
        <v>44045</v>
      </c>
      <c r="D158" s="12">
        <f t="shared" si="18"/>
        <v>16437.786478378923</v>
      </c>
      <c r="E158" s="12">
        <f t="shared" si="19"/>
        <v>56729.083158348709</v>
      </c>
      <c r="F158" s="12">
        <f t="shared" si="24"/>
        <v>78746.426023312393</v>
      </c>
      <c r="G158" s="12">
        <f t="shared" si="24"/>
        <v>9732.7043399599679</v>
      </c>
      <c r="H158" s="9"/>
      <c r="I158" s="12">
        <f t="shared" si="21"/>
        <v>867.74547540203537</v>
      </c>
      <c r="J158" s="12">
        <f t="shared" si="22"/>
        <v>1714.3651909593978</v>
      </c>
      <c r="K158" s="12">
        <f t="shared" si="23"/>
        <v>211.88783259048756</v>
      </c>
    </row>
    <row r="159" spans="2:11" x14ac:dyDescent="0.25">
      <c r="B159" s="10">
        <v>155</v>
      </c>
      <c r="C159" s="21">
        <v>44046</v>
      </c>
      <c r="D159" s="12">
        <f t="shared" si="18"/>
        <v>15627.521169693578</v>
      </c>
      <c r="E159" s="12">
        <f t="shared" si="19"/>
        <v>55648.379028422431</v>
      </c>
      <c r="F159" s="12">
        <f t="shared" si="24"/>
        <v>80429.388823676738</v>
      </c>
      <c r="G159" s="12">
        <f t="shared" si="24"/>
        <v>9940.7109782072475</v>
      </c>
      <c r="H159" s="9"/>
      <c r="I159" s="12">
        <f t="shared" si="21"/>
        <v>810.26530868534371</v>
      </c>
      <c r="J159" s="12">
        <f t="shared" si="22"/>
        <v>1682.9628003643447</v>
      </c>
      <c r="K159" s="12">
        <f t="shared" si="23"/>
        <v>208.00663824727877</v>
      </c>
    </row>
    <row r="160" spans="2:11" x14ac:dyDescent="0.25">
      <c r="B160" s="10">
        <v>156</v>
      </c>
      <c r="C160" s="21">
        <v>44047</v>
      </c>
      <c r="D160" s="12">
        <f t="shared" si="18"/>
        <v>14870.834952916286</v>
      </c>
      <c r="E160" s="12">
        <f t="shared" si="19"/>
        <v>54550.119277585647</v>
      </c>
      <c r="F160" s="12">
        <f t="shared" si="24"/>
        <v>82080.290734853275</v>
      </c>
      <c r="G160" s="12">
        <f t="shared" si="24"/>
        <v>10144.755034644797</v>
      </c>
      <c r="H160" s="9"/>
      <c r="I160" s="12">
        <f t="shared" si="21"/>
        <v>756.68621677729254</v>
      </c>
      <c r="J160" s="12">
        <f t="shared" si="22"/>
        <v>1650.9019111765317</v>
      </c>
      <c r="K160" s="12">
        <f t="shared" si="23"/>
        <v>204.04405643754907</v>
      </c>
    </row>
    <row r="161" spans="2:11" x14ac:dyDescent="0.25">
      <c r="B161" s="10">
        <v>157</v>
      </c>
      <c r="C161" s="21">
        <v>44048</v>
      </c>
      <c r="D161" s="12">
        <f t="shared" si="18"/>
        <v>14164.047570922046</v>
      </c>
      <c r="E161" s="12">
        <f t="shared" si="19"/>
        <v>53438.56935032703</v>
      </c>
      <c r="F161" s="12">
        <f t="shared" si="24"/>
        <v>83698.610940088314</v>
      </c>
      <c r="G161" s="12">
        <f t="shared" si="24"/>
        <v>10344.772138662611</v>
      </c>
      <c r="H161" s="9"/>
      <c r="I161" s="12">
        <f t="shared" si="21"/>
        <v>706.7873819942389</v>
      </c>
      <c r="J161" s="12">
        <f t="shared" si="22"/>
        <v>1618.3202052350405</v>
      </c>
      <c r="K161" s="12">
        <f t="shared" si="23"/>
        <v>200.01710401781423</v>
      </c>
    </row>
    <row r="162" spans="2:11" x14ac:dyDescent="0.25">
      <c r="B162" s="10">
        <v>158</v>
      </c>
      <c r="C162" s="21">
        <v>44049</v>
      </c>
      <c r="D162" s="12">
        <f t="shared" si="18"/>
        <v>13503.698337270273</v>
      </c>
      <c r="E162" s="12">
        <f t="shared" si="19"/>
        <v>52317.632938967909</v>
      </c>
      <c r="F162" s="12">
        <f t="shared" si="24"/>
        <v>85283.955164148021</v>
      </c>
      <c r="G162" s="12">
        <f t="shared" si="24"/>
        <v>10540.713559613811</v>
      </c>
      <c r="H162" s="9"/>
      <c r="I162" s="12">
        <f t="shared" si="21"/>
        <v>660.34923365177315</v>
      </c>
      <c r="J162" s="12">
        <f t="shared" si="22"/>
        <v>1585.3442240597019</v>
      </c>
      <c r="K162" s="12">
        <f t="shared" si="23"/>
        <v>195.94142095119929</v>
      </c>
    </row>
    <row r="163" spans="2:11" x14ac:dyDescent="0.25">
      <c r="B163" s="10">
        <v>159</v>
      </c>
      <c r="C163" s="21">
        <v>44050</v>
      </c>
      <c r="D163" s="12">
        <f t="shared" si="18"/>
        <v>12886.542150724355</v>
      </c>
      <c r="E163" s="12">
        <f t="shared" si="19"/>
        <v>51190.868027548226</v>
      </c>
      <c r="F163" s="12">
        <f t="shared" si="24"/>
        <v>86836.044941337401</v>
      </c>
      <c r="G163" s="12">
        <f t="shared" si="24"/>
        <v>10732.544880390027</v>
      </c>
      <c r="H163" s="9"/>
      <c r="I163" s="12">
        <f t="shared" si="21"/>
        <v>617.15618654591674</v>
      </c>
      <c r="J163" s="12">
        <f t="shared" si="22"/>
        <v>1552.089777189381</v>
      </c>
      <c r="K163" s="12">
        <f t="shared" si="23"/>
        <v>191.83132077621582</v>
      </c>
    </row>
    <row r="164" spans="2:11" x14ac:dyDescent="0.25">
      <c r="B164" s="10">
        <v>160</v>
      </c>
      <c r="C164" s="21">
        <v>44051</v>
      </c>
      <c r="D164" s="12">
        <f t="shared" si="18"/>
        <v>12309.543415243046</v>
      </c>
      <c r="E164" s="12">
        <f t="shared" si="19"/>
        <v>50061.504495444591</v>
      </c>
      <c r="F164" s="12">
        <f t="shared" si="24"/>
        <v>88354.707359487991</v>
      </c>
      <c r="G164" s="12">
        <f t="shared" si="24"/>
        <v>10920.244729824371</v>
      </c>
      <c r="H164" s="9"/>
      <c r="I164" s="12">
        <f t="shared" si="21"/>
        <v>576.99873548130859</v>
      </c>
      <c r="J164" s="12">
        <f t="shared" si="22"/>
        <v>1518.6624181505972</v>
      </c>
      <c r="K164" s="12">
        <f t="shared" si="23"/>
        <v>187.69984943434366</v>
      </c>
    </row>
    <row r="165" spans="2:11" x14ac:dyDescent="0.25">
      <c r="B165" s="10">
        <v>161</v>
      </c>
      <c r="C165" s="21">
        <v>44052</v>
      </c>
      <c r="D165" s="12">
        <f t="shared" si="18"/>
        <v>11769.868410313007</v>
      </c>
      <c r="E165" s="12">
        <f t="shared" si="19"/>
        <v>48932.462683859805</v>
      </c>
      <c r="F165" s="12">
        <f t="shared" si="24"/>
        <v>89839.865326186176</v>
      </c>
      <c r="G165" s="12">
        <f t="shared" si="24"/>
        <v>11103.803579641002</v>
      </c>
      <c r="H165" s="9"/>
      <c r="I165" s="12">
        <f t="shared" si="21"/>
        <v>539.67500493003934</v>
      </c>
      <c r="J165" s="12">
        <f t="shared" si="22"/>
        <v>1485.1579666981893</v>
      </c>
      <c r="K165" s="12">
        <f t="shared" si="23"/>
        <v>183.55884981663033</v>
      </c>
    </row>
    <row r="166" spans="2:11" x14ac:dyDescent="0.25">
      <c r="B166" s="10">
        <v>162</v>
      </c>
      <c r="C166" s="21">
        <v>44053</v>
      </c>
      <c r="D166" s="12">
        <f t="shared" si="18"/>
        <v>11264.876566279518</v>
      </c>
      <c r="E166" s="12">
        <f t="shared" si="19"/>
        <v>47806.372438431295</v>
      </c>
      <c r="F166" s="12">
        <f t="shared" ref="F166:G181" si="25">F165+J166</f>
        <v>91291.528385807353</v>
      </c>
      <c r="G166" s="12">
        <f t="shared" si="25"/>
        <v>11283.222609481822</v>
      </c>
      <c r="H166" s="9"/>
      <c r="I166" s="12">
        <f t="shared" si="21"/>
        <v>504.9918440334888</v>
      </c>
      <c r="J166" s="12">
        <f t="shared" si="22"/>
        <v>1451.6630596211739</v>
      </c>
      <c r="K166" s="12">
        <f t="shared" si="23"/>
        <v>179.41902984081943</v>
      </c>
    </row>
    <row r="167" spans="2:11" x14ac:dyDescent="0.25">
      <c r="B167" s="10">
        <v>163</v>
      </c>
      <c r="C167" s="21">
        <v>44054</v>
      </c>
      <c r="D167" s="12">
        <f t="shared" si="18"/>
        <v>10792.111018841906</v>
      </c>
      <c r="E167" s="12">
        <f t="shared" si="19"/>
        <v>46685.592237921199</v>
      </c>
      <c r="F167" s="12">
        <f t="shared" si="25"/>
        <v>92709.784101480807</v>
      </c>
      <c r="G167" s="12">
        <f t="shared" si="25"/>
        <v>11458.51264175607</v>
      </c>
      <c r="H167" s="9"/>
      <c r="I167" s="12">
        <f t="shared" si="21"/>
        <v>472.76554743761181</v>
      </c>
      <c r="J167" s="12">
        <f t="shared" si="22"/>
        <v>1418.2557156734617</v>
      </c>
      <c r="K167" s="12">
        <f t="shared" si="23"/>
        <v>175.29003227424826</v>
      </c>
    </row>
    <row r="168" spans="2:11" x14ac:dyDescent="0.25">
      <c r="B168" s="10">
        <v>164</v>
      </c>
      <c r="C168" s="21">
        <v>44055</v>
      </c>
      <c r="D168" s="12">
        <f t="shared" si="18"/>
        <v>10349.288746279683</v>
      </c>
      <c r="E168" s="12">
        <f t="shared" si="19"/>
        <v>45572.228102552719</v>
      </c>
      <c r="F168" s="12">
        <f t="shared" si="25"/>
        <v>94094.790004539129</v>
      </c>
      <c r="G168" s="12">
        <f t="shared" si="25"/>
        <v>11629.693146628448</v>
      </c>
      <c r="H168" s="9"/>
      <c r="I168" s="12">
        <f t="shared" si="21"/>
        <v>442.82227256222433</v>
      </c>
      <c r="J168" s="12">
        <f t="shared" si="22"/>
        <v>1385.0059030583288</v>
      </c>
      <c r="K168" s="12">
        <f t="shared" si="23"/>
        <v>171.18050487237787</v>
      </c>
    </row>
    <row r="169" spans="2:11" x14ac:dyDescent="0.25">
      <c r="B169" s="10">
        <v>165</v>
      </c>
      <c r="C169" s="21">
        <v>44056</v>
      </c>
      <c r="D169" s="12">
        <f t="shared" si="18"/>
        <v>9934.2905319619349</v>
      </c>
      <c r="E169" s="12">
        <f t="shared" si="19"/>
        <v>44468.152046785377</v>
      </c>
      <c r="F169" s="12">
        <f t="shared" si="25"/>
        <v>95446.766104914859</v>
      </c>
      <c r="G169" s="12">
        <f t="shared" si="25"/>
        <v>11796.791316337807</v>
      </c>
      <c r="H169" s="9"/>
      <c r="I169" s="12">
        <f t="shared" si="21"/>
        <v>414.99821431774734</v>
      </c>
      <c r="J169" s="12">
        <f t="shared" si="22"/>
        <v>1351.9761003757305</v>
      </c>
      <c r="K169" s="12">
        <f t="shared" si="23"/>
        <v>167.09816970936012</v>
      </c>
    </row>
    <row r="170" spans="2:11" x14ac:dyDescent="0.25">
      <c r="B170" s="10">
        <v>166</v>
      </c>
      <c r="C170" s="21">
        <v>44057</v>
      </c>
      <c r="D170" s="12">
        <f t="shared" si="18"/>
        <v>9545.1509426592438</v>
      </c>
      <c r="E170" s="12">
        <f t="shared" si="19"/>
        <v>43375.019901195221</v>
      </c>
      <c r="F170" s="12">
        <f t="shared" si="25"/>
        <v>96765.987948969487</v>
      </c>
      <c r="G170" s="12">
        <f t="shared" si="25"/>
        <v>11959.841207176019</v>
      </c>
      <c r="H170" s="9"/>
      <c r="I170" s="12">
        <f t="shared" si="21"/>
        <v>389.13958930269092</v>
      </c>
      <c r="J170" s="12">
        <f t="shared" si="22"/>
        <v>1319.2218440546326</v>
      </c>
      <c r="K170" s="12">
        <f t="shared" si="23"/>
        <v>163.0498908382132</v>
      </c>
    </row>
    <row r="171" spans="2:11" x14ac:dyDescent="0.25">
      <c r="B171" s="10">
        <v>167</v>
      </c>
      <c r="C171" s="21">
        <v>44058</v>
      </c>
      <c r="D171" s="12">
        <f t="shared" si="18"/>
        <v>9180.0484693400886</v>
      </c>
      <c r="E171" s="12">
        <f t="shared" si="19"/>
        <v>42294.288377807869</v>
      </c>
      <c r="F171" s="12">
        <f t="shared" si="25"/>
        <v>98052.780206038282</v>
      </c>
      <c r="G171" s="12">
        <f t="shared" si="25"/>
        <v>12118.882946813736</v>
      </c>
      <c r="H171" s="9"/>
      <c r="I171" s="12">
        <f t="shared" si="21"/>
        <v>365.10247331915582</v>
      </c>
      <c r="J171" s="12">
        <f t="shared" si="22"/>
        <v>1286.7922570687915</v>
      </c>
      <c r="K171" s="12">
        <f t="shared" si="23"/>
        <v>159.04173963771595</v>
      </c>
    </row>
    <row r="172" spans="2:11" x14ac:dyDescent="0.25">
      <c r="B172" s="10">
        <v>168</v>
      </c>
      <c r="C172" s="21">
        <v>44059</v>
      </c>
      <c r="D172" s="12">
        <f t="shared" si="18"/>
        <v>8837.2959406243281</v>
      </c>
      <c r="E172" s="12">
        <f t="shared" si="19"/>
        <v>41227.231293930039</v>
      </c>
      <c r="F172" s="12">
        <f t="shared" si="25"/>
        <v>99307.51076124658</v>
      </c>
      <c r="G172" s="12">
        <f t="shared" si="25"/>
        <v>12273.962004199031</v>
      </c>
      <c r="H172" s="9"/>
      <c r="I172" s="12">
        <f t="shared" si="21"/>
        <v>342.75252871576049</v>
      </c>
      <c r="J172" s="12">
        <f t="shared" si="22"/>
        <v>1254.7305552083001</v>
      </c>
      <c r="K172" s="12">
        <f t="shared" si="23"/>
        <v>155.07905738529564</v>
      </c>
    </row>
    <row r="173" spans="2:11" x14ac:dyDescent="0.25">
      <c r="B173" s="10">
        <v>169</v>
      </c>
      <c r="C173" s="21">
        <v>44060</v>
      </c>
      <c r="D173" s="12">
        <f t="shared" si="18"/>
        <v>8515.3312889987028</v>
      </c>
      <c r="E173" s="12">
        <f t="shared" si="19"/>
        <v>40174.954902424666</v>
      </c>
      <c r="F173" s="12">
        <f t="shared" si="25"/>
        <v>100530.58528963318</v>
      </c>
      <c r="G173" s="12">
        <f t="shared" si="25"/>
        <v>12425.128518943442</v>
      </c>
      <c r="H173" s="9"/>
      <c r="I173" s="12">
        <f t="shared" si="21"/>
        <v>321.96465162562538</v>
      </c>
      <c r="J173" s="12">
        <f t="shared" si="22"/>
        <v>1223.0745283865911</v>
      </c>
      <c r="K173" s="12">
        <f t="shared" si="23"/>
        <v>151.16651474441025</v>
      </c>
    </row>
    <row r="174" spans="2:11" x14ac:dyDescent="0.25">
      <c r="B174" s="10">
        <v>170</v>
      </c>
      <c r="C174" s="21">
        <v>44061</v>
      </c>
      <c r="D174" s="12">
        <f t="shared" si="18"/>
        <v>8212.7087254139769</v>
      </c>
      <c r="E174" s="12">
        <f t="shared" si="19"/>
        <v>39138.412302595236</v>
      </c>
      <c r="F174" s="12">
        <f t="shared" si="25"/>
        <v>101722.44228507178</v>
      </c>
      <c r="G174" s="12">
        <f t="shared" si="25"/>
        <v>12572.436686919</v>
      </c>
      <c r="H174" s="9"/>
      <c r="I174" s="12">
        <f t="shared" si="21"/>
        <v>302.62256358472541</v>
      </c>
      <c r="J174" s="12">
        <f t="shared" si="22"/>
        <v>1191.8569954385982</v>
      </c>
      <c r="K174" s="12">
        <f t="shared" si="23"/>
        <v>147.30816797555724</v>
      </c>
    </row>
    <row r="175" spans="2:11" x14ac:dyDescent="0.25">
      <c r="B175" s="10">
        <v>171</v>
      </c>
      <c r="C175" s="21">
        <v>44062</v>
      </c>
      <c r="D175" s="12">
        <f t="shared" si="18"/>
        <v>7928.0903581756975</v>
      </c>
      <c r="E175" s="12">
        <f t="shared" si="19"/>
        <v>38118.416926413673</v>
      </c>
      <c r="F175" s="12">
        <f t="shared" si="25"/>
        <v>102883.54851671544</v>
      </c>
      <c r="G175" s="12">
        <f t="shared" si="25"/>
        <v>12715.944198695182</v>
      </c>
      <c r="H175" s="9"/>
      <c r="I175" s="12">
        <f t="shared" si="21"/>
        <v>284.61836723827901</v>
      </c>
      <c r="J175" s="12">
        <f t="shared" si="22"/>
        <v>1161.1062316436585</v>
      </c>
      <c r="K175" s="12">
        <f t="shared" si="23"/>
        <v>143.50751177618267</v>
      </c>
    </row>
    <row r="176" spans="2:11" x14ac:dyDescent="0.25">
      <c r="B176" s="10">
        <v>172</v>
      </c>
      <c r="C176" s="21">
        <v>44063</v>
      </c>
      <c r="D176" s="12">
        <f t="shared" si="18"/>
        <v>7660.2382763766673</v>
      </c>
      <c r="E176" s="12">
        <f t="shared" si="19"/>
        <v>37115.655110665582</v>
      </c>
      <c r="F176" s="12">
        <f t="shared" si="25"/>
        <v>104014.39488553238</v>
      </c>
      <c r="G176" s="12">
        <f t="shared" si="25"/>
        <v>12855.711727425365</v>
      </c>
      <c r="H176" s="9"/>
      <c r="I176" s="12">
        <f t="shared" si="21"/>
        <v>267.85208179903032</v>
      </c>
      <c r="J176" s="12">
        <f t="shared" si="22"/>
        <v>1130.8463688169388</v>
      </c>
      <c r="K176" s="12">
        <f t="shared" si="23"/>
        <v>139.76752873018359</v>
      </c>
    </row>
    <row r="177" spans="2:11" x14ac:dyDescent="0.25">
      <c r="B177" s="10">
        <v>173</v>
      </c>
      <c r="C177" s="21">
        <v>44064</v>
      </c>
      <c r="D177" s="12">
        <f t="shared" si="18"/>
        <v>7408.0071058434924</v>
      </c>
      <c r="E177" s="12">
        <f t="shared" si="19"/>
        <v>36130.697777509908</v>
      </c>
      <c r="F177" s="12">
        <f t="shared" si="25"/>
        <v>105115.49265381547</v>
      </c>
      <c r="G177" s="12">
        <f t="shared" si="25"/>
        <v>12991.80246283114</v>
      </c>
      <c r="H177" s="9"/>
      <c r="I177" s="12">
        <f t="shared" si="21"/>
        <v>252.23117053317526</v>
      </c>
      <c r="J177" s="12">
        <f t="shared" si="22"/>
        <v>1101.0977682830787</v>
      </c>
      <c r="K177" s="12">
        <f t="shared" si="23"/>
        <v>136.09073540577393</v>
      </c>
    </row>
    <row r="178" spans="2:11" x14ac:dyDescent="0.25">
      <c r="B178" s="10">
        <v>174</v>
      </c>
      <c r="C178" s="21">
        <v>44065</v>
      </c>
      <c r="D178" s="12">
        <f t="shared" si="18"/>
        <v>7170.3370361056377</v>
      </c>
      <c r="E178" s="12">
        <f t="shared" si="19"/>
        <v>35164.011254664103</v>
      </c>
      <c r="F178" s="12">
        <f t="shared" si="25"/>
        <v>106187.37002121493</v>
      </c>
      <c r="G178" s="12">
        <f t="shared" si="25"/>
        <v>13124.281688015342</v>
      </c>
      <c r="H178" s="9"/>
      <c r="I178" s="12">
        <f t="shared" si="21"/>
        <v>237.67006973785485</v>
      </c>
      <c r="J178" s="12">
        <f t="shared" si="22"/>
        <v>1071.8773673994606</v>
      </c>
      <c r="K178" s="12">
        <f t="shared" si="23"/>
        <v>132.4792251842031</v>
      </c>
    </row>
    <row r="179" spans="2:11" x14ac:dyDescent="0.25">
      <c r="B179" s="10">
        <v>175</v>
      </c>
      <c r="C179" s="21">
        <v>44066</v>
      </c>
      <c r="D179" s="12">
        <f t="shared" si="18"/>
        <v>6946.247309743746</v>
      </c>
      <c r="E179" s="12">
        <f t="shared" si="19"/>
        <v>34215.967272537193</v>
      </c>
      <c r="F179" s="12">
        <f t="shared" si="25"/>
        <v>107230.56902176996</v>
      </c>
      <c r="G179" s="12">
        <f t="shared" si="25"/>
        <v>13253.21639594911</v>
      </c>
      <c r="H179" s="9"/>
      <c r="I179" s="12">
        <f t="shared" si="21"/>
        <v>224.08972636189208</v>
      </c>
      <c r="J179" s="12">
        <f t="shared" si="22"/>
        <v>1043.1990005550349</v>
      </c>
      <c r="K179" s="12">
        <f t="shared" si="23"/>
        <v>128.93470793376849</v>
      </c>
    </row>
    <row r="180" spans="2:11" x14ac:dyDescent="0.25">
      <c r="B180" s="10">
        <v>176</v>
      </c>
      <c r="C180" s="21">
        <v>44067</v>
      </c>
      <c r="D180" s="12">
        <f t="shared" si="18"/>
        <v>6734.8301602065212</v>
      </c>
      <c r="E180" s="12">
        <f t="shared" si="19"/>
        <v>33286.852179656511</v>
      </c>
      <c r="F180" s="12">
        <f t="shared" si="25"/>
        <v>108245.6427175219</v>
      </c>
      <c r="G180" s="12">
        <f t="shared" si="25"/>
        <v>13378.67494261508</v>
      </c>
      <c r="H180" s="9"/>
      <c r="I180" s="12">
        <f t="shared" si="21"/>
        <v>211.4171495372249</v>
      </c>
      <c r="J180" s="12">
        <f t="shared" si="22"/>
        <v>1015.0736957519366</v>
      </c>
      <c r="K180" s="12">
        <f t="shared" si="23"/>
        <v>125.45854666596982</v>
      </c>
    </row>
    <row r="181" spans="2:11" x14ac:dyDescent="0.25">
      <c r="B181" s="10">
        <v>177</v>
      </c>
      <c r="C181" s="21">
        <v>44068</v>
      </c>
      <c r="D181" s="12">
        <f t="shared" si="18"/>
        <v>6535.2451804392804</v>
      </c>
      <c r="E181" s="12">
        <f t="shared" si="19"/>
        <v>32376.875420101867</v>
      </c>
      <c r="F181" s="12">
        <f t="shared" si="25"/>
        <v>109233.15266551837</v>
      </c>
      <c r="G181" s="12">
        <f t="shared" si="25"/>
        <v>13500.726733940488</v>
      </c>
      <c r="H181" s="9"/>
      <c r="I181" s="12">
        <f t="shared" si="21"/>
        <v>199.58497976724067</v>
      </c>
      <c r="J181" s="12">
        <f t="shared" si="22"/>
        <v>987.50994799647628</v>
      </c>
      <c r="K181" s="12">
        <f t="shared" si="23"/>
        <v>122.05179132540731</v>
      </c>
    </row>
    <row r="182" spans="2:11" x14ac:dyDescent="0.25">
      <c r="B182" s="10">
        <v>178</v>
      </c>
      <c r="C182" s="21">
        <v>44069</v>
      </c>
      <c r="D182" s="12">
        <f t="shared" si="18"/>
        <v>6346.7141021373027</v>
      </c>
      <c r="E182" s="12">
        <f t="shared" si="19"/>
        <v>31486.177317733782</v>
      </c>
      <c r="F182" s="12">
        <f t="shared" ref="F182:G197" si="26">F181+J182</f>
        <v>110193.66663631472</v>
      </c>
      <c r="G182" s="12">
        <f t="shared" si="26"/>
        <v>13619.441943814196</v>
      </c>
      <c r="H182" s="9"/>
      <c r="I182" s="12">
        <f t="shared" si="21"/>
        <v>188.53107830197732</v>
      </c>
      <c r="J182" s="12">
        <f t="shared" si="22"/>
        <v>960.51397079635535</v>
      </c>
      <c r="K182" s="12">
        <f t="shared" si="23"/>
        <v>118.71520987370695</v>
      </c>
    </row>
    <row r="183" spans="2:11" x14ac:dyDescent="0.25">
      <c r="B183" s="10">
        <v>179</v>
      </c>
      <c r="C183" s="21">
        <v>44070</v>
      </c>
      <c r="D183" s="12">
        <f t="shared" si="18"/>
        <v>6168.5159638692439</v>
      </c>
      <c r="E183" s="12">
        <f t="shared" si="19"/>
        <v>30614.836212077382</v>
      </c>
      <c r="F183" s="12">
        <f t="shared" si="26"/>
        <v>111127.75656340749</v>
      </c>
      <c r="G183" s="12">
        <f t="shared" si="26"/>
        <v>13734.891260645887</v>
      </c>
      <c r="H183" s="9"/>
      <c r="I183" s="12">
        <f t="shared" si="21"/>
        <v>178.19813826805913</v>
      </c>
      <c r="J183" s="12">
        <f t="shared" si="22"/>
        <v>934.08992709276879</v>
      </c>
      <c r="K183" s="12">
        <f t="shared" si="23"/>
        <v>115.44931683169064</v>
      </c>
    </row>
    <row r="184" spans="2:11" x14ac:dyDescent="0.25">
      <c r="B184" s="10">
        <v>180</v>
      </c>
      <c r="C184" s="21">
        <v>44071</v>
      </c>
      <c r="D184" s="12">
        <f t="shared" si="18"/>
        <v>5999.9826454999939</v>
      </c>
      <c r="E184" s="12">
        <f t="shared" si="19"/>
        <v>29762.874990044053</v>
      </c>
      <c r="F184" s="12">
        <f t="shared" si="26"/>
        <v>112035.99670436578</v>
      </c>
      <c r="G184" s="12">
        <f t="shared" si="26"/>
        <v>13847.145660090171</v>
      </c>
      <c r="H184" s="9"/>
      <c r="I184" s="12">
        <f t="shared" si="21"/>
        <v>168.53331836924974</v>
      </c>
      <c r="J184" s="12">
        <f t="shared" si="22"/>
        <v>908.24014095829557</v>
      </c>
      <c r="K184" s="12">
        <f t="shared" si="23"/>
        <v>112.25439944428383</v>
      </c>
    </row>
    <row r="185" spans="2:11" x14ac:dyDescent="0.25">
      <c r="B185" s="10">
        <v>181</v>
      </c>
      <c r="C185" s="21">
        <v>44072</v>
      </c>
      <c r="D185" s="12">
        <f t="shared" si="18"/>
        <v>5840.4947461060792</v>
      </c>
      <c r="E185" s="12">
        <f t="shared" si="19"/>
        <v>28930.2670564365</v>
      </c>
      <c r="F185" s="12">
        <f t="shared" si="26"/>
        <v>112918.96199573709</v>
      </c>
      <c r="G185" s="12">
        <f t="shared" si="26"/>
        <v>13956.276201720333</v>
      </c>
      <c r="H185" s="9"/>
      <c r="I185" s="12">
        <f t="shared" si="21"/>
        <v>159.48789939391486</v>
      </c>
      <c r="J185" s="12">
        <f t="shared" si="22"/>
        <v>882.96529137130676</v>
      </c>
      <c r="K185" s="12">
        <f t="shared" si="23"/>
        <v>109.13054163016162</v>
      </c>
    </row>
    <row r="186" spans="2:11" x14ac:dyDescent="0.25">
      <c r="B186" s="10">
        <v>182</v>
      </c>
      <c r="C186" s="21">
        <v>44073</v>
      </c>
      <c r="D186" s="12">
        <f t="shared" si="18"/>
        <v>5689.4777827795751</v>
      </c>
      <c r="E186" s="12">
        <f t="shared" si="19"/>
        <v>28116.941784548453</v>
      </c>
      <c r="F186" s="12">
        <f t="shared" si="26"/>
        <v>113777.22658507804</v>
      </c>
      <c r="G186" s="12">
        <f t="shared" si="26"/>
        <v>14062.353847593933</v>
      </c>
      <c r="H186" s="9"/>
      <c r="I186" s="12">
        <f t="shared" si="21"/>
        <v>151.01696332650423</v>
      </c>
      <c r="J186" s="12">
        <f t="shared" si="22"/>
        <v>858.26458934094944</v>
      </c>
      <c r="K186" s="12">
        <f t="shared" si="23"/>
        <v>106.0776458736006</v>
      </c>
    </row>
    <row r="187" spans="2:11" x14ac:dyDescent="0.25">
      <c r="B187" s="10">
        <v>183</v>
      </c>
      <c r="C187" s="13">
        <v>44074</v>
      </c>
      <c r="D187" s="12">
        <f t="shared" si="18"/>
        <v>5546.3986882451036</v>
      </c>
      <c r="E187" s="12">
        <f t="shared" si="19"/>
        <v>27322.789486264643</v>
      </c>
      <c r="F187" s="12">
        <f t="shared" si="26"/>
        <v>114611.36252468631</v>
      </c>
      <c r="G187" s="12">
        <f t="shared" si="26"/>
        <v>14165.449300803944</v>
      </c>
      <c r="H187" s="9"/>
      <c r="I187" s="12">
        <f t="shared" si="21"/>
        <v>143.07909453447189</v>
      </c>
      <c r="J187" s="12">
        <f t="shared" si="22"/>
        <v>834.13593960827063</v>
      </c>
      <c r="K187" s="12">
        <f t="shared" si="23"/>
        <v>103.09545321001109</v>
      </c>
    </row>
    <row r="188" spans="2:11" x14ac:dyDescent="0.25">
      <c r="B188" s="10">
        <v>184</v>
      </c>
      <c r="C188" s="21">
        <v>44075</v>
      </c>
      <c r="D188" s="12">
        <f t="shared" si="18"/>
        <v>5410.7625859777108</v>
      </c>
      <c r="E188" s="12">
        <f t="shared" si="19"/>
        <v>26547.665938989878</v>
      </c>
      <c r="F188" s="12">
        <f t="shared" si="26"/>
        <v>115421.93861277883</v>
      </c>
      <c r="G188" s="12">
        <f t="shared" si="26"/>
        <v>14265.632862253582</v>
      </c>
      <c r="H188" s="9"/>
      <c r="I188" s="12">
        <f t="shared" si="21"/>
        <v>135.6361022673932</v>
      </c>
      <c r="J188" s="12">
        <f t="shared" si="22"/>
        <v>810.57608809251758</v>
      </c>
      <c r="K188" s="12">
        <f t="shared" si="23"/>
        <v>100.18356144963711</v>
      </c>
    </row>
    <row r="189" spans="2:11" x14ac:dyDescent="0.25">
      <c r="B189" s="10">
        <v>185</v>
      </c>
      <c r="C189" s="21">
        <v>44076</v>
      </c>
      <c r="D189" s="12">
        <f t="shared" si="18"/>
        <v>5282.1098224349398</v>
      </c>
      <c r="E189" s="12">
        <f t="shared" si="19"/>
        <v>25791.396504566317</v>
      </c>
      <c r="F189" s="12">
        <f t="shared" si="26"/>
        <v>116209.51936896886</v>
      </c>
      <c r="G189" s="12">
        <f t="shared" si="26"/>
        <v>14362.974304029878</v>
      </c>
      <c r="H189" s="9"/>
      <c r="I189" s="12">
        <f t="shared" si="21"/>
        <v>128.6527635427706</v>
      </c>
      <c r="J189" s="12">
        <f t="shared" si="22"/>
        <v>787.58075619003296</v>
      </c>
      <c r="K189" s="12">
        <f t="shared" si="23"/>
        <v>97.341441776296307</v>
      </c>
    </row>
    <row r="190" spans="2:11" x14ac:dyDescent="0.25">
      <c r="B190" s="10">
        <v>186</v>
      </c>
      <c r="C190" s="21">
        <v>44077</v>
      </c>
      <c r="D190" s="12">
        <f t="shared" si="18"/>
        <v>5160.0132370471292</v>
      </c>
      <c r="E190" s="12">
        <f t="shared" si="19"/>
        <v>25053.779873135252</v>
      </c>
      <c r="F190" s="12">
        <f t="shared" si="26"/>
        <v>116974.66413193766</v>
      </c>
      <c r="G190" s="12">
        <f t="shared" si="26"/>
        <v>14457.542757879955</v>
      </c>
      <c r="H190" s="9"/>
      <c r="I190" s="12">
        <f t="shared" si="21"/>
        <v>122.09658538781034</v>
      </c>
      <c r="J190" s="12">
        <f t="shared" si="22"/>
        <v>765.14476296880071</v>
      </c>
      <c r="K190" s="12">
        <f t="shared" si="23"/>
        <v>94.56845385007658</v>
      </c>
    </row>
    <row r="191" spans="2:11" x14ac:dyDescent="0.25">
      <c r="B191" s="10">
        <v>187</v>
      </c>
      <c r="C191" s="21">
        <v>44078</v>
      </c>
      <c r="D191" s="12">
        <f t="shared" si="18"/>
        <v>5044.0756517014006</v>
      </c>
      <c r="E191" s="12">
        <f t="shared" si="19"/>
        <v>24334.591462709803</v>
      </c>
      <c r="F191" s="12">
        <f t="shared" si="26"/>
        <v>117717.92626817401</v>
      </c>
      <c r="G191" s="12">
        <f t="shared" si="26"/>
        <v>14549.406617414785</v>
      </c>
      <c r="H191" s="9"/>
      <c r="I191" s="12">
        <f t="shared" si="21"/>
        <v>115.93758534572886</v>
      </c>
      <c r="J191" s="12">
        <f t="shared" si="22"/>
        <v>743.26213623634578</v>
      </c>
      <c r="K191" s="12">
        <f t="shared" si="23"/>
        <v>91.863859534829345</v>
      </c>
    </row>
    <row r="192" spans="2:11" x14ac:dyDescent="0.25">
      <c r="B192" s="10">
        <v>188</v>
      </c>
      <c r="C192" s="21">
        <v>44079</v>
      </c>
      <c r="D192" s="12">
        <f t="shared" si="18"/>
        <v>4933.927562572705</v>
      </c>
      <c r="E192" s="12">
        <f t="shared" si="19"/>
        <v>23633.586503081508</v>
      </c>
      <c r="F192" s="12">
        <f t="shared" si="26"/>
        <v>118439.85248156774</v>
      </c>
      <c r="G192" s="12">
        <f t="shared" si="26"/>
        <v>14638.633452778055</v>
      </c>
      <c r="H192" s="9"/>
      <c r="I192" s="12">
        <f t="shared" si="21"/>
        <v>110.14808912869566</v>
      </c>
      <c r="J192" s="12">
        <f t="shared" si="22"/>
        <v>721.92621339372408</v>
      </c>
      <c r="K192" s="12">
        <f t="shared" si="23"/>
        <v>89.226835363269359</v>
      </c>
    </row>
    <row r="193" spans="2:11" x14ac:dyDescent="0.25">
      <c r="B193" s="10">
        <v>189</v>
      </c>
      <c r="C193" s="21">
        <v>44080</v>
      </c>
      <c r="D193" s="12">
        <f t="shared" si="18"/>
        <v>4829.2250182736361</v>
      </c>
      <c r="E193" s="12">
        <f t="shared" si="19"/>
        <v>22950.502830611196</v>
      </c>
      <c r="F193" s="12">
        <f t="shared" si="26"/>
        <v>119140.98221449248</v>
      </c>
      <c r="G193" s="12">
        <f t="shared" si="26"/>
        <v>14725.289936622687</v>
      </c>
      <c r="H193" s="9"/>
      <c r="I193" s="12">
        <f t="shared" si="21"/>
        <v>104.70254429906926</v>
      </c>
      <c r="J193" s="12">
        <f t="shared" si="22"/>
        <v>701.12973292475135</v>
      </c>
      <c r="K193" s="12">
        <f t="shared" si="23"/>
        <v>86.656483844632277</v>
      </c>
    </row>
    <row r="194" spans="2:11" x14ac:dyDescent="0.25">
      <c r="B194" s="10">
        <v>190</v>
      </c>
      <c r="C194" s="21">
        <v>44081</v>
      </c>
      <c r="D194" s="12">
        <f t="shared" si="18"/>
        <v>4729.6476693941395</v>
      </c>
      <c r="E194" s="12">
        <f t="shared" si="19"/>
        <v>22285.063418470319</v>
      </c>
      <c r="F194" s="12">
        <f t="shared" si="26"/>
        <v>119821.84713180062</v>
      </c>
      <c r="G194" s="12">
        <f t="shared" si="26"/>
        <v>14809.441780334928</v>
      </c>
      <c r="H194" s="9"/>
      <c r="I194" s="12">
        <f t="shared" si="21"/>
        <v>99.577348879496455</v>
      </c>
      <c r="J194" s="12">
        <f t="shared" si="22"/>
        <v>680.86491730813214</v>
      </c>
      <c r="K194" s="12">
        <f t="shared" si="23"/>
        <v>84.151843712241131</v>
      </c>
    </row>
    <row r="195" spans="2:11" x14ac:dyDescent="0.25">
      <c r="B195" s="10">
        <v>191</v>
      </c>
      <c r="C195" s="21">
        <v>44082</v>
      </c>
      <c r="D195" s="12">
        <f t="shared" si="18"/>
        <v>4634.8969755687203</v>
      </c>
      <c r="E195" s="12">
        <f t="shared" si="19"/>
        <v>21636.978665013394</v>
      </c>
      <c r="F195" s="12">
        <f t="shared" si="26"/>
        <v>120482.97067988191</v>
      </c>
      <c r="G195" s="12">
        <f t="shared" si="26"/>
        <v>14891.153679535986</v>
      </c>
      <c r="H195" s="9"/>
      <c r="I195" s="12">
        <f t="shared" si="21"/>
        <v>94.750693825419518</v>
      </c>
      <c r="J195" s="12">
        <f t="shared" si="22"/>
        <v>661.12354808128612</v>
      </c>
      <c r="K195" s="12">
        <f t="shared" si="23"/>
        <v>81.711899201057903</v>
      </c>
    </row>
    <row r="196" spans="2:11" x14ac:dyDescent="0.25">
      <c r="B196" s="10">
        <v>192</v>
      </c>
      <c r="C196" s="21">
        <v>44083</v>
      </c>
      <c r="D196" s="12">
        <f t="shared" si="18"/>
        <v>4544.6945572323457</v>
      </c>
      <c r="E196" s="12">
        <f t="shared" si="19"/>
        <v>21005.948461182656</v>
      </c>
      <c r="F196" s="12">
        <f t="shared" si="26"/>
        <v>121124.86771361064</v>
      </c>
      <c r="G196" s="12">
        <f t="shared" si="26"/>
        <v>14970.489267974368</v>
      </c>
      <c r="H196" s="9"/>
      <c r="I196" s="12">
        <f t="shared" si="21"/>
        <v>90.202418336374507</v>
      </c>
      <c r="J196" s="12">
        <f t="shared" si="22"/>
        <v>641.89703372873055</v>
      </c>
      <c r="K196" s="12">
        <f t="shared" si="23"/>
        <v>79.335588438382516</v>
      </c>
    </row>
    <row r="197" spans="2:11" x14ac:dyDescent="0.25">
      <c r="B197" s="10">
        <v>193</v>
      </c>
      <c r="C197" s="21">
        <v>44084</v>
      </c>
      <c r="D197" s="12">
        <f t="shared" si="18"/>
        <v>4458.7806802004807</v>
      </c>
      <c r="E197" s="12">
        <f t="shared" si="19"/>
        <v>20391.664056175097</v>
      </c>
      <c r="F197" s="12">
        <f t="shared" si="26"/>
        <v>121748.04418462573</v>
      </c>
      <c r="G197" s="12">
        <f t="shared" si="26"/>
        <v>15047.511078998705</v>
      </c>
      <c r="H197" s="9"/>
      <c r="I197" s="12">
        <f t="shared" si="21"/>
        <v>85.913877031865226</v>
      </c>
      <c r="J197" s="12">
        <f t="shared" si="22"/>
        <v>623.17647101508544</v>
      </c>
      <c r="K197" s="12">
        <f t="shared" si="23"/>
        <v>77.021811024336472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4376.9128621294867</v>
      </c>
      <c r="E198" s="12">
        <f t="shared" ref="E198:E204" si="28">E197+I198-J198-K198</f>
        <v>19793.809739040254</v>
      </c>
      <c r="F198" s="12">
        <f t="shared" ref="F198:G204" si="29">F197+J198</f>
        <v>122352.99688495892</v>
      </c>
      <c r="G198" s="12">
        <f t="shared" si="29"/>
        <v>15122.280513871347</v>
      </c>
      <c r="H198" s="9"/>
      <c r="I198" s="12">
        <f t="shared" ref="I198:I204" si="30">E197*N$6*D197/SUM(D197:F197)*N$7</f>
        <v>81.867818070994218</v>
      </c>
      <c r="J198" s="12">
        <f t="shared" ref="J198:J204" si="31">E197*N$8/N$5</f>
        <v>604.95270033319457</v>
      </c>
      <c r="K198" s="12">
        <f t="shared" ref="K198:K204" si="32">E197*N$9/N$5</f>
        <v>74.76943487264208</v>
      </c>
    </row>
    <row r="199" spans="2:11" x14ac:dyDescent="0.25">
      <c r="B199" s="10">
        <v>195</v>
      </c>
      <c r="C199" s="21">
        <v>44086</v>
      </c>
      <c r="D199" s="12">
        <f t="shared" si="27"/>
        <v>4298.8645907790396</v>
      </c>
      <c r="E199" s="12">
        <f t="shared" si="28"/>
        <v>19212.064352422691</v>
      </c>
      <c r="F199" s="12">
        <f t="shared" si="29"/>
        <v>122940.21324055045</v>
      </c>
      <c r="G199" s="12">
        <f t="shared" si="29"/>
        <v>15194.857816247828</v>
      </c>
      <c r="H199" s="9"/>
      <c r="I199" s="12">
        <f t="shared" si="30"/>
        <v>78.048271350446626</v>
      </c>
      <c r="J199" s="12">
        <f t="shared" si="31"/>
        <v>587.21635559152742</v>
      </c>
      <c r="K199" s="12">
        <f t="shared" si="32"/>
        <v>72.577302376480986</v>
      </c>
    </row>
    <row r="200" spans="2:11" x14ac:dyDescent="0.25">
      <c r="B200" s="10">
        <v>196</v>
      </c>
      <c r="C200" s="21">
        <v>44087</v>
      </c>
      <c r="D200" s="12">
        <f t="shared" si="27"/>
        <v>4224.4241448076864</v>
      </c>
      <c r="E200" s="12">
        <f t="shared" si="28"/>
        <v>18646.102653313286</v>
      </c>
      <c r="F200" s="12">
        <f t="shared" si="29"/>
        <v>123510.17114967233</v>
      </c>
      <c r="G200" s="12">
        <f t="shared" si="29"/>
        <v>15265.302052206711</v>
      </c>
      <c r="H200" s="9"/>
      <c r="I200" s="12">
        <f t="shared" si="30"/>
        <v>74.4404459713531</v>
      </c>
      <c r="J200" s="12">
        <f t="shared" si="31"/>
        <v>569.95790912187306</v>
      </c>
      <c r="K200" s="12">
        <f t="shared" si="32"/>
        <v>70.444235958883255</v>
      </c>
    </row>
    <row r="201" spans="2:11" x14ac:dyDescent="0.25">
      <c r="B201" s="10">
        <v>197</v>
      </c>
      <c r="C201" s="21">
        <v>44088</v>
      </c>
      <c r="D201" s="12">
        <f t="shared" si="27"/>
        <v>4153.3935085868015</v>
      </c>
      <c r="E201" s="12">
        <f t="shared" si="28"/>
        <v>18095.59653442373</v>
      </c>
      <c r="F201" s="12">
        <f t="shared" si="29"/>
        <v>124063.33886172062</v>
      </c>
      <c r="G201" s="12">
        <f t="shared" si="29"/>
        <v>15333.671095268859</v>
      </c>
      <c r="H201" s="9"/>
      <c r="I201" s="12">
        <f t="shared" si="30"/>
        <v>71.030636220884986</v>
      </c>
      <c r="J201" s="12">
        <f t="shared" si="31"/>
        <v>553.16771204829411</v>
      </c>
      <c r="K201" s="12">
        <f t="shared" si="32"/>
        <v>68.369043062148776</v>
      </c>
    </row>
    <row r="202" spans="2:11" x14ac:dyDescent="0.25">
      <c r="B202" s="10">
        <v>198</v>
      </c>
      <c r="C202" s="21">
        <v>44089</v>
      </c>
      <c r="D202" s="12">
        <f t="shared" si="27"/>
        <v>4085.5873732184655</v>
      </c>
      <c r="E202" s="12">
        <f t="shared" si="28"/>
        <v>17560.21611864461</v>
      </c>
      <c r="F202" s="12">
        <f t="shared" si="29"/>
        <v>124600.17489224186</v>
      </c>
      <c r="G202" s="12">
        <f t="shared" si="29"/>
        <v>15400.021615895079</v>
      </c>
      <c r="H202" s="9"/>
      <c r="I202" s="12">
        <f t="shared" si="30"/>
        <v>67.806135368336257</v>
      </c>
      <c r="J202" s="12">
        <f t="shared" si="31"/>
        <v>536.83603052123726</v>
      </c>
      <c r="K202" s="12">
        <f t="shared" si="32"/>
        <v>66.350520626220401</v>
      </c>
    </row>
    <row r="203" spans="2:11" x14ac:dyDescent="0.25">
      <c r="B203" s="10">
        <v>199</v>
      </c>
      <c r="C203" s="21">
        <v>44090</v>
      </c>
      <c r="D203" s="12">
        <f t="shared" si="27"/>
        <v>4020.8322165911172</v>
      </c>
      <c r="E203" s="12">
        <f t="shared" si="28"/>
        <v>17039.630737983804</v>
      </c>
      <c r="F203" s="12">
        <f t="shared" si="29"/>
        <v>125121.12797042832</v>
      </c>
      <c r="G203" s="12">
        <f t="shared" si="29"/>
        <v>15464.409074996776</v>
      </c>
      <c r="H203" s="9"/>
      <c r="I203" s="12">
        <f t="shared" si="30"/>
        <v>64.755156627348086</v>
      </c>
      <c r="J203" s="12">
        <f t="shared" si="31"/>
        <v>520.95307818645665</v>
      </c>
      <c r="K203" s="12">
        <f t="shared" si="32"/>
        <v>64.387459101696962</v>
      </c>
    </row>
    <row r="204" spans="2:11" x14ac:dyDescent="0.25">
      <c r="B204" s="20">
        <v>200</v>
      </c>
      <c r="C204" s="21">
        <v>44091</v>
      </c>
      <c r="D204" s="12">
        <f t="shared" si="27"/>
        <v>3958.9654559056817</v>
      </c>
      <c r="E204" s="12">
        <f t="shared" si="28"/>
        <v>16533.509807403112</v>
      </c>
      <c r="F204" s="12">
        <f t="shared" si="29"/>
        <v>125626.63701565517</v>
      </c>
      <c r="G204" s="12">
        <f t="shared" si="29"/>
        <v>15526.88772103605</v>
      </c>
      <c r="H204" s="9"/>
      <c r="I204" s="12">
        <f t="shared" si="30"/>
        <v>61.866760685435509</v>
      </c>
      <c r="J204" s="12">
        <f t="shared" si="31"/>
        <v>505.50904522685283</v>
      </c>
      <c r="K204" s="12">
        <f t="shared" si="32"/>
        <v>62.478646039274004</v>
      </c>
    </row>
    <row r="205" spans="2:11" x14ac:dyDescent="0.25">
      <c r="B205" s="19"/>
      <c r="C205" s="1"/>
      <c r="E205" s="12">
        <f>MAX(E4:E204)</f>
        <v>66810.646748230385</v>
      </c>
      <c r="I205" s="12">
        <f>MAX(I4:I204)</f>
        <v>3602.812132139456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9043B-72F5-49B5-8320-84D0774D2024}">
  <sheetPr codeName="Hoja12"/>
  <dimension ref="B2:N762"/>
  <sheetViews>
    <sheetView showGridLines="0" topLeftCell="A202" workbookViewId="0">
      <selection activeCell="I205" sqref="I205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4" t="s">
        <v>26</v>
      </c>
      <c r="E2" s="35"/>
      <c r="F2" s="35"/>
      <c r="G2" s="36"/>
      <c r="I2" s="34" t="s">
        <v>27</v>
      </c>
      <c r="J2" s="35"/>
      <c r="K2" s="36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344235</v>
      </c>
    </row>
    <row r="4" spans="2:14" x14ac:dyDescent="0.25">
      <c r="B4" s="10">
        <v>0</v>
      </c>
      <c r="C4" s="11">
        <v>43891</v>
      </c>
      <c r="D4" s="12">
        <f>N3</f>
        <v>344235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344234.86800038343</v>
      </c>
      <c r="E5" s="12">
        <f>E4+I5-J5-K5</f>
        <v>1.0986662832088063</v>
      </c>
      <c r="F5" s="12">
        <f>F4+J5</f>
        <v>2.9666666666666664E-2</v>
      </c>
      <c r="G5" s="12">
        <f>G4+K5</f>
        <v>3.6666666666666701E-3</v>
      </c>
      <c r="H5" s="9"/>
      <c r="I5" s="12">
        <f>E4*N$6*D4/SUM(D4:F4)*N$7</f>
        <v>0.13199961654213971</v>
      </c>
      <c r="J5" s="12">
        <f>E4*N$8/N$5</f>
        <v>2.9666666666666664E-2</v>
      </c>
      <c r="K5" s="12">
        <f>E4*N$9/N$5</f>
        <v>3.6666666666666701E-3</v>
      </c>
      <c r="M5" s="2" t="s">
        <v>7</v>
      </c>
      <c r="N5" s="18">
        <f>Datos!G3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344234.72297690943</v>
      </c>
      <c r="E6" s="12">
        <f t="shared" ref="E6:E69" si="1">E5+I6-J6-K6</f>
        <v>1.2070675477941744</v>
      </c>
      <c r="F6" s="12">
        <f t="shared" ref="F6:G21" si="2">F5+J6</f>
        <v>6.2260433068527909E-2</v>
      </c>
      <c r="G6" s="12">
        <f t="shared" si="2"/>
        <v>7.6951097050989639E-3</v>
      </c>
      <c r="H6" s="9"/>
      <c r="I6" s="12">
        <f t="shared" ref="I6:I69" si="3">E5*N$6*D5/SUM(D5:F5)*N$7</f>
        <v>0.14502347402566163</v>
      </c>
      <c r="J6" s="12">
        <f t="shared" ref="J6:J69" si="4">E5*N$8/N$5</f>
        <v>3.2593766401861249E-2</v>
      </c>
      <c r="K6" s="12">
        <f t="shared" ref="K6:K69" si="5">E5*N$9/N$5</f>
        <v>4.0284430384322934E-3</v>
      </c>
      <c r="M6" s="2" t="s">
        <v>8</v>
      </c>
      <c r="N6" s="3">
        <f>Datos!G4</f>
        <v>2</v>
      </c>
    </row>
    <row r="7" spans="2:14" x14ac:dyDescent="0.25">
      <c r="B7" s="10">
        <v>3</v>
      </c>
      <c r="C7" s="11">
        <v>43894</v>
      </c>
      <c r="D7" s="12">
        <f t="shared" si="0"/>
        <v>344234.56364458066</v>
      </c>
      <c r="E7" s="12">
        <f t="shared" si="1"/>
        <v>1.3261642916559555</v>
      </c>
      <c r="F7" s="12">
        <f t="shared" si="2"/>
        <v>9.8070103653088408E-2</v>
      </c>
      <c r="G7" s="12">
        <f t="shared" si="2"/>
        <v>1.2121024047010941E-2</v>
      </c>
      <c r="H7" s="9"/>
      <c r="I7" s="12">
        <f t="shared" si="3"/>
        <v>0.15933232878825371</v>
      </c>
      <c r="J7" s="12">
        <f t="shared" si="4"/>
        <v>3.5809670584560506E-2</v>
      </c>
      <c r="K7" s="12">
        <f t="shared" si="5"/>
        <v>4.4259143419119766E-3</v>
      </c>
      <c r="M7" s="2" t="s">
        <v>9</v>
      </c>
      <c r="N7" s="4">
        <f>Datos!G5</f>
        <v>6.6000000000000003E-2</v>
      </c>
    </row>
    <row r="8" spans="2:14" x14ac:dyDescent="0.25">
      <c r="B8" s="10">
        <v>4</v>
      </c>
      <c r="C8" s="11">
        <v>43895</v>
      </c>
      <c r="D8" s="12">
        <f t="shared" si="0"/>
        <v>344234.38859161845</v>
      </c>
      <c r="E8" s="12">
        <f t="shared" si="1"/>
        <v>1.4570117775027425</v>
      </c>
      <c r="F8" s="12">
        <f t="shared" si="2"/>
        <v>0.13741297763888174</v>
      </c>
      <c r="G8" s="12">
        <f t="shared" si="2"/>
        <v>1.6983626449749448E-2</v>
      </c>
      <c r="H8" s="9"/>
      <c r="I8" s="12">
        <f t="shared" si="3"/>
        <v>0.17505296223531874</v>
      </c>
      <c r="J8" s="12">
        <f t="shared" si="4"/>
        <v>3.9342873985793343E-2</v>
      </c>
      <c r="K8" s="12">
        <f t="shared" si="5"/>
        <v>4.8626024027385072E-3</v>
      </c>
      <c r="M8" s="2" t="s">
        <v>10</v>
      </c>
      <c r="N8" s="5">
        <f>Datos!G6</f>
        <v>0.8899999999999999</v>
      </c>
    </row>
    <row r="9" spans="2:14" x14ac:dyDescent="0.25">
      <c r="B9" s="10">
        <v>5</v>
      </c>
      <c r="C9" s="11">
        <v>43896</v>
      </c>
      <c r="D9" s="12">
        <f t="shared" si="0"/>
        <v>344234.19626695465</v>
      </c>
      <c r="E9" s="12">
        <f t="shared" si="1"/>
        <v>1.6007693820736832</v>
      </c>
      <c r="F9" s="12">
        <f t="shared" si="2"/>
        <v>0.18063766037146312</v>
      </c>
      <c r="G9" s="12">
        <f t="shared" si="2"/>
        <v>2.2326002967259506E-2</v>
      </c>
      <c r="H9" s="9"/>
      <c r="I9" s="12">
        <f t="shared" si="3"/>
        <v>0.19232466382103214</v>
      </c>
      <c r="J9" s="12">
        <f t="shared" si="4"/>
        <v>4.3224682732581357E-2</v>
      </c>
      <c r="K9" s="12">
        <f t="shared" si="5"/>
        <v>5.3423765175100602E-3</v>
      </c>
      <c r="M9" s="2" t="s">
        <v>11</v>
      </c>
      <c r="N9" s="5">
        <f>Datos!G7</f>
        <v>0.1100000000000001</v>
      </c>
    </row>
    <row r="10" spans="2:14" x14ac:dyDescent="0.25">
      <c r="B10" s="10">
        <v>6</v>
      </c>
      <c r="C10" s="11">
        <v>43897</v>
      </c>
      <c r="D10" s="12">
        <f t="shared" si="0"/>
        <v>344233.98496648972</v>
      </c>
      <c r="E10" s="12">
        <f t="shared" si="1"/>
        <v>1.7587108676280692</v>
      </c>
      <c r="F10" s="12">
        <f t="shared" si="2"/>
        <v>0.22812715203964906</v>
      </c>
      <c r="G10" s="12">
        <f t="shared" si="2"/>
        <v>2.8195490701529685E-2</v>
      </c>
      <c r="H10" s="9"/>
      <c r="I10" s="12">
        <f t="shared" si="3"/>
        <v>0.21130046495684204</v>
      </c>
      <c r="J10" s="12">
        <f t="shared" si="4"/>
        <v>4.7489491668185932E-2</v>
      </c>
      <c r="K10" s="12">
        <f t="shared" si="5"/>
        <v>5.8694877342701773E-3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344233.75281799509</v>
      </c>
      <c r="E11" s="12">
        <f t="shared" si="1"/>
        <v>1.9322356666605776</v>
      </c>
      <c r="F11" s="12">
        <f t="shared" si="2"/>
        <v>0.28030224111261509</v>
      </c>
      <c r="G11" s="12">
        <f t="shared" si="2"/>
        <v>3.4644097216165945E-2</v>
      </c>
      <c r="H11" s="9"/>
      <c r="I11" s="12">
        <f t="shared" si="3"/>
        <v>0.23214849462011075</v>
      </c>
      <c r="J11" s="12">
        <f t="shared" si="4"/>
        <v>5.2175089072966051E-2</v>
      </c>
      <c r="K11" s="12">
        <f t="shared" si="5"/>
        <v>6.4486065146362598E-3</v>
      </c>
      <c r="M11" s="2" t="s">
        <v>12</v>
      </c>
      <c r="N11" s="7">
        <v>231480</v>
      </c>
    </row>
    <row r="12" spans="2:14" x14ac:dyDescent="0.25">
      <c r="B12" s="10">
        <v>8</v>
      </c>
      <c r="C12" s="11">
        <v>43899</v>
      </c>
      <c r="D12" s="12">
        <f t="shared" si="0"/>
        <v>344233.4977645264</v>
      </c>
      <c r="E12" s="12">
        <f t="shared" si="1"/>
        <v>2.1228812797664327</v>
      </c>
      <c r="F12" s="12">
        <f t="shared" si="2"/>
        <v>0.33762523255687887</v>
      </c>
      <c r="G12" s="12">
        <f t="shared" si="2"/>
        <v>4.1728961327254732E-2</v>
      </c>
      <c r="H12" s="9"/>
      <c r="I12" s="12">
        <f t="shared" si="3"/>
        <v>0.25505346866120776</v>
      </c>
      <c r="J12" s="12">
        <f t="shared" si="4"/>
        <v>5.7322991444263796E-2</v>
      </c>
      <c r="K12" s="12">
        <f t="shared" si="5"/>
        <v>7.0848641110887907E-3</v>
      </c>
      <c r="M12" s="2" t="s">
        <v>13</v>
      </c>
      <c r="N12" s="7">
        <f>SUM(J5:J204)</f>
        <v>257898.30924370201</v>
      </c>
    </row>
    <row r="13" spans="2:14" x14ac:dyDescent="0.25">
      <c r="B13" s="10">
        <v>9</v>
      </c>
      <c r="C13" s="11">
        <v>43900</v>
      </c>
      <c r="D13" s="12">
        <f t="shared" si="0"/>
        <v>344233.21754620044</v>
      </c>
      <c r="E13" s="12">
        <f t="shared" si="1"/>
        <v>2.3323368964301299</v>
      </c>
      <c r="F13" s="12">
        <f t="shared" si="2"/>
        <v>0.40060404385661635</v>
      </c>
      <c r="G13" s="12">
        <f t="shared" si="2"/>
        <v>4.9512859353064993E-2</v>
      </c>
      <c r="H13" s="9"/>
      <c r="I13" s="12">
        <f t="shared" si="3"/>
        <v>0.28021832598924479</v>
      </c>
      <c r="J13" s="12">
        <f t="shared" si="4"/>
        <v>6.2978811299737494E-2</v>
      </c>
      <c r="K13" s="12">
        <f t="shared" si="5"/>
        <v>7.7838980258102602E-3</v>
      </c>
      <c r="M13" s="2" t="s">
        <v>14</v>
      </c>
      <c r="N13" s="7">
        <f>SUM(K5:K204)</f>
        <v>31875.07192899692</v>
      </c>
    </row>
    <row r="14" spans="2:14" x14ac:dyDescent="0.25">
      <c r="B14" s="10">
        <v>10</v>
      </c>
      <c r="C14" s="11">
        <v>43901</v>
      </c>
      <c r="D14" s="12">
        <f t="shared" si="0"/>
        <v>344232.90968017431</v>
      </c>
      <c r="E14" s="12">
        <f t="shared" si="1"/>
        <v>2.562458359330519</v>
      </c>
      <c r="F14" s="12">
        <f t="shared" si="2"/>
        <v>0.46979670511737687</v>
      </c>
      <c r="G14" s="12">
        <f t="shared" si="2"/>
        <v>5.8064761306642149E-2</v>
      </c>
      <c r="H14" s="9"/>
      <c r="I14" s="12">
        <f t="shared" si="3"/>
        <v>0.30786602611472685</v>
      </c>
      <c r="J14" s="12">
        <f t="shared" si="4"/>
        <v>6.9192661260760513E-2</v>
      </c>
      <c r="K14" s="12">
        <f t="shared" si="5"/>
        <v>8.5519019535771519E-3</v>
      </c>
      <c r="M14" s="2" t="s">
        <v>15</v>
      </c>
      <c r="N14" s="7">
        <f>SUM(D4:G4)-N11</f>
        <v>112756</v>
      </c>
    </row>
    <row r="15" spans="2:14" x14ac:dyDescent="0.25">
      <c r="B15" s="10">
        <v>11</v>
      </c>
      <c r="C15" s="11">
        <v>43902</v>
      </c>
      <c r="D15" s="12">
        <f t="shared" si="0"/>
        <v>344232.57143865037</v>
      </c>
      <c r="E15" s="12">
        <f t="shared" si="1"/>
        <v>2.815284604639237</v>
      </c>
      <c r="F15" s="12">
        <f t="shared" si="2"/>
        <v>0.54581630311084894</v>
      </c>
      <c r="G15" s="12">
        <f t="shared" si="2"/>
        <v>6.7460441957520725E-2</v>
      </c>
      <c r="H15" s="9"/>
      <c r="I15" s="12">
        <f t="shared" si="3"/>
        <v>0.33824152395306861</v>
      </c>
      <c r="J15" s="12">
        <f t="shared" si="4"/>
        <v>7.6019597993472063E-2</v>
      </c>
      <c r="K15" s="12">
        <f t="shared" si="5"/>
        <v>9.3956806508785785E-3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344232.19982471102</v>
      </c>
      <c r="E16" s="12">
        <f t="shared" si="1"/>
        <v>3.0930557238432712</v>
      </c>
      <c r="F16" s="12">
        <f t="shared" si="2"/>
        <v>0.62933641304847965</v>
      </c>
      <c r="G16" s="12">
        <f t="shared" si="2"/>
        <v>7.7783152174531273E-2</v>
      </c>
      <c r="H16" s="9"/>
      <c r="I16" s="12">
        <f t="shared" si="3"/>
        <v>0.3716139393586752</v>
      </c>
      <c r="J16" s="12">
        <f t="shared" si="4"/>
        <v>8.3520109937630677E-2</v>
      </c>
      <c r="K16" s="12">
        <f t="shared" si="5"/>
        <v>1.0322710217010544E-2</v>
      </c>
      <c r="M16" s="2" t="s">
        <v>16</v>
      </c>
      <c r="N16" s="7">
        <f>MAX(E4:E204)</f>
        <v>142277.67199021473</v>
      </c>
    </row>
    <row r="17" spans="2:14" x14ac:dyDescent="0.25">
      <c r="B17" s="10">
        <v>13</v>
      </c>
      <c r="C17" s="11">
        <v>43904</v>
      </c>
      <c r="D17" s="12">
        <f t="shared" si="0"/>
        <v>344231.79154577042</v>
      </c>
      <c r="E17" s="12">
        <f t="shared" si="1"/>
        <v>3.3982328069606429</v>
      </c>
      <c r="F17" s="12">
        <f t="shared" si="2"/>
        <v>0.72109706618916336</v>
      </c>
      <c r="G17" s="12">
        <f t="shared" si="2"/>
        <v>8.9124356495289936E-2</v>
      </c>
      <c r="H17" s="9"/>
      <c r="I17" s="12">
        <f t="shared" si="3"/>
        <v>0.40827894057881431</v>
      </c>
      <c r="J17" s="12">
        <f t="shared" si="4"/>
        <v>9.1760653140683698E-2</v>
      </c>
      <c r="K17" s="12">
        <f t="shared" si="5"/>
        <v>1.134120432075867E-2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344231.34298440773</v>
      </c>
      <c r="E18" s="12">
        <f t="shared" si="1"/>
        <v>3.7335197427667848</v>
      </c>
      <c r="F18" s="12">
        <f t="shared" si="2"/>
        <v>0.82191130612899577</v>
      </c>
      <c r="G18" s="12">
        <f t="shared" si="2"/>
        <v>0.10158454345414564</v>
      </c>
      <c r="H18" s="9"/>
      <c r="I18" s="12">
        <f t="shared" si="3"/>
        <v>0.44856136270482982</v>
      </c>
      <c r="J18" s="12">
        <f t="shared" si="4"/>
        <v>0.10081423993983239</v>
      </c>
      <c r="K18" s="12">
        <f t="shared" si="5"/>
        <v>1.2460186958855701E-2</v>
      </c>
      <c r="M18" s="2" t="s">
        <v>17</v>
      </c>
      <c r="N18" s="7">
        <f>MAX(I5:I204)</f>
        <v>7672.3899284560775</v>
      </c>
    </row>
    <row r="19" spans="2:14" x14ac:dyDescent="0.25">
      <c r="B19" s="10">
        <v>15</v>
      </c>
      <c r="C19" s="11">
        <v>43906</v>
      </c>
      <c r="D19" s="12">
        <f t="shared" si="0"/>
        <v>344230.85016632348</v>
      </c>
      <c r="E19" s="12">
        <f t="shared" si="1"/>
        <v>4.1018871689464138</v>
      </c>
      <c r="F19" s="12">
        <f t="shared" si="2"/>
        <v>0.93267239183107709</v>
      </c>
      <c r="G19" s="12">
        <f t="shared" si="2"/>
        <v>0.11527411584429052</v>
      </c>
      <c r="H19" s="9"/>
      <c r="I19" s="12">
        <f t="shared" si="3"/>
        <v>0.49281808427185497</v>
      </c>
      <c r="J19" s="12">
        <f t="shared" si="4"/>
        <v>0.11076108570208128</v>
      </c>
      <c r="K19" s="12">
        <f t="shared" si="5"/>
        <v>1.3689572390144891E-2</v>
      </c>
      <c r="M19" s="2" t="s">
        <v>18</v>
      </c>
      <c r="N19" s="7">
        <f>MAX(J5:J204)</f>
        <v>4220.9042690430369</v>
      </c>
    </row>
    <row r="20" spans="2:14" x14ac:dyDescent="0.25">
      <c r="B20" s="10">
        <v>16</v>
      </c>
      <c r="C20" s="11">
        <v>43907</v>
      </c>
      <c r="D20" s="12">
        <f t="shared" si="0"/>
        <v>344230.30872513604</v>
      </c>
      <c r="E20" s="12">
        <f t="shared" si="1"/>
        <v>4.5065987840833257</v>
      </c>
      <c r="F20" s="12">
        <f t="shared" si="2"/>
        <v>1.0543617111764874</v>
      </c>
      <c r="G20" s="12">
        <f t="shared" si="2"/>
        <v>0.13031436879709404</v>
      </c>
      <c r="H20" s="9"/>
      <c r="I20" s="12">
        <f t="shared" si="3"/>
        <v>0.54144118743512626</v>
      </c>
      <c r="J20" s="12">
        <f t="shared" si="4"/>
        <v>0.12168931934541026</v>
      </c>
      <c r="K20" s="12">
        <f t="shared" si="5"/>
        <v>1.5040252952803531E-2</v>
      </c>
      <c r="M20" s="2" t="s">
        <v>19</v>
      </c>
      <c r="N20" s="7">
        <f>MAX(K5:K204)</f>
        <v>521.68479729745445</v>
      </c>
    </row>
    <row r="21" spans="2:14" x14ac:dyDescent="0.25">
      <c r="B21" s="10">
        <v>17</v>
      </c>
      <c r="C21" s="11">
        <v>43908</v>
      </c>
      <c r="D21" s="12">
        <f t="shared" si="0"/>
        <v>344229.71386370639</v>
      </c>
      <c r="E21" s="12">
        <f t="shared" si="1"/>
        <v>4.9512402542649774</v>
      </c>
      <c r="F21" s="12">
        <f t="shared" si="2"/>
        <v>1.1880574751042927</v>
      </c>
      <c r="G21" s="12">
        <f t="shared" si="2"/>
        <v>0.14683856433873291</v>
      </c>
      <c r="H21" s="9"/>
      <c r="I21" s="12">
        <f t="shared" si="3"/>
        <v>0.59486142965109601</v>
      </c>
      <c r="J21" s="12">
        <f t="shared" si="4"/>
        <v>0.13369576392780533</v>
      </c>
      <c r="K21" s="12">
        <f t="shared" si="5"/>
        <v>1.6524195541638875E-2</v>
      </c>
    </row>
    <row r="22" spans="2:14" x14ac:dyDescent="0.25">
      <c r="B22" s="10">
        <v>18</v>
      </c>
      <c r="C22" s="11">
        <v>43909</v>
      </c>
      <c r="D22" s="12">
        <f t="shared" si="0"/>
        <v>344229.06031164888</v>
      </c>
      <c r="E22" s="12">
        <f t="shared" si="1"/>
        <v>5.4397509699926339</v>
      </c>
      <c r="F22" s="12">
        <f t="shared" ref="F22:G37" si="6">F21+J22</f>
        <v>1.3349442693141538</v>
      </c>
      <c r="G22" s="12">
        <f t="shared" si="6"/>
        <v>0.1649931119377045</v>
      </c>
      <c r="H22" s="9"/>
      <c r="I22" s="12">
        <f t="shared" si="3"/>
        <v>0.65355205753648882</v>
      </c>
      <c r="J22" s="12">
        <f t="shared" si="4"/>
        <v>0.14688679420986098</v>
      </c>
      <c r="K22" s="12">
        <f t="shared" si="5"/>
        <v>1.8154547598971602E-2</v>
      </c>
    </row>
    <row r="23" spans="2:14" x14ac:dyDescent="0.25">
      <c r="B23" s="10">
        <v>19</v>
      </c>
      <c r="C23" s="11">
        <v>43910</v>
      </c>
      <c r="D23" s="12">
        <f t="shared" si="0"/>
        <v>344228.3422786523</v>
      </c>
      <c r="E23" s="12">
        <f t="shared" si="1"/>
        <v>5.9764589342515677</v>
      </c>
      <c r="F23" s="12">
        <f t="shared" si="6"/>
        <v>1.4963235480906019</v>
      </c>
      <c r="G23" s="12">
        <f t="shared" si="6"/>
        <v>0.18493886549434418</v>
      </c>
      <c r="H23" s="9"/>
      <c r="I23" s="12">
        <f t="shared" si="3"/>
        <v>0.7180329965920218</v>
      </c>
      <c r="J23" s="12">
        <f t="shared" si="4"/>
        <v>0.16137927877644814</v>
      </c>
      <c r="K23" s="12">
        <f t="shared" si="5"/>
        <v>1.9945753556639675E-2</v>
      </c>
    </row>
    <row r="24" spans="2:14" x14ac:dyDescent="0.25">
      <c r="B24" s="10">
        <v>20</v>
      </c>
      <c r="C24" s="11">
        <v>43911</v>
      </c>
      <c r="D24" s="12">
        <f t="shared" si="0"/>
        <v>344227.55340319849</v>
      </c>
      <c r="E24" s="12">
        <f t="shared" si="1"/>
        <v>6.566119090228959</v>
      </c>
      <c r="F24" s="12">
        <f t="shared" si="6"/>
        <v>1.6736251631400649</v>
      </c>
      <c r="G24" s="12">
        <f t="shared" si="6"/>
        <v>0.20685254825326663</v>
      </c>
      <c r="H24" s="9"/>
      <c r="I24" s="12">
        <f t="shared" si="3"/>
        <v>0.78887545378577673</v>
      </c>
      <c r="J24" s="12">
        <f t="shared" si="4"/>
        <v>0.17730161504946315</v>
      </c>
      <c r="K24" s="12">
        <f t="shared" si="5"/>
        <v>2.1913682758922432E-2</v>
      </c>
    </row>
    <row r="25" spans="2:14" x14ac:dyDescent="0.25">
      <c r="B25" s="10">
        <v>21</v>
      </c>
      <c r="C25" s="11">
        <v>43912</v>
      </c>
      <c r="D25" s="12">
        <f t="shared" si="0"/>
        <v>344226.68669622485</v>
      </c>
      <c r="E25" s="12">
        <f t="shared" si="1"/>
        <v>7.2139554275106663</v>
      </c>
      <c r="F25" s="12">
        <f t="shared" si="6"/>
        <v>1.868420029483524</v>
      </c>
      <c r="G25" s="12">
        <f t="shared" si="6"/>
        <v>0.23092831825077284</v>
      </c>
      <c r="H25" s="9"/>
      <c r="I25" s="12">
        <f t="shared" si="3"/>
        <v>0.86670697362267335</v>
      </c>
      <c r="J25" s="12">
        <f t="shared" si="4"/>
        <v>0.19479486634345911</v>
      </c>
      <c r="K25" s="12">
        <f t="shared" si="5"/>
        <v>2.4075769997506206E-2</v>
      </c>
    </row>
    <row r="26" spans="2:14" x14ac:dyDescent="0.25">
      <c r="B26" s="10">
        <v>22</v>
      </c>
      <c r="C26" s="11">
        <v>43913</v>
      </c>
      <c r="D26" s="12">
        <f t="shared" si="0"/>
        <v>344225.73447923252</v>
      </c>
      <c r="E26" s="12">
        <f t="shared" si="1"/>
        <v>7.9257072389060479</v>
      </c>
      <c r="F26" s="12">
        <f t="shared" si="6"/>
        <v>2.082434040499674</v>
      </c>
      <c r="G26" s="12">
        <f t="shared" si="6"/>
        <v>0.2573794881516453</v>
      </c>
      <c r="H26" s="9"/>
      <c r="I26" s="12">
        <f t="shared" si="3"/>
        <v>0.95221699231240453</v>
      </c>
      <c r="J26" s="12">
        <f t="shared" si="4"/>
        <v>0.21401401101614975</v>
      </c>
      <c r="K26" s="12">
        <f t="shared" si="5"/>
        <v>2.6451169900872467E-2</v>
      </c>
    </row>
    <row r="27" spans="2:14" x14ac:dyDescent="0.25">
      <c r="B27" s="10">
        <v>23</v>
      </c>
      <c r="C27" s="11">
        <v>43914</v>
      </c>
      <c r="D27" s="12">
        <f t="shared" si="0"/>
        <v>344224.68831629347</v>
      </c>
      <c r="E27" s="12">
        <f t="shared" si="1"/>
        <v>8.7076799366318731</v>
      </c>
      <c r="F27" s="12">
        <f t="shared" si="6"/>
        <v>2.3175633552538866</v>
      </c>
      <c r="G27" s="12">
        <f t="shared" si="6"/>
        <v>0.28644041469430082</v>
      </c>
      <c r="H27" s="9"/>
      <c r="I27" s="12">
        <f t="shared" si="3"/>
        <v>1.0461629390226934</v>
      </c>
      <c r="J27" s="12">
        <f t="shared" si="4"/>
        <v>0.23512931475421273</v>
      </c>
      <c r="K27" s="12">
        <f t="shared" si="5"/>
        <v>2.9060926542655532E-2</v>
      </c>
    </row>
    <row r="28" spans="2:14" x14ac:dyDescent="0.25">
      <c r="B28" s="10">
        <v>24</v>
      </c>
      <c r="C28" s="11">
        <v>43915</v>
      </c>
      <c r="D28" s="12">
        <f t="shared" si="0"/>
        <v>344223.53893935547</v>
      </c>
      <c r="E28" s="12">
        <f t="shared" si="1"/>
        <v>9.5668008767493671</v>
      </c>
      <c r="F28" s="12">
        <f t="shared" si="6"/>
        <v>2.5758911933739652</v>
      </c>
      <c r="G28" s="12">
        <f t="shared" si="6"/>
        <v>0.31836857446195105</v>
      </c>
      <c r="H28" s="9"/>
      <c r="I28" s="12">
        <f t="shared" si="3"/>
        <v>1.1493769380052241</v>
      </c>
      <c r="J28" s="12">
        <f t="shared" si="4"/>
        <v>0.25832783812007887</v>
      </c>
      <c r="K28" s="12">
        <f t="shared" si="5"/>
        <v>3.1928159767650226E-2</v>
      </c>
    </row>
    <row r="29" spans="2:14" x14ac:dyDescent="0.25">
      <c r="B29" s="10">
        <v>25</v>
      </c>
      <c r="C29" s="11">
        <v>43916</v>
      </c>
      <c r="D29" s="12">
        <f t="shared" si="0"/>
        <v>344222.27616618481</v>
      </c>
      <c r="E29" s="12">
        <f t="shared" si="1"/>
        <v>10.510680684839981</v>
      </c>
      <c r="F29" s="12">
        <f t="shared" si="6"/>
        <v>2.8597062860508631</v>
      </c>
      <c r="G29" s="12">
        <f t="shared" si="6"/>
        <v>0.35344684434336543</v>
      </c>
      <c r="H29" s="9"/>
      <c r="I29" s="12">
        <f t="shared" si="3"/>
        <v>1.2627731706489247</v>
      </c>
      <c r="J29" s="12">
        <f t="shared" si="4"/>
        <v>0.28381509267689786</v>
      </c>
      <c r="K29" s="12">
        <f t="shared" si="5"/>
        <v>3.5078269881414374E-2</v>
      </c>
    </row>
    <row r="30" spans="2:14" x14ac:dyDescent="0.25">
      <c r="B30" s="10">
        <v>26</v>
      </c>
      <c r="C30" s="11">
        <v>43917</v>
      </c>
      <c r="D30" s="12">
        <f t="shared" si="0"/>
        <v>344220.8888102225</v>
      </c>
      <c r="E30" s="12">
        <f t="shared" si="1"/>
        <v>11.547680624306087</v>
      </c>
      <c r="F30" s="12">
        <f t="shared" si="6"/>
        <v>3.1715231463677824</v>
      </c>
      <c r="G30" s="12">
        <f t="shared" si="6"/>
        <v>0.3919860068544454</v>
      </c>
      <c r="H30" s="9"/>
      <c r="I30" s="12">
        <f t="shared" si="3"/>
        <v>1.3873559622941076</v>
      </c>
      <c r="J30" s="12">
        <f t="shared" si="4"/>
        <v>0.31181686031691941</v>
      </c>
      <c r="K30" s="12">
        <f t="shared" si="5"/>
        <v>3.8539162511079965E-2</v>
      </c>
    </row>
    <row r="31" spans="2:14" x14ac:dyDescent="0.25">
      <c r="B31" s="10">
        <v>27</v>
      </c>
      <c r="C31" s="11">
        <v>43918</v>
      </c>
      <c r="D31" s="12">
        <f t="shared" si="0"/>
        <v>344219.36458155751</v>
      </c>
      <c r="E31" s="12">
        <f t="shared" si="1"/>
        <v>12.686986601809283</v>
      </c>
      <c r="F31" s="12">
        <f t="shared" si="6"/>
        <v>3.5141043382221961</v>
      </c>
      <c r="G31" s="12">
        <f t="shared" si="6"/>
        <v>0.43432750247690111</v>
      </c>
      <c r="H31" s="9"/>
      <c r="I31" s="12">
        <f t="shared" si="3"/>
        <v>1.5242286649800654</v>
      </c>
      <c r="J31" s="12">
        <f t="shared" si="4"/>
        <v>0.34258119185441388</v>
      </c>
      <c r="K31" s="12">
        <f t="shared" si="5"/>
        <v>4.2341495622455691E-2</v>
      </c>
    </row>
    <row r="32" spans="2:14" x14ac:dyDescent="0.25">
      <c r="B32" s="10">
        <v>28</v>
      </c>
      <c r="C32" s="11">
        <v>43919</v>
      </c>
      <c r="D32" s="12">
        <f t="shared" si="0"/>
        <v>344217.68997814326</v>
      </c>
      <c r="E32" s="12">
        <f t="shared" si="1"/>
        <v>13.938690462666955</v>
      </c>
      <c r="F32" s="12">
        <f t="shared" si="6"/>
        <v>3.8904849407425379</v>
      </c>
      <c r="G32" s="12">
        <f t="shared" si="6"/>
        <v>0.48084645335020182</v>
      </c>
      <c r="H32" s="9"/>
      <c r="I32" s="12">
        <f t="shared" si="3"/>
        <v>1.6746034142513153</v>
      </c>
      <c r="J32" s="12">
        <f t="shared" si="4"/>
        <v>0.376380602520342</v>
      </c>
      <c r="K32" s="12">
        <f t="shared" si="5"/>
        <v>4.6518950873300741E-2</v>
      </c>
    </row>
    <row r="33" spans="2:11" x14ac:dyDescent="0.25">
      <c r="B33" s="10">
        <v>29</v>
      </c>
      <c r="C33" s="11">
        <v>43920</v>
      </c>
      <c r="D33" s="12">
        <f t="shared" si="0"/>
        <v>344215.85016629746</v>
      </c>
      <c r="E33" s="12">
        <f t="shared" si="1"/>
        <v>15.313879293016541</v>
      </c>
      <c r="F33" s="12">
        <f t="shared" si="6"/>
        <v>4.3039994244683246</v>
      </c>
      <c r="G33" s="12">
        <f t="shared" si="6"/>
        <v>0.5319549850466474</v>
      </c>
      <c r="H33" s="9"/>
      <c r="I33" s="12">
        <f t="shared" si="3"/>
        <v>1.839811845771818</v>
      </c>
      <c r="J33" s="12">
        <f t="shared" si="4"/>
        <v>0.41351448372578631</v>
      </c>
      <c r="K33" s="12">
        <f t="shared" si="5"/>
        <v>5.1108531696445546E-2</v>
      </c>
    </row>
    <row r="34" spans="2:11" x14ac:dyDescent="0.25">
      <c r="B34" s="10">
        <v>30</v>
      </c>
      <c r="C34" s="13">
        <v>43921</v>
      </c>
      <c r="D34" s="12">
        <f t="shared" si="0"/>
        <v>344213.82884943159</v>
      </c>
      <c r="E34" s="12">
        <f t="shared" si="1"/>
        <v>16.824733515771477</v>
      </c>
      <c r="F34" s="12">
        <f t="shared" si="6"/>
        <v>4.7583111768278155</v>
      </c>
      <c r="G34" s="12">
        <f t="shared" si="6"/>
        <v>0.58810587578770812</v>
      </c>
      <c r="H34" s="9"/>
      <c r="I34" s="12">
        <f t="shared" si="3"/>
        <v>2.0213168658554879</v>
      </c>
      <c r="J34" s="12">
        <f t="shared" si="4"/>
        <v>0.45431175235949067</v>
      </c>
      <c r="K34" s="12">
        <f t="shared" si="5"/>
        <v>5.6150890741060701E-2</v>
      </c>
    </row>
    <row r="35" spans="2:11" x14ac:dyDescent="0.25">
      <c r="B35" s="10">
        <v>31</v>
      </c>
      <c r="C35" s="11">
        <v>43922</v>
      </c>
      <c r="D35" s="12">
        <f t="shared" si="0"/>
        <v>344211.60812385241</v>
      </c>
      <c r="E35" s="12">
        <f t="shared" si="1"/>
        <v>18.484634644429779</v>
      </c>
      <c r="F35" s="12">
        <f t="shared" si="6"/>
        <v>5.2574449377957029</v>
      </c>
      <c r="G35" s="12">
        <f t="shared" si="6"/>
        <v>0.64979656534553698</v>
      </c>
      <c r="H35" s="9"/>
      <c r="I35" s="12">
        <f t="shared" si="3"/>
        <v>2.2207255791840175</v>
      </c>
      <c r="J35" s="12">
        <f t="shared" si="4"/>
        <v>0.49913376096788714</v>
      </c>
      <c r="K35" s="12">
        <f t="shared" si="5"/>
        <v>6.1690689557828811E-2</v>
      </c>
    </row>
    <row r="36" spans="2:11" x14ac:dyDescent="0.25">
      <c r="B36" s="10">
        <v>32</v>
      </c>
      <c r="C36" s="11">
        <v>43923</v>
      </c>
      <c r="D36" s="12">
        <f t="shared" si="0"/>
        <v>344209.16832036537</v>
      </c>
      <c r="E36" s="12">
        <f t="shared" si="1"/>
        <v>20.308283643306559</v>
      </c>
      <c r="F36" s="12">
        <f t="shared" si="6"/>
        <v>5.8058224322471199</v>
      </c>
      <c r="G36" s="12">
        <f t="shared" si="6"/>
        <v>0.71757355904177955</v>
      </c>
      <c r="H36" s="9"/>
      <c r="I36" s="12">
        <f t="shared" si="3"/>
        <v>2.4398034870244385</v>
      </c>
      <c r="J36" s="12">
        <f t="shared" si="4"/>
        <v>0.5483774944514167</v>
      </c>
      <c r="K36" s="12">
        <f t="shared" si="5"/>
        <v>6.7776993696242585E-2</v>
      </c>
    </row>
    <row r="37" spans="2:11" x14ac:dyDescent="0.25">
      <c r="B37" s="10">
        <v>33</v>
      </c>
      <c r="C37" s="11">
        <v>43924</v>
      </c>
      <c r="D37" s="12">
        <f t="shared" si="0"/>
        <v>344206.4878302851</v>
      </c>
      <c r="E37" s="12">
        <f t="shared" si="1"/>
        <v>22.311830935456747</v>
      </c>
      <c r="F37" s="12">
        <f t="shared" si="6"/>
        <v>6.4083015136652142</v>
      </c>
      <c r="G37" s="12">
        <f t="shared" si="6"/>
        <v>0.79203726573390365</v>
      </c>
      <c r="H37" s="9"/>
      <c r="I37" s="12">
        <f t="shared" si="3"/>
        <v>2.6804900802604088</v>
      </c>
      <c r="J37" s="12">
        <f t="shared" si="4"/>
        <v>0.60247908141809448</v>
      </c>
      <c r="K37" s="12">
        <f t="shared" si="5"/>
        <v>7.4463706692124113E-2</v>
      </c>
    </row>
    <row r="38" spans="2:11" x14ac:dyDescent="0.25">
      <c r="B38" s="10">
        <v>34</v>
      </c>
      <c r="C38" s="11">
        <v>43925</v>
      </c>
      <c r="D38" s="12">
        <f t="shared" si="0"/>
        <v>344203.54291432147</v>
      </c>
      <c r="E38" s="12">
        <f t="shared" si="1"/>
        <v>24.51301920120952</v>
      </c>
      <c r="F38" s="12">
        <f t="shared" ref="F38:G53" si="7">F37+J38</f>
        <v>7.0702191647504309</v>
      </c>
      <c r="G38" s="12">
        <f t="shared" si="7"/>
        <v>0.87384731249724512</v>
      </c>
      <c r="H38" s="9"/>
      <c r="I38" s="12">
        <f t="shared" si="3"/>
        <v>2.9449159636013333</v>
      </c>
      <c r="J38" s="12">
        <f t="shared" si="4"/>
        <v>0.66191765108521672</v>
      </c>
      <c r="K38" s="12">
        <f t="shared" si="5"/>
        <v>8.1810046763341485E-2</v>
      </c>
    </row>
    <row r="39" spans="2:11" x14ac:dyDescent="0.25">
      <c r="B39" s="10">
        <v>35</v>
      </c>
      <c r="C39" s="11">
        <v>43926</v>
      </c>
      <c r="D39" s="12">
        <f t="shared" si="0"/>
        <v>344200.30749266094</v>
      </c>
      <c r="E39" s="12">
        <f t="shared" si="1"/>
        <v>26.931340221697134</v>
      </c>
      <c r="F39" s="12">
        <f t="shared" si="7"/>
        <v>7.7974387343863132</v>
      </c>
      <c r="G39" s="12">
        <f t="shared" si="7"/>
        <v>0.96372838290168006</v>
      </c>
      <c r="H39" s="9"/>
      <c r="I39" s="12">
        <f t="shared" si="3"/>
        <v>3.2354216605279316</v>
      </c>
      <c r="J39" s="12">
        <f t="shared" si="4"/>
        <v>0.72721956963588241</v>
      </c>
      <c r="K39" s="12">
        <f t="shared" si="5"/>
        <v>8.9881070404434993E-2</v>
      </c>
    </row>
    <row r="40" spans="2:11" x14ac:dyDescent="0.25">
      <c r="B40" s="10">
        <v>36</v>
      </c>
      <c r="C40" s="11">
        <v>43927</v>
      </c>
      <c r="D40" s="12">
        <f t="shared" si="0"/>
        <v>344196.75291439798</v>
      </c>
      <c r="E40" s="12">
        <f t="shared" si="1"/>
        <v>29.588207143949436</v>
      </c>
      <c r="F40" s="12">
        <f t="shared" si="7"/>
        <v>8.5964018276299949</v>
      </c>
      <c r="G40" s="12">
        <f t="shared" si="7"/>
        <v>1.0624766303812363</v>
      </c>
      <c r="H40" s="9"/>
      <c r="I40" s="12">
        <f t="shared" si="3"/>
        <v>3.5545782629755385</v>
      </c>
      <c r="J40" s="12">
        <f t="shared" si="4"/>
        <v>0.79896309324368153</v>
      </c>
      <c r="K40" s="12">
        <f t="shared" si="5"/>
        <v>9.8748247479556239E-2</v>
      </c>
    </row>
    <row r="41" spans="2:11" x14ac:dyDescent="0.25">
      <c r="B41" s="10">
        <v>37</v>
      </c>
      <c r="C41" s="11">
        <v>43928</v>
      </c>
      <c r="D41" s="12">
        <f t="shared" si="0"/>
        <v>344192.84770429239</v>
      </c>
      <c r="E41" s="12">
        <f t="shared" si="1"/>
        <v>32.507143678043626</v>
      </c>
      <c r="F41" s="12">
        <f t="shared" si="7"/>
        <v>9.4741853062338279</v>
      </c>
      <c r="G41" s="12">
        <f t="shared" si="7"/>
        <v>1.1709667232423844</v>
      </c>
      <c r="H41" s="9"/>
      <c r="I41" s="12">
        <f t="shared" si="3"/>
        <v>3.9052101055591648</v>
      </c>
      <c r="J41" s="12">
        <f t="shared" si="4"/>
        <v>0.87778347860383321</v>
      </c>
      <c r="K41" s="12">
        <f t="shared" si="5"/>
        <v>0.10849009286114804</v>
      </c>
    </row>
    <row r="42" spans="2:11" x14ac:dyDescent="0.25">
      <c r="B42" s="10">
        <v>38</v>
      </c>
      <c r="C42" s="11">
        <v>43929</v>
      </c>
      <c r="D42" s="12">
        <f t="shared" si="0"/>
        <v>344188.55728463095</v>
      </c>
      <c r="E42" s="12">
        <f t="shared" si="1"/>
        <v>35.713991883537055</v>
      </c>
      <c r="F42" s="12">
        <f t="shared" si="7"/>
        <v>10.438563902015789</v>
      </c>
      <c r="G42" s="12">
        <f t="shared" si="7"/>
        <v>1.2901595833952111</v>
      </c>
      <c r="H42" s="9"/>
      <c r="I42" s="12">
        <f t="shared" si="3"/>
        <v>4.2904196614282197</v>
      </c>
      <c r="J42" s="12">
        <f t="shared" si="4"/>
        <v>0.96437859578196083</v>
      </c>
      <c r="K42" s="12">
        <f t="shared" si="5"/>
        <v>0.11919286015282674</v>
      </c>
    </row>
    <row r="43" spans="2:11" x14ac:dyDescent="0.25">
      <c r="B43" s="10">
        <v>39</v>
      </c>
      <c r="C43" s="11">
        <v>43930</v>
      </c>
      <c r="D43" s="12">
        <f t="shared" si="0"/>
        <v>344183.84366975521</v>
      </c>
      <c r="E43" s="12">
        <f t="shared" si="1"/>
        <v>39.237140363152648</v>
      </c>
      <c r="F43" s="12">
        <f t="shared" si="7"/>
        <v>11.498078994560721</v>
      </c>
      <c r="G43" s="12">
        <f t="shared" si="7"/>
        <v>1.4211108869681803</v>
      </c>
      <c r="H43" s="9"/>
      <c r="I43" s="12">
        <f t="shared" si="3"/>
        <v>4.7136148757335006</v>
      </c>
      <c r="J43" s="12">
        <f t="shared" si="4"/>
        <v>1.0595150925449326</v>
      </c>
      <c r="K43" s="12">
        <f t="shared" si="5"/>
        <v>0.13095130357296933</v>
      </c>
    </row>
    <row r="44" spans="2:11" x14ac:dyDescent="0.25">
      <c r="B44" s="10">
        <v>40</v>
      </c>
      <c r="C44" s="11">
        <v>43931</v>
      </c>
      <c r="D44" s="12">
        <f t="shared" si="0"/>
        <v>344178.66513058188</v>
      </c>
      <c r="E44" s="12">
        <f t="shared" si="1"/>
        <v>43.107774857715299</v>
      </c>
      <c r="F44" s="12">
        <f t="shared" si="7"/>
        <v>12.662114158667583</v>
      </c>
      <c r="G44" s="12">
        <f t="shared" si="7"/>
        <v>1.5649804016330735</v>
      </c>
      <c r="H44" s="9"/>
      <c r="I44" s="12">
        <f t="shared" si="3"/>
        <v>5.1785391733344044</v>
      </c>
      <c r="J44" s="12">
        <f t="shared" si="4"/>
        <v>1.1640351641068618</v>
      </c>
      <c r="K44" s="12">
        <f t="shared" si="5"/>
        <v>0.14386951466489314</v>
      </c>
    </row>
    <row r="45" spans="2:11" x14ac:dyDescent="0.25">
      <c r="B45" s="10">
        <v>41</v>
      </c>
      <c r="C45" s="11">
        <v>43932</v>
      </c>
      <c r="D45" s="12">
        <f t="shared" si="0"/>
        <v>344172.97582618194</v>
      </c>
      <c r="E45" s="12">
        <f t="shared" si="1"/>
        <v>47.360153429044018</v>
      </c>
      <c r="F45" s="12">
        <f t="shared" si="7"/>
        <v>13.940978146113137</v>
      </c>
      <c r="G45" s="12">
        <f t="shared" si="7"/>
        <v>1.7230422427780296</v>
      </c>
      <c r="H45" s="9"/>
      <c r="I45" s="12">
        <f t="shared" si="3"/>
        <v>5.6893043999192301</v>
      </c>
      <c r="J45" s="12">
        <f t="shared" si="4"/>
        <v>1.2788639874455539</v>
      </c>
      <c r="K45" s="12">
        <f t="shared" si="5"/>
        <v>0.15806184114495625</v>
      </c>
    </row>
    <row r="46" spans="2:11" x14ac:dyDescent="0.25">
      <c r="B46" s="10">
        <v>42</v>
      </c>
      <c r="C46" s="11">
        <v>43933</v>
      </c>
      <c r="D46" s="12">
        <f t="shared" si="0"/>
        <v>344166.72539920162</v>
      </c>
      <c r="E46" s="12">
        <f t="shared" si="1"/>
        <v>52.031908628391314</v>
      </c>
      <c r="F46" s="12">
        <f t="shared" si="7"/>
        <v>15.345996031174776</v>
      </c>
      <c r="G46" s="12">
        <f t="shared" si="7"/>
        <v>1.8966961386845245</v>
      </c>
      <c r="H46" s="9"/>
      <c r="I46" s="12">
        <f t="shared" si="3"/>
        <v>6.2504269803154324</v>
      </c>
      <c r="J46" s="12">
        <f t="shared" si="4"/>
        <v>1.405017885061639</v>
      </c>
      <c r="K46" s="12">
        <f t="shared" si="5"/>
        <v>0.17365389590649491</v>
      </c>
    </row>
    <row r="47" spans="2:11" x14ac:dyDescent="0.25">
      <c r="B47" s="10">
        <v>43</v>
      </c>
      <c r="C47" s="11">
        <v>43934</v>
      </c>
      <c r="D47" s="12">
        <f t="shared" si="0"/>
        <v>344159.85853159701</v>
      </c>
      <c r="E47" s="12">
        <f t="shared" si="1"/>
        <v>57.16437927871015</v>
      </c>
      <c r="F47" s="12">
        <f t="shared" si="7"/>
        <v>16.889609320483718</v>
      </c>
      <c r="G47" s="12">
        <f t="shared" si="7"/>
        <v>2.0874798036552926</v>
      </c>
      <c r="H47" s="9"/>
      <c r="I47" s="12">
        <f t="shared" si="3"/>
        <v>6.8668676045985499</v>
      </c>
      <c r="J47" s="12">
        <f t="shared" si="4"/>
        <v>1.5436132893089423</v>
      </c>
      <c r="K47" s="12">
        <f t="shared" si="5"/>
        <v>0.19078366497076832</v>
      </c>
    </row>
    <row r="48" spans="2:11" x14ac:dyDescent="0.25">
      <c r="B48" s="10">
        <v>44</v>
      </c>
      <c r="C48" s="11">
        <v>43935</v>
      </c>
      <c r="D48" s="12">
        <f t="shared" si="0"/>
        <v>344152.31445681519</v>
      </c>
      <c r="E48" s="12">
        <f t="shared" si="1"/>
        <v>62.802974751266937</v>
      </c>
      <c r="F48" s="12">
        <f t="shared" si="7"/>
        <v>18.585485905752119</v>
      </c>
      <c r="G48" s="12">
        <f t="shared" si="7"/>
        <v>2.29708252767723</v>
      </c>
      <c r="H48" s="9"/>
      <c r="I48" s="12">
        <f t="shared" si="3"/>
        <v>7.5440747818471268</v>
      </c>
      <c r="J48" s="12">
        <f t="shared" si="4"/>
        <v>1.695876585268401</v>
      </c>
      <c r="K48" s="12">
        <f t="shared" si="5"/>
        <v>0.20960272402193741</v>
      </c>
    </row>
    <row r="49" spans="2:11" x14ac:dyDescent="0.25">
      <c r="B49" s="10">
        <v>45</v>
      </c>
      <c r="C49" s="11">
        <v>43936</v>
      </c>
      <c r="D49" s="12">
        <f t="shared" si="0"/>
        <v>344144.02642418194</v>
      </c>
      <c r="E49" s="12">
        <f t="shared" si="1"/>
        <v>68.997574892782282</v>
      </c>
      <c r="F49" s="12">
        <f t="shared" si="7"/>
        <v>20.448640823373037</v>
      </c>
      <c r="G49" s="12">
        <f t="shared" si="7"/>
        <v>2.527360101765209</v>
      </c>
      <c r="H49" s="9"/>
      <c r="I49" s="12">
        <f t="shared" si="3"/>
        <v>8.2880326332242475</v>
      </c>
      <c r="J49" s="12">
        <f t="shared" si="4"/>
        <v>1.8631549176209188</v>
      </c>
      <c r="K49" s="12">
        <f t="shared" si="5"/>
        <v>0.23027757408797897</v>
      </c>
    </row>
    <row r="50" spans="2:11" x14ac:dyDescent="0.25">
      <c r="B50" s="10">
        <v>46</v>
      </c>
      <c r="C50" s="11">
        <v>43937</v>
      </c>
      <c r="D50" s="12">
        <f t="shared" si="0"/>
        <v>344134.92111085122</v>
      </c>
      <c r="E50" s="12">
        <f t="shared" si="1"/>
        <v>75.802969060380221</v>
      </c>
      <c r="F50" s="12">
        <f t="shared" si="7"/>
        <v>22.495568878525578</v>
      </c>
      <c r="G50" s="12">
        <f t="shared" si="7"/>
        <v>2.7803512097054108</v>
      </c>
      <c r="H50" s="9"/>
      <c r="I50" s="12">
        <f t="shared" si="3"/>
        <v>9.1053133306906826</v>
      </c>
      <c r="J50" s="12">
        <f t="shared" si="4"/>
        <v>2.0469280551525406</v>
      </c>
      <c r="K50" s="12">
        <f t="shared" si="5"/>
        <v>0.25299110794020191</v>
      </c>
    </row>
    <row r="51" spans="2:11" x14ac:dyDescent="0.25">
      <c r="B51" s="10">
        <v>47</v>
      </c>
      <c r="C51" s="11">
        <v>43938</v>
      </c>
      <c r="D51" s="12">
        <f t="shared" si="0"/>
        <v>344124.91797622596</v>
      </c>
      <c r="E51" s="12">
        <f t="shared" si="1"/>
        <v>83.2793380503078</v>
      </c>
      <c r="F51" s="12">
        <f t="shared" si="7"/>
        <v>24.744390293983525</v>
      </c>
      <c r="G51" s="12">
        <f t="shared" si="7"/>
        <v>3.0582954295934721</v>
      </c>
      <c r="H51" s="9"/>
      <c r="I51" s="12">
        <f t="shared" si="3"/>
        <v>10.003134625273574</v>
      </c>
      <c r="J51" s="12">
        <f t="shared" si="4"/>
        <v>2.2488214154579462</v>
      </c>
      <c r="K51" s="12">
        <f t="shared" si="5"/>
        <v>0.27794421988806106</v>
      </c>
    </row>
    <row r="52" spans="2:11" x14ac:dyDescent="0.25">
      <c r="B52" s="10">
        <v>48</v>
      </c>
      <c r="C52" s="11">
        <v>43939</v>
      </c>
      <c r="D52" s="12">
        <f t="shared" si="0"/>
        <v>344113.92855327635</v>
      </c>
      <c r="E52" s="12">
        <f t="shared" si="1"/>
        <v>91.492783064934684</v>
      </c>
      <c r="F52" s="12">
        <f t="shared" si="7"/>
        <v>27.215010656142656</v>
      </c>
      <c r="G52" s="12">
        <f t="shared" si="7"/>
        <v>3.3636530024446012</v>
      </c>
      <c r="H52" s="9"/>
      <c r="I52" s="12">
        <f t="shared" si="3"/>
        <v>10.989422949637136</v>
      </c>
      <c r="J52" s="12">
        <f t="shared" si="4"/>
        <v>2.4706203621591309</v>
      </c>
      <c r="K52" s="12">
        <f t="shared" si="5"/>
        <v>0.30535757285112891</v>
      </c>
    </row>
    <row r="53" spans="2:11" x14ac:dyDescent="0.25">
      <c r="B53" s="10">
        <v>49</v>
      </c>
      <c r="C53" s="11">
        <v>43940</v>
      </c>
      <c r="D53" s="12">
        <f t="shared" si="0"/>
        <v>344101.85567065241</v>
      </c>
      <c r="E53" s="12">
        <f t="shared" si="1"/>
        <v>100.51590625337666</v>
      </c>
      <c r="F53" s="12">
        <f t="shared" si="7"/>
        <v>29.929296553735718</v>
      </c>
      <c r="G53" s="12">
        <f t="shared" si="7"/>
        <v>3.6991265403493618</v>
      </c>
      <c r="H53" s="9"/>
      <c r="I53" s="12">
        <f t="shared" si="3"/>
        <v>12.072882623939789</v>
      </c>
      <c r="J53" s="12">
        <f t="shared" si="4"/>
        <v>2.7142858975930624</v>
      </c>
      <c r="K53" s="12">
        <f t="shared" si="5"/>
        <v>0.33547353790476081</v>
      </c>
    </row>
    <row r="54" spans="2:11" x14ac:dyDescent="0.25">
      <c r="B54" s="10">
        <v>50</v>
      </c>
      <c r="C54" s="11">
        <v>43941</v>
      </c>
      <c r="D54" s="12">
        <f t="shared" si="0"/>
        <v>344088.59259891056</v>
      </c>
      <c r="E54" s="12">
        <f t="shared" si="1"/>
        <v>110.42844778675803</v>
      </c>
      <c r="F54" s="12">
        <f t="shared" ref="F54:G69" si="8">F53+J54</f>
        <v>32.911268439252559</v>
      </c>
      <c r="G54" s="12">
        <f t="shared" si="8"/>
        <v>4.0676848632784095</v>
      </c>
      <c r="H54" s="9"/>
      <c r="I54" s="12">
        <f t="shared" si="3"/>
        <v>13.263071741827261</v>
      </c>
      <c r="J54" s="12">
        <f t="shared" si="4"/>
        <v>2.9819718855168404</v>
      </c>
      <c r="K54" s="12">
        <f t="shared" si="5"/>
        <v>0.36855832292904805</v>
      </c>
    </row>
    <row r="55" spans="2:11" x14ac:dyDescent="0.25">
      <c r="B55" s="10">
        <v>51</v>
      </c>
      <c r="C55" s="11">
        <v>43942</v>
      </c>
      <c r="D55" s="12">
        <f t="shared" si="0"/>
        <v>344074.02211354545</v>
      </c>
      <c r="E55" s="12">
        <f t="shared" si="1"/>
        <v>121.31798489230955</v>
      </c>
      <c r="F55" s="12">
        <f t="shared" si="8"/>
        <v>36.187312390259713</v>
      </c>
      <c r="G55" s="12">
        <f t="shared" si="8"/>
        <v>4.4725891718298563</v>
      </c>
      <c r="H55" s="9"/>
      <c r="I55" s="12">
        <f t="shared" si="3"/>
        <v>14.570485365110123</v>
      </c>
      <c r="J55" s="12">
        <f t="shared" si="4"/>
        <v>3.2760439510071544</v>
      </c>
      <c r="K55" s="12">
        <f t="shared" si="5"/>
        <v>0.40490430855144649</v>
      </c>
    </row>
    <row r="56" spans="2:11" x14ac:dyDescent="0.25">
      <c r="B56" s="10">
        <v>52</v>
      </c>
      <c r="C56" s="11">
        <v>43943</v>
      </c>
      <c r="D56" s="12">
        <f t="shared" si="0"/>
        <v>344058.01546683407</v>
      </c>
      <c r="E56" s="12">
        <f t="shared" si="1"/>
        <v>133.28069877397007</v>
      </c>
      <c r="F56" s="12">
        <f t="shared" si="8"/>
        <v>39.78641260873156</v>
      </c>
      <c r="G56" s="12">
        <f t="shared" si="8"/>
        <v>4.9174217831016582</v>
      </c>
      <c r="H56" s="9"/>
      <c r="I56" s="12">
        <f t="shared" si="3"/>
        <v>16.006646711404166</v>
      </c>
      <c r="J56" s="12">
        <f t="shared" si="4"/>
        <v>3.5991002184718495</v>
      </c>
      <c r="K56" s="12">
        <f t="shared" si="5"/>
        <v>0.44483261127180207</v>
      </c>
    </row>
    <row r="57" spans="2:11" x14ac:dyDescent="0.25">
      <c r="B57" s="10">
        <v>53</v>
      </c>
      <c r="C57" s="11">
        <v>43944</v>
      </c>
      <c r="D57" s="12">
        <f t="shared" si="0"/>
        <v>344040.4312597551</v>
      </c>
      <c r="E57" s="12">
        <f t="shared" si="1"/>
        <v>146.42221589378937</v>
      </c>
      <c r="F57" s="12">
        <f t="shared" si="8"/>
        <v>43.740406672359342</v>
      </c>
      <c r="G57" s="12">
        <f t="shared" si="8"/>
        <v>5.4061176786062157</v>
      </c>
      <c r="H57" s="9"/>
      <c r="I57" s="12">
        <f t="shared" si="3"/>
        <v>17.584207078951643</v>
      </c>
      <c r="J57" s="12">
        <f t="shared" si="4"/>
        <v>3.9539940636277788</v>
      </c>
      <c r="K57" s="12">
        <f t="shared" si="5"/>
        <v>0.48869589550455739</v>
      </c>
    </row>
    <row r="58" spans="2:11" x14ac:dyDescent="0.25">
      <c r="B58" s="10">
        <v>54</v>
      </c>
      <c r="C58" s="11">
        <v>43945</v>
      </c>
      <c r="D58" s="12">
        <f t="shared" si="0"/>
        <v>344021.11420443794</v>
      </c>
      <c r="E58" s="12">
        <f t="shared" si="1"/>
        <v>160.85853068114088</v>
      </c>
      <c r="F58" s="12">
        <f t="shared" si="8"/>
        <v>48.084265743875093</v>
      </c>
      <c r="G58" s="12">
        <f t="shared" si="8"/>
        <v>5.9429991368834436</v>
      </c>
      <c r="H58" s="9"/>
      <c r="I58" s="12">
        <f t="shared" si="3"/>
        <v>19.317055317144469</v>
      </c>
      <c r="J58" s="12">
        <f t="shared" si="4"/>
        <v>4.3438590715157508</v>
      </c>
      <c r="K58" s="12">
        <f t="shared" si="5"/>
        <v>0.53688145827722822</v>
      </c>
    </row>
    <row r="59" spans="2:11" x14ac:dyDescent="0.25">
      <c r="B59" s="10">
        <v>55</v>
      </c>
      <c r="C59" s="11">
        <v>43946</v>
      </c>
      <c r="D59" s="12">
        <f t="shared" si="0"/>
        <v>343999.89376671787</v>
      </c>
      <c r="E59" s="12">
        <f t="shared" si="1"/>
        <v>176.71701737848701</v>
      </c>
      <c r="F59" s="12">
        <f t="shared" si="8"/>
        <v>52.856402154082275</v>
      </c>
      <c r="G59" s="12">
        <f t="shared" si="8"/>
        <v>6.5328137493809608</v>
      </c>
      <c r="H59" s="9"/>
      <c r="I59" s="12">
        <f t="shared" si="3"/>
        <v>21.220437720050835</v>
      </c>
      <c r="J59" s="12">
        <f t="shared" si="4"/>
        <v>4.772136410207179</v>
      </c>
      <c r="K59" s="12">
        <f t="shared" si="5"/>
        <v>0.58981461249751699</v>
      </c>
    </row>
    <row r="60" spans="2:11" x14ac:dyDescent="0.25">
      <c r="B60" s="10">
        <v>56</v>
      </c>
      <c r="C60" s="11">
        <v>43947</v>
      </c>
      <c r="D60" s="12">
        <f t="shared" si="0"/>
        <v>343976.5826774243</v>
      </c>
      <c r="E60" s="12">
        <f t="shared" si="1"/>
        <v>194.1375394261058</v>
      </c>
      <c r="F60" s="12">
        <f t="shared" si="8"/>
        <v>58.099007002977388</v>
      </c>
      <c r="G60" s="12">
        <f t="shared" si="8"/>
        <v>7.1807761464354138</v>
      </c>
      <c r="H60" s="9"/>
      <c r="I60" s="12">
        <f t="shared" si="3"/>
        <v>23.311089293568358</v>
      </c>
      <c r="J60" s="12">
        <f t="shared" si="4"/>
        <v>5.2426048488951142</v>
      </c>
      <c r="K60" s="12">
        <f t="shared" si="5"/>
        <v>0.64796239705445291</v>
      </c>
    </row>
    <row r="61" spans="2:11" x14ac:dyDescent="0.25">
      <c r="B61" s="10">
        <v>57</v>
      </c>
      <c r="C61" s="11">
        <v>43948</v>
      </c>
      <c r="D61" s="12">
        <f t="shared" si="0"/>
        <v>343950.97529999964</v>
      </c>
      <c r="E61" s="12">
        <f t="shared" si="1"/>
        <v>213.27366553658422</v>
      </c>
      <c r="F61" s="12">
        <f t="shared" si="8"/>
        <v>63.858420672618522</v>
      </c>
      <c r="G61" s="12">
        <f t="shared" si="8"/>
        <v>7.8926137909978022</v>
      </c>
      <c r="H61" s="9"/>
      <c r="I61" s="12">
        <f t="shared" si="3"/>
        <v>25.607377424681932</v>
      </c>
      <c r="J61" s="12">
        <f t="shared" si="4"/>
        <v>5.7594136696411375</v>
      </c>
      <c r="K61" s="12">
        <f t="shared" si="5"/>
        <v>0.71183764456238852</v>
      </c>
    </row>
    <row r="62" spans="2:11" x14ac:dyDescent="0.25">
      <c r="B62" s="10">
        <v>58</v>
      </c>
      <c r="C62" s="11">
        <v>43949</v>
      </c>
      <c r="D62" s="12">
        <f t="shared" si="0"/>
        <v>343922.84584093606</v>
      </c>
      <c r="E62" s="12">
        <f t="shared" si="1"/>
        <v>234.29400241562615</v>
      </c>
      <c r="F62" s="12">
        <f t="shared" si="8"/>
        <v>70.185539416870526</v>
      </c>
      <c r="G62" s="12">
        <f t="shared" si="8"/>
        <v>8.6746172312986118</v>
      </c>
      <c r="H62" s="9"/>
      <c r="I62" s="12">
        <f t="shared" si="3"/>
        <v>28.129459063594741</v>
      </c>
      <c r="J62" s="12">
        <f t="shared" si="4"/>
        <v>6.3271187442519983</v>
      </c>
      <c r="K62" s="12">
        <f t="shared" si="5"/>
        <v>0.78200344030080948</v>
      </c>
    </row>
    <row r="63" spans="2:11" x14ac:dyDescent="0.25">
      <c r="B63" s="10">
        <v>59</v>
      </c>
      <c r="C63" s="11">
        <v>43950</v>
      </c>
      <c r="D63" s="12">
        <f t="shared" si="0"/>
        <v>343891.94638832007</v>
      </c>
      <c r="E63" s="12">
        <f t="shared" si="1"/>
        <v>257.38365495111435</v>
      </c>
      <c r="F63" s="12">
        <f t="shared" si="8"/>
        <v>77.136261488534103</v>
      </c>
      <c r="G63" s="12">
        <f t="shared" si="8"/>
        <v>9.5336952401559092</v>
      </c>
      <c r="H63" s="9"/>
      <c r="I63" s="12">
        <f t="shared" si="3"/>
        <v>30.899452616009032</v>
      </c>
      <c r="J63" s="12">
        <f t="shared" si="4"/>
        <v>6.9507220716635754</v>
      </c>
      <c r="K63" s="12">
        <f t="shared" si="5"/>
        <v>0.85907800885729668</v>
      </c>
    </row>
    <row r="64" spans="2:11" x14ac:dyDescent="0.25">
      <c r="B64" s="10">
        <v>60</v>
      </c>
      <c r="C64" s="13">
        <v>43951</v>
      </c>
      <c r="D64" s="12">
        <f t="shared" si="0"/>
        <v>343858.0047624869</v>
      </c>
      <c r="E64" s="12">
        <f t="shared" si="1"/>
        <v>282.7458256192678</v>
      </c>
      <c r="F64" s="12">
        <f t="shared" si="8"/>
        <v>84.771976585417164</v>
      </c>
      <c r="G64" s="12">
        <f t="shared" si="8"/>
        <v>10.477435308309996</v>
      </c>
      <c r="H64" s="9"/>
      <c r="I64" s="12">
        <f t="shared" si="3"/>
        <v>33.941625833190642</v>
      </c>
      <c r="J64" s="12">
        <f t="shared" si="4"/>
        <v>7.6357150968830583</v>
      </c>
      <c r="K64" s="12">
        <f t="shared" si="5"/>
        <v>0.94374006815408684</v>
      </c>
    </row>
    <row r="65" spans="2:11" x14ac:dyDescent="0.25">
      <c r="B65" s="10">
        <v>61</v>
      </c>
      <c r="C65" s="11">
        <v>43952</v>
      </c>
      <c r="D65" s="12">
        <f t="shared" si="0"/>
        <v>343820.72216140578</v>
      </c>
      <c r="E65" s="12">
        <f t="shared" si="1"/>
        <v>310.60356584639044</v>
      </c>
      <c r="F65" s="12">
        <f t="shared" si="8"/>
        <v>93.160102745455447</v>
      </c>
      <c r="G65" s="12">
        <f t="shared" si="8"/>
        <v>11.514170002247312</v>
      </c>
      <c r="H65" s="9"/>
      <c r="I65" s="12">
        <f t="shared" si="3"/>
        <v>37.282601081098242</v>
      </c>
      <c r="J65" s="12">
        <f t="shared" si="4"/>
        <v>8.3881261600382775</v>
      </c>
      <c r="K65" s="12">
        <f t="shared" si="5"/>
        <v>1.0367346939373163</v>
      </c>
    </row>
    <row r="66" spans="2:11" x14ac:dyDescent="0.25">
      <c r="B66" s="10">
        <v>62</v>
      </c>
      <c r="C66" s="11">
        <v>43953</v>
      </c>
      <c r="D66" s="12">
        <f t="shared" si="0"/>
        <v>343779.77058193978</v>
      </c>
      <c r="E66" s="12">
        <f t="shared" si="1"/>
        <v>341.20169311750516</v>
      </c>
      <c r="F66" s="12">
        <f t="shared" si="8"/>
        <v>102.37467519889836</v>
      </c>
      <c r="G66" s="12">
        <f t="shared" si="8"/>
        <v>12.653049743684077</v>
      </c>
      <c r="H66" s="9"/>
      <c r="I66" s="12">
        <f t="shared" si="3"/>
        <v>40.951579465994399</v>
      </c>
      <c r="J66" s="12">
        <f t="shared" si="4"/>
        <v>9.2145724534429156</v>
      </c>
      <c r="K66" s="12">
        <f t="shared" si="5"/>
        <v>1.138879741436766</v>
      </c>
    </row>
    <row r="67" spans="2:11" x14ac:dyDescent="0.25">
      <c r="B67" s="10">
        <v>63</v>
      </c>
      <c r="C67" s="11">
        <v>43954</v>
      </c>
      <c r="D67" s="12">
        <f t="shared" si="0"/>
        <v>343734.78999654832</v>
      </c>
      <c r="E67" s="12">
        <f t="shared" si="1"/>
        <v>374.80888873840416</v>
      </c>
      <c r="F67" s="12">
        <f t="shared" si="8"/>
        <v>112.49699209471768</v>
      </c>
      <c r="G67" s="12">
        <f t="shared" si="8"/>
        <v>13.904122618448264</v>
      </c>
      <c r="H67" s="9"/>
      <c r="I67" s="12">
        <f t="shared" si="3"/>
        <v>44.980585391482492</v>
      </c>
      <c r="J67" s="12">
        <f t="shared" si="4"/>
        <v>10.122316895819319</v>
      </c>
      <c r="K67" s="12">
        <f t="shared" si="5"/>
        <v>1.2510728747641866</v>
      </c>
    </row>
    <row r="68" spans="2:11" x14ac:dyDescent="0.25">
      <c r="B68" s="10">
        <v>64</v>
      </c>
      <c r="C68" s="11">
        <v>43955</v>
      </c>
      <c r="D68" s="12">
        <f t="shared" si="0"/>
        <v>343685.38526332896</v>
      </c>
      <c r="E68" s="12">
        <f t="shared" si="1"/>
        <v>411.71999233315427</v>
      </c>
      <c r="F68" s="12">
        <f t="shared" si="8"/>
        <v>123.61632246062368</v>
      </c>
      <c r="G68" s="12">
        <f t="shared" si="8"/>
        <v>15.278421877155747</v>
      </c>
      <c r="H68" s="9"/>
      <c r="I68" s="12">
        <f t="shared" si="3"/>
        <v>49.404733219363571</v>
      </c>
      <c r="J68" s="12">
        <f t="shared" si="4"/>
        <v>11.11933036590599</v>
      </c>
      <c r="K68" s="12">
        <f t="shared" si="5"/>
        <v>1.3742992587074832</v>
      </c>
    </row>
    <row r="69" spans="2:11" x14ac:dyDescent="0.25">
      <c r="B69" s="10">
        <v>65</v>
      </c>
      <c r="C69" s="11">
        <v>43956</v>
      </c>
      <c r="D69" s="12">
        <f t="shared" si="0"/>
        <v>343631.12274552678</v>
      </c>
      <c r="E69" s="12">
        <f t="shared" si="1"/>
        <v>452.25851039087161</v>
      </c>
      <c r="F69" s="12">
        <f t="shared" si="8"/>
        <v>135.83068223317392</v>
      </c>
      <c r="G69" s="12">
        <f t="shared" si="8"/>
        <v>16.788061849043981</v>
      </c>
      <c r="H69" s="9"/>
      <c r="I69" s="12">
        <f t="shared" si="3"/>
        <v>54.262517802155848</v>
      </c>
      <c r="J69" s="12">
        <f t="shared" si="4"/>
        <v>12.214359772550242</v>
      </c>
      <c r="K69" s="12">
        <f t="shared" si="5"/>
        <v>1.5096399718882336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343571.52661478071</v>
      </c>
      <c r="E70" s="12">
        <f t="shared" ref="E70:E133" si="10">E69+I70-J70-K70</f>
        <v>496.77935745726614</v>
      </c>
      <c r="F70" s="12">
        <f t="shared" ref="F70:G85" si="11">F69+J70</f>
        <v>149.24768470810309</v>
      </c>
      <c r="G70" s="12">
        <f t="shared" si="11"/>
        <v>18.446343053810512</v>
      </c>
      <c r="H70" s="9"/>
      <c r="I70" s="12">
        <f t="shared" ref="I70:I133" si="12">E69*N$6*D69/SUM(D69:F69)*N$7</f>
        <v>59.596130746090239</v>
      </c>
      <c r="J70" s="12">
        <f t="shared" ref="J70:J133" si="13">E69*N$8/N$5</f>
        <v>13.417002474929189</v>
      </c>
      <c r="K70" s="12">
        <f t="shared" ref="K70:K133" si="14">E69*N$9/N$5</f>
        <v>1.6582812047665307</v>
      </c>
    </row>
    <row r="71" spans="2:11" x14ac:dyDescent="0.25">
      <c r="B71" s="10">
        <v>67</v>
      </c>
      <c r="C71" s="11">
        <v>43958</v>
      </c>
      <c r="D71" s="12">
        <f t="shared" si="9"/>
        <v>343506.07481043396</v>
      </c>
      <c r="E71" s="12">
        <f t="shared" si="10"/>
        <v>545.67184988875249</v>
      </c>
      <c r="F71" s="12">
        <f t="shared" si="11"/>
        <v>163.98547231266866</v>
      </c>
      <c r="G71" s="12">
        <f t="shared" si="11"/>
        <v>20.267867364487156</v>
      </c>
      <c r="H71" s="9"/>
      <c r="I71" s="12">
        <f t="shared" si="12"/>
        <v>65.451804346728551</v>
      </c>
      <c r="J71" s="12">
        <f t="shared" si="13"/>
        <v>14.737787604565561</v>
      </c>
      <c r="K71" s="12">
        <f t="shared" si="14"/>
        <v>1.8215243106766441</v>
      </c>
    </row>
    <row r="72" spans="2:11" x14ac:dyDescent="0.25">
      <c r="B72" s="10">
        <v>68</v>
      </c>
      <c r="C72" s="11">
        <v>43959</v>
      </c>
      <c r="D72" s="12">
        <f t="shared" si="9"/>
        <v>343434.19462522288</v>
      </c>
      <c r="E72" s="12">
        <f t="shared" si="10"/>
        <v>599.36297343686454</v>
      </c>
      <c r="F72" s="12">
        <f t="shared" si="11"/>
        <v>180.17373719270165</v>
      </c>
      <c r="G72" s="12">
        <f t="shared" si="11"/>
        <v>22.268664147412583</v>
      </c>
      <c r="H72" s="9"/>
      <c r="I72" s="12">
        <f t="shared" si="12"/>
        <v>71.880185211070469</v>
      </c>
      <c r="J72" s="12">
        <f t="shared" si="13"/>
        <v>16.188264880032989</v>
      </c>
      <c r="K72" s="12">
        <f t="shared" si="14"/>
        <v>2.0007967829254278</v>
      </c>
    </row>
    <row r="73" spans="2:11" x14ac:dyDescent="0.25">
      <c r="B73" s="10">
        <v>69</v>
      </c>
      <c r="C73" s="11">
        <v>43960</v>
      </c>
      <c r="D73" s="12">
        <f t="shared" si="9"/>
        <v>343355.25788558775</v>
      </c>
      <c r="E73" s="12">
        <f t="shared" si="10"/>
        <v>658.32094729078631</v>
      </c>
      <c r="F73" s="12">
        <f t="shared" si="11"/>
        <v>197.95483873799529</v>
      </c>
      <c r="G73" s="12">
        <f t="shared" si="11"/>
        <v>24.466328383347754</v>
      </c>
      <c r="H73" s="9"/>
      <c r="I73" s="12">
        <f t="shared" si="12"/>
        <v>78.936739635150502</v>
      </c>
      <c r="J73" s="12">
        <f t="shared" si="13"/>
        <v>17.781101545293648</v>
      </c>
      <c r="K73" s="12">
        <f t="shared" si="14"/>
        <v>2.1976642359351719</v>
      </c>
    </row>
    <row r="74" spans="2:11" x14ac:dyDescent="0.25">
      <c r="B74" s="10">
        <v>70</v>
      </c>
      <c r="C74" s="11">
        <v>43961</v>
      </c>
      <c r="D74" s="12">
        <f t="shared" si="9"/>
        <v>343268.57569274923</v>
      </c>
      <c r="E74" s="12">
        <f t="shared" si="10"/>
        <v>723.05910855294053</v>
      </c>
      <c r="F74" s="12">
        <f t="shared" si="11"/>
        <v>217.48502684095527</v>
      </c>
      <c r="G74" s="12">
        <f t="shared" si="11"/>
        <v>26.880171856747307</v>
      </c>
      <c r="H74" s="9"/>
      <c r="I74" s="12">
        <f t="shared" si="12"/>
        <v>86.682192838513743</v>
      </c>
      <c r="J74" s="12">
        <f t="shared" si="13"/>
        <v>19.53018810295999</v>
      </c>
      <c r="K74" s="12">
        <f t="shared" si="14"/>
        <v>2.413843473399552</v>
      </c>
    </row>
    <row r="75" spans="2:11" x14ac:dyDescent="0.25">
      <c r="B75" s="10">
        <v>71</v>
      </c>
      <c r="C75" s="11">
        <v>43962</v>
      </c>
      <c r="D75" s="12">
        <f t="shared" si="9"/>
        <v>343173.39268859022</v>
      </c>
      <c r="E75" s="12">
        <f t="shared" si="10"/>
        <v>794.1401424268546</v>
      </c>
      <c r="F75" s="12">
        <f t="shared" si="11"/>
        <v>238.9357803946925</v>
      </c>
      <c r="G75" s="12">
        <f t="shared" si="11"/>
        <v>29.53138858810809</v>
      </c>
      <c r="H75" s="9"/>
      <c r="I75" s="12">
        <f t="shared" si="12"/>
        <v>95.183004159012171</v>
      </c>
      <c r="J75" s="12">
        <f t="shared" si="13"/>
        <v>21.450753553737233</v>
      </c>
      <c r="K75" s="12">
        <f t="shared" si="14"/>
        <v>2.6512167313607842</v>
      </c>
    </row>
    <row r="76" spans="2:11" x14ac:dyDescent="0.25">
      <c r="B76" s="10">
        <v>72</v>
      </c>
      <c r="C76" s="11">
        <v>43963</v>
      </c>
      <c r="D76" s="12">
        <f t="shared" si="9"/>
        <v>343068.8808083164</v>
      </c>
      <c r="E76" s="12">
        <f t="shared" si="10"/>
        <v>872.1806846197519</v>
      </c>
      <c r="F76" s="12">
        <f t="shared" si="11"/>
        <v>262.49527128668916</v>
      </c>
      <c r="G76" s="12">
        <f t="shared" si="11"/>
        <v>32.443235777006556</v>
      </c>
      <c r="H76" s="9"/>
      <c r="I76" s="12">
        <f t="shared" si="12"/>
        <v>104.51188027379246</v>
      </c>
      <c r="J76" s="12">
        <f t="shared" si="13"/>
        <v>23.559490891996685</v>
      </c>
      <c r="K76" s="12">
        <f t="shared" si="14"/>
        <v>2.9118471888984696</v>
      </c>
    </row>
    <row r="77" spans="2:11" x14ac:dyDescent="0.25">
      <c r="B77" s="10">
        <v>73</v>
      </c>
      <c r="C77" s="11">
        <v>43964</v>
      </c>
      <c r="D77" s="12">
        <f t="shared" si="9"/>
        <v>342954.13247989258</v>
      </c>
      <c r="E77" s="12">
        <f t="shared" si="10"/>
        <v>957.8563235562732</v>
      </c>
      <c r="F77" s="12">
        <f t="shared" si="11"/>
        <v>288.36996493040846</v>
      </c>
      <c r="G77" s="12">
        <f t="shared" si="11"/>
        <v>35.641231620612317</v>
      </c>
      <c r="H77" s="9"/>
      <c r="I77" s="12">
        <f t="shared" si="12"/>
        <v>114.74832842384636</v>
      </c>
      <c r="J77" s="12">
        <f t="shared" si="13"/>
        <v>25.874693643719304</v>
      </c>
      <c r="K77" s="12">
        <f t="shared" si="14"/>
        <v>3.1979958436057596</v>
      </c>
    </row>
    <row r="78" spans="2:11" x14ac:dyDescent="0.25">
      <c r="B78" s="10">
        <v>74</v>
      </c>
      <c r="C78" s="11">
        <v>43965</v>
      </c>
      <c r="D78" s="12">
        <f t="shared" si="9"/>
        <v>342828.15322842618</v>
      </c>
      <c r="E78" s="12">
        <f t="shared" si="10"/>
        <v>1051.9070309041169</v>
      </c>
      <c r="F78" s="12">
        <f t="shared" si="11"/>
        <v>316.78636919591122</v>
      </c>
      <c r="G78" s="12">
        <f t="shared" si="11"/>
        <v>39.153371473651987</v>
      </c>
      <c r="H78" s="9"/>
      <c r="I78" s="12">
        <f t="shared" si="12"/>
        <v>125.97925146638612</v>
      </c>
      <c r="J78" s="12">
        <f t="shared" si="13"/>
        <v>28.416404265502766</v>
      </c>
      <c r="K78" s="12">
        <f t="shared" si="14"/>
        <v>3.5121398530396712</v>
      </c>
    </row>
    <row r="79" spans="2:11" x14ac:dyDescent="0.25">
      <c r="B79" s="10">
        <v>75</v>
      </c>
      <c r="C79" s="11">
        <v>43966</v>
      </c>
      <c r="D79" s="12">
        <f t="shared" si="9"/>
        <v>342689.85364208109</v>
      </c>
      <c r="E79" s="12">
        <f t="shared" si="10"/>
        <v>1155.1430495524244</v>
      </c>
      <c r="F79" s="12">
        <f t="shared" si="11"/>
        <v>347.9929444460667</v>
      </c>
      <c r="G79" s="12">
        <f t="shared" si="11"/>
        <v>43.010363920300421</v>
      </c>
      <c r="H79" s="9"/>
      <c r="I79" s="12">
        <f t="shared" si="12"/>
        <v>138.29958634511141</v>
      </c>
      <c r="J79" s="12">
        <f t="shared" si="13"/>
        <v>31.206575250155467</v>
      </c>
      <c r="K79" s="12">
        <f t="shared" si="14"/>
        <v>3.8569924466484324</v>
      </c>
    </row>
    <row r="80" spans="2:11" x14ac:dyDescent="0.25">
      <c r="B80" s="10">
        <v>76</v>
      </c>
      <c r="C80" s="11">
        <v>43967</v>
      </c>
      <c r="D80" s="12">
        <f t="shared" si="9"/>
        <v>342538.04065484769</v>
      </c>
      <c r="E80" s="12">
        <f t="shared" si="10"/>
        <v>1268.4512684674335</v>
      </c>
      <c r="F80" s="12">
        <f t="shared" si="11"/>
        <v>382.26218824945528</v>
      </c>
      <c r="G80" s="12">
        <f t="shared" si="11"/>
        <v>47.24588843532598</v>
      </c>
      <c r="H80" s="9"/>
      <c r="I80" s="12">
        <f t="shared" si="12"/>
        <v>151.81298723342337</v>
      </c>
      <c r="J80" s="12">
        <f t="shared" si="13"/>
        <v>34.269243803388584</v>
      </c>
      <c r="K80" s="12">
        <f t="shared" si="14"/>
        <v>4.2355245150255598</v>
      </c>
    </row>
    <row r="81" spans="2:11" x14ac:dyDescent="0.25">
      <c r="B81" s="10">
        <v>77</v>
      </c>
      <c r="C81" s="11">
        <v>43968</v>
      </c>
      <c r="D81" s="12">
        <f t="shared" si="9"/>
        <v>342371.4081007014</v>
      </c>
      <c r="E81" s="12">
        <f t="shared" si="10"/>
        <v>1392.802113664819</v>
      </c>
      <c r="F81" s="12">
        <f t="shared" si="11"/>
        <v>419.89290921398913</v>
      </c>
      <c r="G81" s="12">
        <f t="shared" si="11"/>
        <v>51.896876419706572</v>
      </c>
      <c r="H81" s="9"/>
      <c r="I81" s="12">
        <f t="shared" si="12"/>
        <v>166.63255414629992</v>
      </c>
      <c r="J81" s="12">
        <f t="shared" si="13"/>
        <v>37.630720964533857</v>
      </c>
      <c r="K81" s="12">
        <f t="shared" si="14"/>
        <v>4.6509879843805937</v>
      </c>
    </row>
    <row r="82" spans="2:11" x14ac:dyDescent="0.25">
      <c r="B82" s="10">
        <v>78</v>
      </c>
      <c r="C82" s="11">
        <v>43969</v>
      </c>
      <c r="D82" s="12">
        <f t="shared" si="9"/>
        <v>342188.52649349638</v>
      </c>
      <c r="E82" s="12">
        <f t="shared" si="10"/>
        <v>1529.2569837476808</v>
      </c>
      <c r="F82" s="12">
        <f t="shared" si="11"/>
        <v>461.21270525271211</v>
      </c>
      <c r="G82" s="12">
        <f t="shared" si="11"/>
        <v>57.003817503144248</v>
      </c>
      <c r="H82" s="9"/>
      <c r="I82" s="12">
        <f t="shared" si="12"/>
        <v>182.8816072050225</v>
      </c>
      <c r="J82" s="12">
        <f t="shared" si="13"/>
        <v>41.319796038722963</v>
      </c>
      <c r="K82" s="12">
        <f t="shared" si="14"/>
        <v>5.1069410834376745</v>
      </c>
    </row>
    <row r="83" spans="2:11" x14ac:dyDescent="0.25">
      <c r="B83" s="10">
        <v>79</v>
      </c>
      <c r="C83" s="11">
        <v>43970</v>
      </c>
      <c r="D83" s="12">
        <f t="shared" si="9"/>
        <v>341987.83198755397</v>
      </c>
      <c r="E83" s="12">
        <f t="shared" si="10"/>
        <v>1678.9762568985079</v>
      </c>
      <c r="F83" s="12">
        <f t="shared" si="11"/>
        <v>506.58066243722664</v>
      </c>
      <c r="G83" s="12">
        <f t="shared" si="11"/>
        <v>62.61109311021908</v>
      </c>
      <c r="H83" s="9"/>
      <c r="I83" s="12">
        <f t="shared" si="12"/>
        <v>200.69450594241641</v>
      </c>
      <c r="J83" s="12">
        <f t="shared" si="13"/>
        <v>45.36795718451453</v>
      </c>
      <c r="K83" s="12">
        <f t="shared" si="14"/>
        <v>5.6072756070748353</v>
      </c>
    </row>
    <row r="84" spans="2:11" x14ac:dyDescent="0.25">
      <c r="B84" s="10">
        <v>80</v>
      </c>
      <c r="C84" s="11">
        <v>43971</v>
      </c>
      <c r="D84" s="12">
        <f t="shared" si="9"/>
        <v>341767.61447553767</v>
      </c>
      <c r="E84" s="12">
        <f t="shared" si="10"/>
        <v>1843.2278936848747</v>
      </c>
      <c r="F84" s="12">
        <f t="shared" si="11"/>
        <v>556.39029139188233</v>
      </c>
      <c r="G84" s="12">
        <f t="shared" si="11"/>
        <v>68.767339385513608</v>
      </c>
      <c r="H84" s="9"/>
      <c r="I84" s="12">
        <f t="shared" si="12"/>
        <v>220.2175120163169</v>
      </c>
      <c r="J84" s="12">
        <f t="shared" si="13"/>
        <v>49.809628954655729</v>
      </c>
      <c r="K84" s="12">
        <f t="shared" si="14"/>
        <v>6.1562462752945342</v>
      </c>
    </row>
    <row r="85" spans="2:11" x14ac:dyDescent="0.25">
      <c r="B85" s="10">
        <v>81</v>
      </c>
      <c r="C85" s="11">
        <v>43972</v>
      </c>
      <c r="D85" s="12">
        <f t="shared" si="9"/>
        <v>341526.00478312676</v>
      </c>
      <c r="E85" s="12">
        <f t="shared" si="10"/>
        <v>2023.3966563062954</v>
      </c>
      <c r="F85" s="12">
        <f t="shared" si="11"/>
        <v>611.07271890453364</v>
      </c>
      <c r="G85" s="12">
        <f t="shared" si="11"/>
        <v>75.525841662358161</v>
      </c>
      <c r="H85" s="9"/>
      <c r="I85" s="12">
        <f t="shared" si="12"/>
        <v>241.60969241091638</v>
      </c>
      <c r="J85" s="12">
        <f t="shared" si="13"/>
        <v>54.68242751265128</v>
      </c>
      <c r="K85" s="12">
        <f t="shared" si="14"/>
        <v>6.7585022768445473</v>
      </c>
    </row>
    <row r="86" spans="2:11" x14ac:dyDescent="0.25">
      <c r="B86" s="10">
        <v>82</v>
      </c>
      <c r="C86" s="11">
        <v>43973</v>
      </c>
      <c r="D86" s="12">
        <f t="shared" si="9"/>
        <v>341260.96092452883</v>
      </c>
      <c r="E86" s="12">
        <f t="shared" si="10"/>
        <v>2220.9939596940098</v>
      </c>
      <c r="F86" s="12">
        <f t="shared" ref="F86:G101" si="15">F85+J86</f>
        <v>671.10015304162039</v>
      </c>
      <c r="G86" s="12">
        <f t="shared" si="15"/>
        <v>82.944962735481255</v>
      </c>
      <c r="H86" s="9"/>
      <c r="I86" s="12">
        <f t="shared" si="12"/>
        <v>265.04385859792461</v>
      </c>
      <c r="J86" s="12">
        <f t="shared" si="13"/>
        <v>60.027434137086757</v>
      </c>
      <c r="K86" s="12">
        <f t="shared" si="14"/>
        <v>7.4191210731230903</v>
      </c>
    </row>
    <row r="87" spans="2:11" x14ac:dyDescent="0.25">
      <c r="B87" s="10">
        <v>83</v>
      </c>
      <c r="C87" s="11">
        <v>43974</v>
      </c>
      <c r="D87" s="12">
        <f t="shared" si="9"/>
        <v>340970.25338938576</v>
      </c>
      <c r="E87" s="12">
        <f t="shared" si="10"/>
        <v>2437.6683628472879</v>
      </c>
      <c r="F87" s="12">
        <f t="shared" si="15"/>
        <v>736.98964051254268</v>
      </c>
      <c r="G87" s="12">
        <f t="shared" si="15"/>
        <v>91.088607254359303</v>
      </c>
      <c r="H87" s="9"/>
      <c r="I87" s="12">
        <f t="shared" si="12"/>
        <v>290.70753514307825</v>
      </c>
      <c r="J87" s="12">
        <f t="shared" si="13"/>
        <v>65.889487470922276</v>
      </c>
      <c r="K87" s="12">
        <f t="shared" si="14"/>
        <v>8.1436445188780429</v>
      </c>
    </row>
    <row r="88" spans="2:11" x14ac:dyDescent="0.25">
      <c r="B88" s="10">
        <v>84</v>
      </c>
      <c r="C88" s="11">
        <v>43975</v>
      </c>
      <c r="D88" s="12">
        <f t="shared" si="9"/>
        <v>340651.44944057416</v>
      </c>
      <c r="E88" s="12">
        <f t="shared" si="10"/>
        <v>2675.2166995639955</v>
      </c>
      <c r="F88" s="12">
        <f t="shared" si="15"/>
        <v>809.30713527701221</v>
      </c>
      <c r="G88" s="12">
        <f t="shared" si="15"/>
        <v>100.02672458479937</v>
      </c>
      <c r="H88" s="9"/>
      <c r="I88" s="12">
        <f t="shared" si="12"/>
        <v>318.8039488116172</v>
      </c>
      <c r="J88" s="12">
        <f t="shared" si="13"/>
        <v>72.317494764469529</v>
      </c>
      <c r="K88" s="12">
        <f t="shared" si="14"/>
        <v>8.938117330440063</v>
      </c>
    </row>
    <row r="89" spans="2:11" x14ac:dyDescent="0.25">
      <c r="B89" s="10">
        <v>85</v>
      </c>
      <c r="C89" s="11">
        <v>43976</v>
      </c>
      <c r="D89" s="12">
        <f t="shared" si="9"/>
        <v>340301.89641430014</v>
      </c>
      <c r="E89" s="12">
        <f t="shared" si="10"/>
        <v>2935.5958358525641</v>
      </c>
      <c r="F89" s="12">
        <f t="shared" si="15"/>
        <v>888.67189736407738</v>
      </c>
      <c r="G89" s="12">
        <f t="shared" si="15"/>
        <v>109.8358524832007</v>
      </c>
      <c r="H89" s="9"/>
      <c r="I89" s="12">
        <f t="shared" si="12"/>
        <v>349.55302627403483</v>
      </c>
      <c r="J89" s="12">
        <f t="shared" si="13"/>
        <v>79.364762087065188</v>
      </c>
      <c r="K89" s="12">
        <f t="shared" si="14"/>
        <v>9.809127898401325</v>
      </c>
    </row>
    <row r="90" spans="2:11" x14ac:dyDescent="0.25">
      <c r="B90" s="10">
        <v>86</v>
      </c>
      <c r="C90" s="11">
        <v>43977</v>
      </c>
      <c r="D90" s="12">
        <f t="shared" si="9"/>
        <v>339918.7040293421</v>
      </c>
      <c r="E90" s="12">
        <f t="shared" si="10"/>
        <v>3220.9350262821731</v>
      </c>
      <c r="F90" s="12">
        <f t="shared" si="15"/>
        <v>975.7612404943701</v>
      </c>
      <c r="G90" s="12">
        <f t="shared" si="15"/>
        <v>120.59970388132677</v>
      </c>
      <c r="H90" s="9"/>
      <c r="I90" s="12">
        <f t="shared" si="12"/>
        <v>383.1923849580275</v>
      </c>
      <c r="J90" s="12">
        <f t="shared" si="13"/>
        <v>87.089343130292718</v>
      </c>
      <c r="K90" s="12">
        <f t="shared" si="14"/>
        <v>10.763851398126077</v>
      </c>
    </row>
    <row r="91" spans="2:11" x14ac:dyDescent="0.25">
      <c r="B91" s="10">
        <v>87</v>
      </c>
      <c r="C91" s="11">
        <v>43978</v>
      </c>
      <c r="D91" s="12">
        <f t="shared" si="9"/>
        <v>339498.72573199769</v>
      </c>
      <c r="E91" s="12">
        <f t="shared" si="10"/>
        <v>3533.5488227504834</v>
      </c>
      <c r="F91" s="12">
        <f t="shared" si="15"/>
        <v>1071.3156462740747</v>
      </c>
      <c r="G91" s="12">
        <f t="shared" si="15"/>
        <v>132.40979897769475</v>
      </c>
      <c r="H91" s="9"/>
      <c r="I91" s="12">
        <f t="shared" si="12"/>
        <v>419.97829734438318</v>
      </c>
      <c r="J91" s="12">
        <f t="shared" si="13"/>
        <v>95.554405779704453</v>
      </c>
      <c r="K91" s="12">
        <f t="shared" si="14"/>
        <v>11.810095096367979</v>
      </c>
    </row>
    <row r="92" spans="2:11" x14ac:dyDescent="0.25">
      <c r="B92" s="10">
        <v>88</v>
      </c>
      <c r="C92" s="11">
        <v>43979</v>
      </c>
      <c r="D92" s="12">
        <f t="shared" si="9"/>
        <v>339038.53912802943</v>
      </c>
      <c r="E92" s="12">
        <f t="shared" si="10"/>
        <v>3875.9504659604045</v>
      </c>
      <c r="F92" s="12">
        <f t="shared" si="15"/>
        <v>1176.1442613490055</v>
      </c>
      <c r="G92" s="12">
        <f t="shared" si="15"/>
        <v>145.3661446611132</v>
      </c>
      <c r="H92" s="9"/>
      <c r="I92" s="12">
        <f t="shared" si="12"/>
        <v>460.18660396827033</v>
      </c>
      <c r="J92" s="12">
        <f t="shared" si="13"/>
        <v>104.82861507493099</v>
      </c>
      <c r="K92" s="12">
        <f t="shared" si="14"/>
        <v>12.95634568341845</v>
      </c>
    </row>
    <row r="93" spans="2:11" x14ac:dyDescent="0.25">
      <c r="B93" s="10">
        <v>89</v>
      </c>
      <c r="C93" s="11">
        <v>43980</v>
      </c>
      <c r="D93" s="12">
        <f t="shared" si="9"/>
        <v>338534.42558356462</v>
      </c>
      <c r="E93" s="12">
        <f t="shared" si="10"/>
        <v>4250.8656615598748</v>
      </c>
      <c r="F93" s="12">
        <f t="shared" si="15"/>
        <v>1291.1307918391642</v>
      </c>
      <c r="G93" s="12">
        <f t="shared" si="15"/>
        <v>159.57796303630136</v>
      </c>
      <c r="H93" s="9"/>
      <c r="I93" s="12">
        <f t="shared" si="12"/>
        <v>504.11354446481675</v>
      </c>
      <c r="J93" s="12">
        <f t="shared" si="13"/>
        <v>114.98653049015866</v>
      </c>
      <c r="K93" s="12">
        <f t="shared" si="14"/>
        <v>14.211818375188162</v>
      </c>
    </row>
    <row r="94" spans="2:11" x14ac:dyDescent="0.25">
      <c r="B94" s="10">
        <v>90</v>
      </c>
      <c r="C94" s="11">
        <v>43981</v>
      </c>
      <c r="D94" s="12">
        <f t="shared" si="9"/>
        <v>337982.3491144728</v>
      </c>
      <c r="E94" s="12">
        <f t="shared" si="10"/>
        <v>4661.2466085997094</v>
      </c>
      <c r="F94" s="12">
        <f t="shared" si="15"/>
        <v>1417.2398064654406</v>
      </c>
      <c r="G94" s="12">
        <f t="shared" si="15"/>
        <v>175.16447046202092</v>
      </c>
      <c r="H94" s="9"/>
      <c r="I94" s="12">
        <f t="shared" si="12"/>
        <v>552.07646909183075</v>
      </c>
      <c r="J94" s="12">
        <f t="shared" si="13"/>
        <v>126.10901462627628</v>
      </c>
      <c r="K94" s="12">
        <f t="shared" si="14"/>
        <v>15.586507425719555</v>
      </c>
    </row>
    <row r="95" spans="2:11" x14ac:dyDescent="0.25">
      <c r="B95" s="10">
        <v>91</v>
      </c>
      <c r="C95" s="13">
        <v>43982</v>
      </c>
      <c r="D95" s="12">
        <f t="shared" si="9"/>
        <v>337377.93472928996</v>
      </c>
      <c r="E95" s="12">
        <f t="shared" si="10"/>
        <v>5110.2861068292395</v>
      </c>
      <c r="F95" s="12">
        <f t="shared" si="15"/>
        <v>1555.5234558538987</v>
      </c>
      <c r="G95" s="12">
        <f t="shared" si="15"/>
        <v>192.25570802688654</v>
      </c>
      <c r="H95" s="9"/>
      <c r="I95" s="12">
        <f t="shared" si="12"/>
        <v>604.41438518285395</v>
      </c>
      <c r="J95" s="12">
        <f t="shared" si="13"/>
        <v>138.28364938845803</v>
      </c>
      <c r="K95" s="12">
        <f t="shared" si="14"/>
        <v>17.091237564865615</v>
      </c>
    </row>
    <row r="96" spans="2:11" x14ac:dyDescent="0.25">
      <c r="B96" s="10">
        <v>92</v>
      </c>
      <c r="C96" s="11">
        <v>43983</v>
      </c>
      <c r="D96" s="12">
        <f t="shared" si="9"/>
        <v>336716.44644543447</v>
      </c>
      <c r="E96" s="12">
        <f t="shared" si="10"/>
        <v>5601.4315204570867</v>
      </c>
      <c r="F96" s="12">
        <f t="shared" si="15"/>
        <v>1707.1286103564994</v>
      </c>
      <c r="G96" s="12">
        <f t="shared" si="15"/>
        <v>210.99342375192711</v>
      </c>
      <c r="H96" s="9"/>
      <c r="I96" s="12">
        <f t="shared" si="12"/>
        <v>661.4882838554887</v>
      </c>
      <c r="J96" s="12">
        <f t="shared" si="13"/>
        <v>151.60515450260075</v>
      </c>
      <c r="K96" s="12">
        <f t="shared" si="14"/>
        <v>18.737715725040562</v>
      </c>
    </row>
    <row r="97" spans="2:11" x14ac:dyDescent="0.25">
      <c r="B97" s="10">
        <v>93</v>
      </c>
      <c r="C97" s="11">
        <v>43984</v>
      </c>
      <c r="D97" s="12">
        <f t="shared" si="9"/>
        <v>335992.76526345965</v>
      </c>
      <c r="E97" s="12">
        <f t="shared" si="10"/>
        <v>6138.3983184166873</v>
      </c>
      <c r="F97" s="12">
        <f t="shared" si="15"/>
        <v>1873.3044121300595</v>
      </c>
      <c r="G97" s="12">
        <f t="shared" si="15"/>
        <v>231.53200599360312</v>
      </c>
      <c r="H97" s="9"/>
      <c r="I97" s="12">
        <f t="shared" si="12"/>
        <v>723.68118197483614</v>
      </c>
      <c r="J97" s="12">
        <f t="shared" si="13"/>
        <v>166.17580177356021</v>
      </c>
      <c r="K97" s="12">
        <f t="shared" si="14"/>
        <v>20.538582241676004</v>
      </c>
    </row>
    <row r="98" spans="2:11" x14ac:dyDescent="0.25">
      <c r="B98" s="10">
        <v>94</v>
      </c>
      <c r="C98" s="11">
        <v>43985</v>
      </c>
      <c r="D98" s="12">
        <f t="shared" si="9"/>
        <v>335201.36746061634</v>
      </c>
      <c r="E98" s="12">
        <f t="shared" si="10"/>
        <v>6725.1828439794099</v>
      </c>
      <c r="F98" s="12">
        <f t="shared" si="15"/>
        <v>2055.4102289097546</v>
      </c>
      <c r="G98" s="12">
        <f t="shared" si="15"/>
        <v>254.03946649446434</v>
      </c>
      <c r="H98" s="9"/>
      <c r="I98" s="12">
        <f t="shared" si="12"/>
        <v>791.39780284327958</v>
      </c>
      <c r="J98" s="12">
        <f t="shared" si="13"/>
        <v>182.10581677969503</v>
      </c>
      <c r="K98" s="12">
        <f t="shared" si="14"/>
        <v>22.507460500861207</v>
      </c>
    </row>
    <row r="99" spans="2:11" x14ac:dyDescent="0.25">
      <c r="B99" s="10">
        <v>95</v>
      </c>
      <c r="C99" s="11">
        <v>43986</v>
      </c>
      <c r="D99" s="12">
        <f t="shared" si="9"/>
        <v>334336.30365420587</v>
      </c>
      <c r="E99" s="12">
        <f t="shared" si="10"/>
        <v>7366.073888923881</v>
      </c>
      <c r="F99" s="12">
        <f t="shared" si="15"/>
        <v>2254.9239866144771</v>
      </c>
      <c r="G99" s="12">
        <f t="shared" si="15"/>
        <v>278.69847025572221</v>
      </c>
      <c r="H99" s="9"/>
      <c r="I99" s="12">
        <f t="shared" si="12"/>
        <v>865.06380641045132</v>
      </c>
      <c r="J99" s="12">
        <f t="shared" si="13"/>
        <v>199.51375770472248</v>
      </c>
      <c r="K99" s="12">
        <f t="shared" si="14"/>
        <v>24.659003761257857</v>
      </c>
    </row>
    <row r="100" spans="2:11" x14ac:dyDescent="0.25">
      <c r="B100" s="10">
        <v>96</v>
      </c>
      <c r="C100" s="11">
        <v>43987</v>
      </c>
      <c r="D100" s="12">
        <f t="shared" si="9"/>
        <v>333391.17918809399</v>
      </c>
      <c r="E100" s="12">
        <f t="shared" si="10"/>
        <v>8065.6625587383132</v>
      </c>
      <c r="F100" s="12">
        <f t="shared" si="15"/>
        <v>2473.4508453192188</v>
      </c>
      <c r="G100" s="12">
        <f t="shared" si="15"/>
        <v>305.70740784844315</v>
      </c>
      <c r="H100" s="9"/>
      <c r="I100" s="12">
        <f t="shared" si="12"/>
        <v>945.12446611189478</v>
      </c>
      <c r="J100" s="12">
        <f t="shared" si="13"/>
        <v>218.52685870474178</v>
      </c>
      <c r="K100" s="12">
        <f t="shared" si="14"/>
        <v>27.008937592720923</v>
      </c>
    </row>
    <row r="101" spans="2:11" x14ac:dyDescent="0.25">
      <c r="B101" s="10">
        <v>97</v>
      </c>
      <c r="C101" s="11">
        <v>43988</v>
      </c>
      <c r="D101" s="12">
        <f t="shared" si="9"/>
        <v>332359.13651308446</v>
      </c>
      <c r="E101" s="12">
        <f t="shared" si="10"/>
        <v>8828.8498151232343</v>
      </c>
      <c r="F101" s="12">
        <f t="shared" si="15"/>
        <v>2712.7321678951221</v>
      </c>
      <c r="G101" s="12">
        <f t="shared" si="15"/>
        <v>335.28150389715034</v>
      </c>
      <c r="H101" s="9"/>
      <c r="I101" s="12">
        <f t="shared" si="12"/>
        <v>1032.042675009533</v>
      </c>
      <c r="J101" s="12">
        <f t="shared" si="13"/>
        <v>239.28132257590326</v>
      </c>
      <c r="K101" s="12">
        <f t="shared" si="14"/>
        <v>29.574096048707176</v>
      </c>
    </row>
    <row r="102" spans="2:11" x14ac:dyDescent="0.25">
      <c r="B102" s="10">
        <v>98</v>
      </c>
      <c r="C102" s="11">
        <v>43989</v>
      </c>
      <c r="D102" s="12">
        <f t="shared" si="9"/>
        <v>331232.84036395082</v>
      </c>
      <c r="E102" s="12">
        <f t="shared" si="10"/>
        <v>9660.8509704194676</v>
      </c>
      <c r="F102" s="12">
        <f t="shared" ref="F102:G117" si="16">F101+J102</f>
        <v>2974.6547124104445</v>
      </c>
      <c r="G102" s="12">
        <f t="shared" si="16"/>
        <v>367.65395321926889</v>
      </c>
      <c r="H102" s="9"/>
      <c r="I102" s="12">
        <f t="shared" si="12"/>
        <v>1126.2961491336744</v>
      </c>
      <c r="J102" s="12">
        <f t="shared" si="13"/>
        <v>261.92254451532261</v>
      </c>
      <c r="K102" s="12">
        <f t="shared" si="14"/>
        <v>32.372449322118555</v>
      </c>
    </row>
    <row r="103" spans="2:11" x14ac:dyDescent="0.25">
      <c r="B103" s="10">
        <v>99</v>
      </c>
      <c r="C103" s="11">
        <v>43990</v>
      </c>
      <c r="D103" s="12">
        <f t="shared" si="9"/>
        <v>330004.46668252593</v>
      </c>
      <c r="E103" s="12">
        <f t="shared" si="10"/>
        <v>10567.196286163682</v>
      </c>
      <c r="F103" s="12">
        <f t="shared" si="16"/>
        <v>3261.2599578662221</v>
      </c>
      <c r="G103" s="12">
        <f t="shared" si="16"/>
        <v>403.0770734441403</v>
      </c>
      <c r="H103" s="9"/>
      <c r="I103" s="12">
        <f t="shared" si="12"/>
        <v>1228.3736814248634</v>
      </c>
      <c r="J103" s="12">
        <f t="shared" si="13"/>
        <v>286.60524545577749</v>
      </c>
      <c r="K103" s="12">
        <f t="shared" si="14"/>
        <v>35.423120224871418</v>
      </c>
    </row>
    <row r="104" spans="2:11" x14ac:dyDescent="0.25">
      <c r="B104" s="10">
        <v>100</v>
      </c>
      <c r="C104" s="11">
        <v>43991</v>
      </c>
      <c r="D104" s="12">
        <f t="shared" si="9"/>
        <v>328665.6963962242</v>
      </c>
      <c r="E104" s="12">
        <f t="shared" si="10"/>
        <v>11553.726696259944</v>
      </c>
      <c r="F104" s="12">
        <f t="shared" si="16"/>
        <v>3574.7534476890778</v>
      </c>
      <c r="G104" s="12">
        <f t="shared" si="16"/>
        <v>441.82345982674053</v>
      </c>
      <c r="H104" s="9"/>
      <c r="I104" s="12">
        <f t="shared" si="12"/>
        <v>1338.7702863017187</v>
      </c>
      <c r="J104" s="12">
        <f t="shared" si="13"/>
        <v>313.49348982285585</v>
      </c>
      <c r="K104" s="12">
        <f t="shared" si="14"/>
        <v>38.746386382600207</v>
      </c>
    </row>
    <row r="105" spans="2:11" x14ac:dyDescent="0.25">
      <c r="B105" s="10">
        <v>101</v>
      </c>
      <c r="C105" s="11">
        <v>43992</v>
      </c>
      <c r="D105" s="12">
        <f t="shared" si="9"/>
        <v>327207.71533242817</v>
      </c>
      <c r="E105" s="12">
        <f t="shared" si="10"/>
        <v>12626.583536847322</v>
      </c>
      <c r="F105" s="12">
        <f t="shared" si="16"/>
        <v>3917.5140063447893</v>
      </c>
      <c r="G105" s="12">
        <f t="shared" si="16"/>
        <v>484.18712437969373</v>
      </c>
      <c r="H105" s="9"/>
      <c r="I105" s="12">
        <f t="shared" si="12"/>
        <v>1457.9810637960411</v>
      </c>
      <c r="J105" s="12">
        <f t="shared" si="13"/>
        <v>342.76055865571163</v>
      </c>
      <c r="K105" s="12">
        <f t="shared" si="14"/>
        <v>42.363664552953168</v>
      </c>
    </row>
    <row r="106" spans="2:11" x14ac:dyDescent="0.25">
      <c r="B106" s="10">
        <v>102</v>
      </c>
      <c r="C106" s="11">
        <v>43993</v>
      </c>
      <c r="D106" s="12">
        <f t="shared" si="9"/>
        <v>325621.22172751621</v>
      </c>
      <c r="E106" s="12">
        <f t="shared" si="10"/>
        <v>13792.19102386434</v>
      </c>
      <c r="F106" s="12">
        <f t="shared" si="16"/>
        <v>4292.1026512712597</v>
      </c>
      <c r="G106" s="12">
        <f t="shared" si="16"/>
        <v>530.484597348134</v>
      </c>
      <c r="H106" s="9"/>
      <c r="I106" s="12">
        <f t="shared" si="12"/>
        <v>1586.4936049119297</v>
      </c>
      <c r="J106" s="12">
        <f t="shared" si="13"/>
        <v>374.58864492647052</v>
      </c>
      <c r="K106" s="12">
        <f t="shared" si="14"/>
        <v>46.297472968440225</v>
      </c>
    </row>
    <row r="107" spans="2:11" x14ac:dyDescent="0.25">
      <c r="B107" s="10">
        <v>103</v>
      </c>
      <c r="C107" s="11">
        <v>43994</v>
      </c>
      <c r="D107" s="12">
        <f t="shared" si="9"/>
        <v>323896.44296921726</v>
      </c>
      <c r="E107" s="12">
        <f t="shared" si="10"/>
        <v>15057.230081367788</v>
      </c>
      <c r="F107" s="12">
        <f t="shared" si="16"/>
        <v>4701.2709849792354</v>
      </c>
      <c r="G107" s="12">
        <f t="shared" si="16"/>
        <v>581.05596443563661</v>
      </c>
      <c r="H107" s="9"/>
      <c r="I107" s="12">
        <f t="shared" si="12"/>
        <v>1724.7787582989272</v>
      </c>
      <c r="J107" s="12">
        <f t="shared" si="13"/>
        <v>409.16833370797536</v>
      </c>
      <c r="K107" s="12">
        <f t="shared" si="14"/>
        <v>50.571367087502622</v>
      </c>
    </row>
    <row r="108" spans="2:11" x14ac:dyDescent="0.25">
      <c r="B108" s="10">
        <v>104</v>
      </c>
      <c r="C108" s="11">
        <v>43995</v>
      </c>
      <c r="D108" s="12">
        <f t="shared" si="9"/>
        <v>322023.16338437836</v>
      </c>
      <c r="E108" s="12">
        <f t="shared" si="10"/>
        <v>16428.601996827783</v>
      </c>
      <c r="F108" s="12">
        <f t="shared" si="16"/>
        <v>5147.9688107264801</v>
      </c>
      <c r="G108" s="12">
        <f t="shared" si="16"/>
        <v>636.26580806731852</v>
      </c>
      <c r="H108" s="9"/>
      <c r="I108" s="12">
        <f t="shared" si="12"/>
        <v>1873.2795848389212</v>
      </c>
      <c r="J108" s="12">
        <f t="shared" si="13"/>
        <v>446.69782574724434</v>
      </c>
      <c r="K108" s="12">
        <f t="shared" si="14"/>
        <v>55.209843631681935</v>
      </c>
    </row>
    <row r="109" spans="2:11" x14ac:dyDescent="0.25">
      <c r="B109" s="10">
        <v>105</v>
      </c>
      <c r="C109" s="11">
        <v>43996</v>
      </c>
      <c r="D109" s="12">
        <f t="shared" si="9"/>
        <v>319990.76504023385</v>
      </c>
      <c r="E109" s="12">
        <f t="shared" si="10"/>
        <v>17913.380274411389</v>
      </c>
      <c r="F109" s="12">
        <f t="shared" si="16"/>
        <v>5635.3506699657046</v>
      </c>
      <c r="G109" s="12">
        <f t="shared" si="16"/>
        <v>696.50401538902042</v>
      </c>
      <c r="H109" s="9"/>
      <c r="I109" s="12">
        <f t="shared" si="12"/>
        <v>2032.39834414453</v>
      </c>
      <c r="J109" s="12">
        <f t="shared" si="13"/>
        <v>487.38185923922418</v>
      </c>
      <c r="K109" s="12">
        <f t="shared" si="14"/>
        <v>60.238207321701921</v>
      </c>
    </row>
    <row r="110" spans="2:11" x14ac:dyDescent="0.25">
      <c r="B110" s="10">
        <v>106</v>
      </c>
      <c r="C110" s="11">
        <v>43997</v>
      </c>
      <c r="D110" s="12">
        <f t="shared" si="9"/>
        <v>317788.28365174355</v>
      </c>
      <c r="E110" s="12">
        <f t="shared" si="10"/>
        <v>19518.748987087994</v>
      </c>
      <c r="F110" s="12">
        <f t="shared" si="16"/>
        <v>6166.7809514399087</v>
      </c>
      <c r="G110" s="12">
        <f t="shared" si="16"/>
        <v>762.18640972852893</v>
      </c>
      <c r="H110" s="9"/>
      <c r="I110" s="12">
        <f t="shared" si="12"/>
        <v>2202.4813884903192</v>
      </c>
      <c r="J110" s="12">
        <f t="shared" si="13"/>
        <v>531.43028147420443</v>
      </c>
      <c r="K110" s="12">
        <f t="shared" si="14"/>
        <v>65.682394339508477</v>
      </c>
    </row>
    <row r="111" spans="2:11" x14ac:dyDescent="0.25">
      <c r="B111" s="10">
        <v>107</v>
      </c>
      <c r="C111" s="11">
        <v>43998</v>
      </c>
      <c r="D111" s="12">
        <f t="shared" si="9"/>
        <v>315404.48176282097</v>
      </c>
      <c r="E111" s="12">
        <f t="shared" si="10"/>
        <v>21251.925909774331</v>
      </c>
      <c r="F111" s="12">
        <f t="shared" si="16"/>
        <v>6745.8371713901861</v>
      </c>
      <c r="G111" s="12">
        <f t="shared" si="16"/>
        <v>833.75515601451832</v>
      </c>
      <c r="H111" s="9"/>
      <c r="I111" s="12">
        <f t="shared" si="12"/>
        <v>2383.8018889226028</v>
      </c>
      <c r="J111" s="12">
        <f t="shared" si="13"/>
        <v>579.05621995027707</v>
      </c>
      <c r="K111" s="12">
        <f t="shared" si="14"/>
        <v>71.568746285989377</v>
      </c>
    </row>
    <row r="112" spans="2:11" x14ac:dyDescent="0.25">
      <c r="B112" s="10">
        <v>108</v>
      </c>
      <c r="C112" s="11">
        <v>43999</v>
      </c>
      <c r="D112" s="12">
        <f t="shared" si="9"/>
        <v>312827.94137385965</v>
      </c>
      <c r="E112" s="12">
        <f t="shared" si="10"/>
        <v>23120.068768409863</v>
      </c>
      <c r="F112" s="12">
        <f t="shared" si="16"/>
        <v>7376.3109733801575</v>
      </c>
      <c r="G112" s="12">
        <f t="shared" si="16"/>
        <v>911.67888435035763</v>
      </c>
      <c r="H112" s="9"/>
      <c r="I112" s="12">
        <f t="shared" si="12"/>
        <v>2576.5403889613403</v>
      </c>
      <c r="J112" s="12">
        <f t="shared" si="13"/>
        <v>630.47380198997178</v>
      </c>
      <c r="K112" s="12">
        <f t="shared" si="14"/>
        <v>77.923728335839286</v>
      </c>
    </row>
    <row r="113" spans="2:11" x14ac:dyDescent="0.25">
      <c r="B113" s="10">
        <v>109</v>
      </c>
      <c r="C113" s="11">
        <v>44000</v>
      </c>
      <c r="D113" s="12">
        <f t="shared" si="9"/>
        <v>310047.17809681065</v>
      </c>
      <c r="E113" s="12">
        <f t="shared" si="10"/>
        <v>25130.16308651185</v>
      </c>
      <c r="F113" s="12">
        <f t="shared" si="16"/>
        <v>8062.2063468429833</v>
      </c>
      <c r="G113" s="12">
        <f t="shared" si="16"/>
        <v>996.45246983452716</v>
      </c>
      <c r="H113" s="9"/>
      <c r="I113" s="12">
        <f t="shared" si="12"/>
        <v>2780.763277048984</v>
      </c>
      <c r="J113" s="12">
        <f t="shared" si="13"/>
        <v>685.89537346282589</v>
      </c>
      <c r="K113" s="12">
        <f t="shared" si="14"/>
        <v>84.773585484169573</v>
      </c>
    </row>
    <row r="114" spans="2:11" x14ac:dyDescent="0.25">
      <c r="B114" s="10">
        <v>110</v>
      </c>
      <c r="C114" s="11">
        <v>44001</v>
      </c>
      <c r="D114" s="12">
        <f t="shared" si="9"/>
        <v>307050.77870399033</v>
      </c>
      <c r="E114" s="12">
        <f t="shared" si="10"/>
        <v>27288.890376448428</v>
      </c>
      <c r="F114" s="12">
        <f t="shared" si="16"/>
        <v>8807.7345184095011</v>
      </c>
      <c r="G114" s="12">
        <f t="shared" si="16"/>
        <v>1088.5964011517374</v>
      </c>
      <c r="H114" s="9"/>
      <c r="I114" s="12">
        <f t="shared" si="12"/>
        <v>2996.3993928203049</v>
      </c>
      <c r="J114" s="12">
        <f t="shared" si="13"/>
        <v>745.52817156651815</v>
      </c>
      <c r="K114" s="12">
        <f t="shared" si="14"/>
        <v>92.143931317210203</v>
      </c>
    </row>
    <row r="115" spans="2:11" x14ac:dyDescent="0.25">
      <c r="B115" s="10">
        <v>111</v>
      </c>
      <c r="C115" s="11">
        <v>44002</v>
      </c>
      <c r="D115" s="12">
        <f t="shared" si="9"/>
        <v>303827.56356761581</v>
      </c>
      <c r="E115" s="12">
        <f t="shared" si="10"/>
        <v>29602.47583360803</v>
      </c>
      <c r="F115" s="12">
        <f t="shared" si="16"/>
        <v>9617.3049329108035</v>
      </c>
      <c r="G115" s="12">
        <f t="shared" si="16"/>
        <v>1188.6556658653817</v>
      </c>
      <c r="H115" s="9"/>
      <c r="I115" s="12">
        <f t="shared" si="12"/>
        <v>3223.2151363745488</v>
      </c>
      <c r="J115" s="12">
        <f t="shared" si="13"/>
        <v>809.57041450130316</v>
      </c>
      <c r="K115" s="12">
        <f t="shared" si="14"/>
        <v>100.05926471364432</v>
      </c>
    </row>
    <row r="116" spans="2:11" x14ac:dyDescent="0.25">
      <c r="B116" s="10">
        <v>112</v>
      </c>
      <c r="C116" s="11">
        <v>44003</v>
      </c>
      <c r="D116" s="12">
        <f t="shared" si="9"/>
        <v>300366.77493340301</v>
      </c>
      <c r="E116" s="12">
        <f t="shared" si="10"/>
        <v>32076.515273367222</v>
      </c>
      <c r="F116" s="12">
        <f t="shared" si="16"/>
        <v>10495.511715974508</v>
      </c>
      <c r="G116" s="12">
        <f t="shared" si="16"/>
        <v>1297.1980772552779</v>
      </c>
      <c r="H116" s="9"/>
      <c r="I116" s="12">
        <f t="shared" si="12"/>
        <v>3460.7886342127913</v>
      </c>
      <c r="J116" s="12">
        <f t="shared" si="13"/>
        <v>878.20678306370473</v>
      </c>
      <c r="K116" s="12">
        <f t="shared" si="14"/>
        <v>108.5424113898962</v>
      </c>
    </row>
    <row r="117" spans="2:11" x14ac:dyDescent="0.25">
      <c r="B117" s="10">
        <v>113</v>
      </c>
      <c r="C117" s="11">
        <v>44004</v>
      </c>
      <c r="D117" s="12">
        <f t="shared" si="9"/>
        <v>296658.29120555916</v>
      </c>
      <c r="E117" s="12">
        <f t="shared" si="10"/>
        <v>34715.781825432168</v>
      </c>
      <c r="F117" s="12">
        <f t="shared" si="16"/>
        <v>11447.115002417735</v>
      </c>
      <c r="G117" s="12">
        <f t="shared" si="16"/>
        <v>1414.8119665909578</v>
      </c>
      <c r="H117" s="9"/>
      <c r="I117" s="12">
        <f t="shared" si="12"/>
        <v>3708.4837278438476</v>
      </c>
      <c r="J117" s="12">
        <f t="shared" si="13"/>
        <v>951.60328644322749</v>
      </c>
      <c r="K117" s="12">
        <f t="shared" si="14"/>
        <v>117.61388933567991</v>
      </c>
    </row>
    <row r="118" spans="2:11" x14ac:dyDescent="0.25">
      <c r="B118" s="10">
        <v>114</v>
      </c>
      <c r="C118" s="11">
        <v>44005</v>
      </c>
      <c r="D118" s="12">
        <f t="shared" si="9"/>
        <v>292692.86642049125</v>
      </c>
      <c r="E118" s="12">
        <f t="shared" si="10"/>
        <v>37524.013882985651</v>
      </c>
      <c r="F118" s="12">
        <f t="shared" ref="F118:G133" si="17">F117+J118</f>
        <v>12477.016529905555</v>
      </c>
      <c r="G118" s="12">
        <f t="shared" si="17"/>
        <v>1542.1031666175425</v>
      </c>
      <c r="H118" s="9"/>
      <c r="I118" s="12">
        <f t="shared" si="12"/>
        <v>3965.4247850678853</v>
      </c>
      <c r="J118" s="12">
        <f t="shared" si="13"/>
        <v>1029.9015274878209</v>
      </c>
      <c r="K118" s="12">
        <f t="shared" si="14"/>
        <v>127.29120002658472</v>
      </c>
    </row>
    <row r="119" spans="2:11" x14ac:dyDescent="0.25">
      <c r="B119" s="10">
        <v>115</v>
      </c>
      <c r="C119" s="11">
        <v>44006</v>
      </c>
      <c r="D119" s="12">
        <f t="shared" si="9"/>
        <v>288462.3928417259</v>
      </c>
      <c r="E119" s="12">
        <f t="shared" si="10"/>
        <v>40503.686998984813</v>
      </c>
      <c r="F119" s="12">
        <f t="shared" si="17"/>
        <v>13590.228941767462</v>
      </c>
      <c r="G119" s="12">
        <f t="shared" si="17"/>
        <v>1679.6912175218233</v>
      </c>
      <c r="H119" s="9"/>
      <c r="I119" s="12">
        <f t="shared" si="12"/>
        <v>4230.473578765359</v>
      </c>
      <c r="J119" s="12">
        <f t="shared" si="13"/>
        <v>1113.2124118619074</v>
      </c>
      <c r="K119" s="12">
        <f t="shared" si="14"/>
        <v>137.58805090428083</v>
      </c>
    </row>
    <row r="120" spans="2:11" x14ac:dyDescent="0.25">
      <c r="B120" s="10">
        <v>116</v>
      </c>
      <c r="C120" s="11">
        <v>44007</v>
      </c>
      <c r="D120" s="12">
        <f t="shared" si="9"/>
        <v>283960.18312442146</v>
      </c>
      <c r="E120" s="12">
        <f t="shared" si="10"/>
        <v>43655.773816323082</v>
      </c>
      <c r="F120" s="12">
        <f t="shared" si="17"/>
        <v>14791.838322737345</v>
      </c>
      <c r="G120" s="12">
        <f t="shared" si="17"/>
        <v>1828.2047365181011</v>
      </c>
      <c r="H120" s="9"/>
      <c r="I120" s="12">
        <f t="shared" si="12"/>
        <v>4502.2097173044267</v>
      </c>
      <c r="J120" s="12">
        <f t="shared" si="13"/>
        <v>1201.6093809698827</v>
      </c>
      <c r="K120" s="12">
        <f t="shared" si="14"/>
        <v>148.51351899627778</v>
      </c>
    </row>
    <row r="121" spans="2:11" x14ac:dyDescent="0.25">
      <c r="B121" s="10">
        <v>117</v>
      </c>
      <c r="C121" s="11">
        <v>44008</v>
      </c>
      <c r="D121" s="12">
        <f t="shared" si="9"/>
        <v>279181.26680229953</v>
      </c>
      <c r="E121" s="12">
        <f t="shared" si="10"/>
        <v>46979.497677900887</v>
      </c>
      <c r="F121" s="12">
        <f t="shared" si="17"/>
        <v>16086.959612621597</v>
      </c>
      <c r="G121" s="12">
        <f t="shared" si="17"/>
        <v>1988.2759071779526</v>
      </c>
      <c r="H121" s="9"/>
      <c r="I121" s="12">
        <f t="shared" si="12"/>
        <v>4778.9163221219032</v>
      </c>
      <c r="J121" s="12">
        <f t="shared" si="13"/>
        <v>1295.1212898842512</v>
      </c>
      <c r="K121" s="12">
        <f t="shared" si="14"/>
        <v>160.07117065985145</v>
      </c>
    </row>
    <row r="122" spans="2:11" x14ac:dyDescent="0.25">
      <c r="B122" s="10">
        <v>118</v>
      </c>
      <c r="C122" s="11">
        <v>44009</v>
      </c>
      <c r="D122" s="12">
        <f t="shared" si="9"/>
        <v>274122.69399878802</v>
      </c>
      <c r="E122" s="12">
        <f t="shared" si="10"/>
        <v>50472.087225482399</v>
      </c>
      <c r="F122" s="12">
        <f t="shared" si="17"/>
        <v>17480.684710399324</v>
      </c>
      <c r="G122" s="12">
        <f t="shared" si="17"/>
        <v>2160.534065330256</v>
      </c>
      <c r="H122" s="9"/>
      <c r="I122" s="12">
        <f t="shared" si="12"/>
        <v>5058.5728035115435</v>
      </c>
      <c r="J122" s="12">
        <f t="shared" si="13"/>
        <v>1393.7250977777262</v>
      </c>
      <c r="K122" s="12">
        <f t="shared" si="14"/>
        <v>172.25815815230342</v>
      </c>
    </row>
    <row r="123" spans="2:11" x14ac:dyDescent="0.25">
      <c r="B123" s="10">
        <v>119</v>
      </c>
      <c r="C123" s="11">
        <v>44010</v>
      </c>
      <c r="D123" s="12">
        <f t="shared" si="9"/>
        <v>268783.83734646207</v>
      </c>
      <c r="E123" s="12">
        <f t="shared" si="10"/>
        <v>54128.540970292292</v>
      </c>
      <c r="F123" s="12">
        <f t="shared" si="17"/>
        <v>18978.023298088636</v>
      </c>
      <c r="G123" s="12">
        <f t="shared" si="17"/>
        <v>2345.5983851570249</v>
      </c>
      <c r="H123" s="9"/>
      <c r="I123" s="12">
        <f t="shared" si="12"/>
        <v>5338.8566523259742</v>
      </c>
      <c r="J123" s="12">
        <f t="shared" si="13"/>
        <v>1497.338587689311</v>
      </c>
      <c r="K123" s="12">
        <f t="shared" si="14"/>
        <v>185.06431982676895</v>
      </c>
    </row>
    <row r="124" spans="2:11" x14ac:dyDescent="0.25">
      <c r="B124" s="10">
        <v>120</v>
      </c>
      <c r="C124" s="11">
        <v>44011</v>
      </c>
      <c r="D124" s="12">
        <f t="shared" si="9"/>
        <v>263166.68123857502</v>
      </c>
      <c r="E124" s="12">
        <f t="shared" si="10"/>
        <v>57941.412379169582</v>
      </c>
      <c r="F124" s="12">
        <f t="shared" si="17"/>
        <v>20583.836680207307</v>
      </c>
      <c r="G124" s="12">
        <f t="shared" si="17"/>
        <v>2544.069702048097</v>
      </c>
      <c r="H124" s="9"/>
      <c r="I124" s="12">
        <f t="shared" si="12"/>
        <v>5617.1561078870336</v>
      </c>
      <c r="J124" s="12">
        <f t="shared" si="13"/>
        <v>1605.8133821186711</v>
      </c>
      <c r="K124" s="12">
        <f t="shared" si="14"/>
        <v>198.47131689107192</v>
      </c>
    </row>
    <row r="125" spans="2:11" x14ac:dyDescent="0.25">
      <c r="B125" s="10">
        <v>121</v>
      </c>
      <c r="C125" s="13">
        <v>44012</v>
      </c>
      <c r="D125" s="12">
        <f t="shared" si="9"/>
        <v>257276.08589170125</v>
      </c>
      <c r="E125" s="12">
        <f t="shared" si="10"/>
        <v>61900.627313404366</v>
      </c>
      <c r="F125" s="12">
        <f t="shared" si="17"/>
        <v>22302.765247456005</v>
      </c>
      <c r="G125" s="12">
        <f t="shared" si="17"/>
        <v>2756.5215474383858</v>
      </c>
      <c r="H125" s="9"/>
      <c r="I125" s="12">
        <f t="shared" si="12"/>
        <v>5890.5953468737653</v>
      </c>
      <c r="J125" s="12">
        <f t="shared" si="13"/>
        <v>1718.9285672486974</v>
      </c>
      <c r="K125" s="12">
        <f t="shared" si="14"/>
        <v>212.45184539028867</v>
      </c>
    </row>
    <row r="126" spans="2:11" x14ac:dyDescent="0.25">
      <c r="B126" s="10">
        <v>122</v>
      </c>
      <c r="C126" s="11">
        <v>44013</v>
      </c>
      <c r="D126" s="12">
        <f t="shared" si="9"/>
        <v>251120.01245510302</v>
      </c>
      <c r="E126" s="12">
        <f t="shared" si="10"/>
        <v>65993.346506222471</v>
      </c>
      <c r="F126" s="12">
        <f t="shared" si="17"/>
        <v>24139.150524420336</v>
      </c>
      <c r="G126" s="12">
        <f t="shared" si="17"/>
        <v>2983.490514254202</v>
      </c>
      <c r="H126" s="9"/>
      <c r="I126" s="12">
        <f t="shared" si="12"/>
        <v>6156.0734365982426</v>
      </c>
      <c r="J126" s="12">
        <f t="shared" si="13"/>
        <v>1836.3852769643295</v>
      </c>
      <c r="K126" s="12">
        <f t="shared" si="14"/>
        <v>226.9689668158162</v>
      </c>
    </row>
    <row r="127" spans="2:11" x14ac:dyDescent="0.25">
      <c r="B127" s="10">
        <v>123</v>
      </c>
      <c r="C127" s="11">
        <v>44014</v>
      </c>
      <c r="D127" s="12">
        <f t="shared" si="9"/>
        <v>244709.69476147706</v>
      </c>
      <c r="E127" s="12">
        <f t="shared" si="10"/>
        <v>70203.88598297436</v>
      </c>
      <c r="F127" s="12">
        <f t="shared" si="17"/>
        <v>26096.953137438268</v>
      </c>
      <c r="G127" s="12">
        <f t="shared" si="17"/>
        <v>3225.4661181103511</v>
      </c>
      <c r="H127" s="9"/>
      <c r="I127" s="12">
        <f t="shared" si="12"/>
        <v>6410.3176936259688</v>
      </c>
      <c r="J127" s="12">
        <f t="shared" si="13"/>
        <v>1957.802613017933</v>
      </c>
      <c r="K127" s="12">
        <f t="shared" si="14"/>
        <v>241.97560385614926</v>
      </c>
    </row>
    <row r="128" spans="2:11" x14ac:dyDescent="0.25">
      <c r="B128" s="10">
        <v>124</v>
      </c>
      <c r="C128" s="11">
        <v>44015</v>
      </c>
      <c r="D128" s="12">
        <f t="shared" si="9"/>
        <v>238059.74347258059</v>
      </c>
      <c r="E128" s="12">
        <f t="shared" si="10"/>
        <v>74513.707739104997</v>
      </c>
      <c r="F128" s="12">
        <f t="shared" si="17"/>
        <v>28179.668421599839</v>
      </c>
      <c r="G128" s="12">
        <f t="shared" si="17"/>
        <v>3482.8803667145908</v>
      </c>
      <c r="H128" s="9"/>
      <c r="I128" s="12">
        <f t="shared" si="12"/>
        <v>6649.9512888964573</v>
      </c>
      <c r="J128" s="12">
        <f t="shared" si="13"/>
        <v>2082.7152841615725</v>
      </c>
      <c r="K128" s="12">
        <f t="shared" si="14"/>
        <v>257.41424860423956</v>
      </c>
    </row>
    <row r="129" spans="2:11" x14ac:dyDescent="0.25">
      <c r="B129" s="10">
        <v>125</v>
      </c>
      <c r="C129" s="11">
        <v>44016</v>
      </c>
      <c r="D129" s="12">
        <f t="shared" si="9"/>
        <v>231188.16950060314</v>
      </c>
      <c r="E129" s="12">
        <f t="shared" si="10"/>
        <v>78901.491453112307</v>
      </c>
      <c r="F129" s="12">
        <f t="shared" si="17"/>
        <v>30390.241751193287</v>
      </c>
      <c r="G129" s="12">
        <f t="shared" si="17"/>
        <v>3756.0972950913092</v>
      </c>
      <c r="H129" s="9"/>
      <c r="I129" s="12">
        <f t="shared" si="12"/>
        <v>6871.5739719774656</v>
      </c>
      <c r="J129" s="12">
        <f t="shared" si="13"/>
        <v>2210.5733295934479</v>
      </c>
      <c r="K129" s="12">
        <f t="shared" si="14"/>
        <v>273.21692837671861</v>
      </c>
    </row>
    <row r="130" spans="2:11" x14ac:dyDescent="0.25">
      <c r="B130" s="10">
        <v>126</v>
      </c>
      <c r="C130" s="11">
        <v>44017</v>
      </c>
      <c r="D130" s="12">
        <f t="shared" si="9"/>
        <v>224116.31579346879</v>
      </c>
      <c r="E130" s="12">
        <f t="shared" si="10"/>
        <v>83343.29544514291</v>
      </c>
      <c r="F130" s="12">
        <f t="shared" si="17"/>
        <v>32730.98599763562</v>
      </c>
      <c r="G130" s="12">
        <f t="shared" si="17"/>
        <v>4045.4027637527215</v>
      </c>
      <c r="H130" s="9"/>
      <c r="I130" s="12">
        <f t="shared" si="12"/>
        <v>7071.8537071343517</v>
      </c>
      <c r="J130" s="12">
        <f t="shared" si="13"/>
        <v>2340.7442464423316</v>
      </c>
      <c r="K130" s="12">
        <f t="shared" si="14"/>
        <v>289.30546866141208</v>
      </c>
    </row>
    <row r="131" spans="2:11" x14ac:dyDescent="0.25">
      <c r="B131" s="10">
        <v>127</v>
      </c>
      <c r="C131" s="11">
        <v>44018</v>
      </c>
      <c r="D131" s="12">
        <f t="shared" si="9"/>
        <v>216868.68988482843</v>
      </c>
      <c r="E131" s="12">
        <f t="shared" si="10"/>
        <v>87812.811505611855</v>
      </c>
      <c r="F131" s="12">
        <f t="shared" si="17"/>
        <v>35203.50376250819</v>
      </c>
      <c r="G131" s="12">
        <f t="shared" si="17"/>
        <v>4350.9948470515792</v>
      </c>
      <c r="H131" s="9"/>
      <c r="I131" s="12">
        <f t="shared" si="12"/>
        <v>7247.6259086403679</v>
      </c>
      <c r="J131" s="12">
        <f t="shared" si="13"/>
        <v>2472.5177648725726</v>
      </c>
      <c r="K131" s="12">
        <f t="shared" si="14"/>
        <v>305.59208329885763</v>
      </c>
    </row>
    <row r="132" spans="2:11" x14ac:dyDescent="0.25">
      <c r="B132" s="10">
        <v>128</v>
      </c>
      <c r="C132" s="11">
        <v>44019</v>
      </c>
      <c r="D132" s="12">
        <f t="shared" si="9"/>
        <v>209472.69394242504</v>
      </c>
      <c r="E132" s="12">
        <f t="shared" si="10"/>
        <v>92281.713731161508</v>
      </c>
      <c r="F132" s="12">
        <f t="shared" si="17"/>
        <v>37808.617170508005</v>
      </c>
      <c r="G132" s="12">
        <f t="shared" si="17"/>
        <v>4672.9751559054894</v>
      </c>
      <c r="H132" s="9"/>
      <c r="I132" s="12">
        <f t="shared" si="12"/>
        <v>7395.9959424033759</v>
      </c>
      <c r="J132" s="12">
        <f t="shared" si="13"/>
        <v>2605.1134079998178</v>
      </c>
      <c r="K132" s="12">
        <f t="shared" si="14"/>
        <v>321.9803088539104</v>
      </c>
    </row>
    <row r="133" spans="2:11" x14ac:dyDescent="0.25">
      <c r="B133" s="10">
        <v>129</v>
      </c>
      <c r="C133" s="11">
        <v>44020</v>
      </c>
      <c r="D133" s="12">
        <f t="shared" si="9"/>
        <v>201958.25419292337</v>
      </c>
      <c r="E133" s="12">
        <f t="shared" si="10"/>
        <v>96720.096356291135</v>
      </c>
      <c r="F133" s="12">
        <f t="shared" si="17"/>
        <v>40546.308011199129</v>
      </c>
      <c r="G133" s="12">
        <f t="shared" si="17"/>
        <v>5011.3414395864156</v>
      </c>
      <c r="H133" s="9"/>
      <c r="I133" s="12">
        <f t="shared" si="12"/>
        <v>7514.4397495016783</v>
      </c>
      <c r="J133" s="12">
        <f t="shared" si="13"/>
        <v>2737.6908406911243</v>
      </c>
      <c r="K133" s="12">
        <f t="shared" si="14"/>
        <v>338.36628368092585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194357.35722609746</v>
      </c>
      <c r="E134" s="12">
        <f t="shared" ref="E134:E197" si="19">E133+I134-J134-K134</f>
        <v>101096.99011124068</v>
      </c>
      <c r="F134" s="12">
        <f t="shared" ref="F134:G149" si="20">F133+J134</f>
        <v>43415.670869769099</v>
      </c>
      <c r="G134" s="12">
        <f t="shared" si="20"/>
        <v>5365.9817928928169</v>
      </c>
      <c r="H134" s="9"/>
      <c r="I134" s="12">
        <f t="shared" ref="I134:I197" si="21">E133*N$6*D133/SUM(D133:F133)*N$7</f>
        <v>7600.8969668259051</v>
      </c>
      <c r="J134" s="12">
        <f t="shared" ref="J134:J197" si="22">E133*N$8/N$5</f>
        <v>2869.3628585699698</v>
      </c>
      <c r="K134" s="12">
        <f t="shared" ref="K134:K197" si="23">E133*N$9/N$5</f>
        <v>354.64035330640115</v>
      </c>
    </row>
    <row r="135" spans="2:11" x14ac:dyDescent="0.25">
      <c r="B135" s="10">
        <v>131</v>
      </c>
      <c r="C135" s="11">
        <v>44022</v>
      </c>
      <c r="D135" s="12">
        <f t="shared" si="18"/>
        <v>186703.50635382207</v>
      </c>
      <c r="E135" s="12">
        <f t="shared" si="19"/>
        <v>105380.94131314137</v>
      </c>
      <c r="F135" s="12">
        <f t="shared" si="20"/>
        <v>46414.881576402571</v>
      </c>
      <c r="G135" s="12">
        <f t="shared" si="20"/>
        <v>5736.6707566340328</v>
      </c>
      <c r="H135" s="9"/>
      <c r="I135" s="12">
        <f t="shared" si="21"/>
        <v>7653.8508722753786</v>
      </c>
      <c r="J135" s="12">
        <f t="shared" si="22"/>
        <v>2999.2107066334729</v>
      </c>
      <c r="K135" s="12">
        <f t="shared" si="23"/>
        <v>370.68896374121613</v>
      </c>
    </row>
    <row r="136" spans="2:11" x14ac:dyDescent="0.25">
      <c r="B136" s="10">
        <v>132</v>
      </c>
      <c r="C136" s="11">
        <v>44023</v>
      </c>
      <c r="D136" s="12">
        <f t="shared" si="18"/>
        <v>179031.116425366</v>
      </c>
      <c r="E136" s="12">
        <f t="shared" si="19"/>
        <v>109540.63319782607</v>
      </c>
      <c r="F136" s="12">
        <f t="shared" si="20"/>
        <v>49541.182835359097</v>
      </c>
      <c r="G136" s="12">
        <f t="shared" si="20"/>
        <v>6123.0675414488851</v>
      </c>
      <c r="H136" s="9"/>
      <c r="I136" s="12">
        <f t="shared" si="21"/>
        <v>7672.3899284560775</v>
      </c>
      <c r="J136" s="12">
        <f t="shared" si="22"/>
        <v>3126.3012589565269</v>
      </c>
      <c r="K136" s="12">
        <f t="shared" si="23"/>
        <v>386.39678481485208</v>
      </c>
    </row>
    <row r="137" spans="2:11" x14ac:dyDescent="0.25">
      <c r="B137" s="10">
        <v>133</v>
      </c>
      <c r="C137" s="11">
        <v>44024</v>
      </c>
      <c r="D137" s="12">
        <f t="shared" si="18"/>
        <v>171374.86977995464</v>
      </c>
      <c r="E137" s="12">
        <f t="shared" si="19"/>
        <v>113545.52540330989</v>
      </c>
      <c r="F137" s="12">
        <f t="shared" si="20"/>
        <v>52790.888286894602</v>
      </c>
      <c r="G137" s="12">
        <f t="shared" si="20"/>
        <v>6524.7165298409145</v>
      </c>
      <c r="H137" s="9"/>
      <c r="I137" s="12">
        <f t="shared" si="21"/>
        <v>7656.2466454113528</v>
      </c>
      <c r="J137" s="12">
        <f t="shared" si="22"/>
        <v>3249.7054515355062</v>
      </c>
      <c r="K137" s="12">
        <f t="shared" si="23"/>
        <v>401.64898839202931</v>
      </c>
    </row>
    <row r="138" spans="2:11" x14ac:dyDescent="0.25">
      <c r="B138" s="10">
        <v>134</v>
      </c>
      <c r="C138" s="11">
        <v>44025</v>
      </c>
      <c r="D138" s="12">
        <f t="shared" si="18"/>
        <v>163769.05890867327</v>
      </c>
      <c r="E138" s="12">
        <f t="shared" si="19"/>
        <v>117366.48542781426</v>
      </c>
      <c r="F138" s="12">
        <f t="shared" si="20"/>
        <v>56159.405540526132</v>
      </c>
      <c r="G138" s="12">
        <f t="shared" si="20"/>
        <v>6941.0501229863848</v>
      </c>
      <c r="H138" s="9"/>
      <c r="I138" s="12">
        <f t="shared" si="21"/>
        <v>7605.8108712813591</v>
      </c>
      <c r="J138" s="12">
        <f t="shared" si="22"/>
        <v>3368.5172536315267</v>
      </c>
      <c r="K138" s="12">
        <f t="shared" si="23"/>
        <v>416.33359314546999</v>
      </c>
    </row>
    <row r="139" spans="2:11" x14ac:dyDescent="0.25">
      <c r="B139" s="10">
        <v>135</v>
      </c>
      <c r="C139" s="11">
        <v>44026</v>
      </c>
      <c r="D139" s="12">
        <f t="shared" si="18"/>
        <v>156246.94257924677</v>
      </c>
      <c r="E139" s="12">
        <f t="shared" si="19"/>
        <v>120976.38557631361</v>
      </c>
      <c r="F139" s="12">
        <f t="shared" si="20"/>
        <v>59641.277941551285</v>
      </c>
      <c r="G139" s="12">
        <f t="shared" si="20"/>
        <v>7371.3939028883706</v>
      </c>
      <c r="H139" s="9"/>
      <c r="I139" s="12">
        <f t="shared" si="21"/>
        <v>7522.1163294265043</v>
      </c>
      <c r="J139" s="12">
        <f t="shared" si="22"/>
        <v>3481.8724010251558</v>
      </c>
      <c r="K139" s="12">
        <f t="shared" si="23"/>
        <v>430.34377990198601</v>
      </c>
    </row>
    <row r="140" spans="2:11" x14ac:dyDescent="0.25">
      <c r="B140" s="10">
        <v>136</v>
      </c>
      <c r="C140" s="11">
        <v>44027</v>
      </c>
      <c r="D140" s="12">
        <f t="shared" si="18"/>
        <v>148840.14149727672</v>
      </c>
      <c r="E140" s="12">
        <f t="shared" si="19"/>
        <v>124350.64047240652</v>
      </c>
      <c r="F140" s="12">
        <f t="shared" si="20"/>
        <v>63230.244046981919</v>
      </c>
      <c r="G140" s="12">
        <f t="shared" si="20"/>
        <v>7814.973983334854</v>
      </c>
      <c r="H140" s="9"/>
      <c r="I140" s="12">
        <f t="shared" si="21"/>
        <v>7406.8010819700339</v>
      </c>
      <c r="J140" s="12">
        <f t="shared" si="22"/>
        <v>3588.9661054306366</v>
      </c>
      <c r="K140" s="12">
        <f t="shared" si="23"/>
        <v>443.58008044648363</v>
      </c>
    </row>
    <row r="141" spans="2:11" x14ac:dyDescent="0.25">
      <c r="B141" s="10">
        <v>137</v>
      </c>
      <c r="C141" s="11">
        <v>44028</v>
      </c>
      <c r="D141" s="12">
        <f t="shared" si="18"/>
        <v>141578.09707993388</v>
      </c>
      <c r="E141" s="12">
        <f t="shared" si="19"/>
        <v>127467.66354066913</v>
      </c>
      <c r="F141" s="12">
        <f t="shared" si="20"/>
        <v>66919.313047663309</v>
      </c>
      <c r="G141" s="12">
        <f t="shared" si="20"/>
        <v>8270.926331733679</v>
      </c>
      <c r="H141" s="9"/>
      <c r="I141" s="12">
        <f t="shared" si="21"/>
        <v>7262.0444173428486</v>
      </c>
      <c r="J141" s="12">
        <f t="shared" si="22"/>
        <v>3689.0690006813934</v>
      </c>
      <c r="K141" s="12">
        <f t="shared" si="23"/>
        <v>455.95234839882431</v>
      </c>
    </row>
    <row r="142" spans="2:11" x14ac:dyDescent="0.25">
      <c r="B142" s="10">
        <v>138</v>
      </c>
      <c r="C142" s="11">
        <v>44029</v>
      </c>
      <c r="D142" s="12">
        <f t="shared" si="18"/>
        <v>134487.61283968962</v>
      </c>
      <c r="E142" s="12">
        <f t="shared" si="19"/>
        <v>130309.22566289108</v>
      </c>
      <c r="F142" s="12">
        <f t="shared" si="20"/>
        <v>70700.853732703166</v>
      </c>
      <c r="G142" s="12">
        <f t="shared" si="20"/>
        <v>8738.3077647161335</v>
      </c>
      <c r="H142" s="9"/>
      <c r="I142" s="12">
        <f t="shared" si="21"/>
        <v>7090.4842402442564</v>
      </c>
      <c r="J142" s="12">
        <f t="shared" si="22"/>
        <v>3781.5406850398504</v>
      </c>
      <c r="K142" s="12">
        <f t="shared" si="23"/>
        <v>467.38143298245387</v>
      </c>
    </row>
    <row r="143" spans="2:11" x14ac:dyDescent="0.25">
      <c r="B143" s="10">
        <v>139</v>
      </c>
      <c r="C143" s="11">
        <v>44030</v>
      </c>
      <c r="D143" s="12">
        <f t="shared" si="18"/>
        <v>127592.49261481114</v>
      </c>
      <c r="E143" s="12">
        <f t="shared" si="19"/>
        <v>132860.70503233987</v>
      </c>
      <c r="F143" s="12">
        <f t="shared" si="20"/>
        <v>74566.6940940356</v>
      </c>
      <c r="G143" s="12">
        <f t="shared" si="20"/>
        <v>9216.1082588134013</v>
      </c>
      <c r="H143" s="9"/>
      <c r="I143" s="12">
        <f t="shared" si="21"/>
        <v>6895.1202248784894</v>
      </c>
      <c r="J143" s="12">
        <f t="shared" si="22"/>
        <v>3865.8403613324349</v>
      </c>
      <c r="K143" s="12">
        <f t="shared" si="23"/>
        <v>477.80049409726774</v>
      </c>
    </row>
    <row r="144" spans="2:11" x14ac:dyDescent="0.25">
      <c r="B144" s="10">
        <v>140</v>
      </c>
      <c r="C144" s="11">
        <v>44031</v>
      </c>
      <c r="D144" s="12">
        <f t="shared" si="18"/>
        <v>120913.28394527695</v>
      </c>
      <c r="E144" s="12">
        <f t="shared" si="19"/>
        <v>135111.22353412941</v>
      </c>
      <c r="F144" s="12">
        <f t="shared" si="20"/>
        <v>78508.228343328345</v>
      </c>
      <c r="G144" s="12">
        <f t="shared" si="20"/>
        <v>9703.2641772653151</v>
      </c>
      <c r="H144" s="9"/>
      <c r="I144" s="12">
        <f t="shared" si="21"/>
        <v>6679.2086695341923</v>
      </c>
      <c r="J144" s="12">
        <f t="shared" si="22"/>
        <v>3941.5342492927493</v>
      </c>
      <c r="K144" s="12">
        <f t="shared" si="23"/>
        <v>487.15591845191335</v>
      </c>
    </row>
    <row r="145" spans="2:11" x14ac:dyDescent="0.25">
      <c r="B145" s="10">
        <v>141</v>
      </c>
      <c r="C145" s="11">
        <v>44032</v>
      </c>
      <c r="D145" s="12">
        <f t="shared" si="18"/>
        <v>114467.12882157537</v>
      </c>
      <c r="E145" s="12">
        <f t="shared" si="19"/>
        <v>137053.67120669337</v>
      </c>
      <c r="F145" s="12">
        <f t="shared" si="20"/>
        <v>82516.52797484085</v>
      </c>
      <c r="G145" s="12">
        <f t="shared" si="20"/>
        <v>10198.671996890456</v>
      </c>
      <c r="H145" s="9"/>
      <c r="I145" s="12">
        <f t="shared" si="21"/>
        <v>6446.1551237015819</v>
      </c>
      <c r="J145" s="12">
        <f t="shared" si="22"/>
        <v>4008.2996315125056</v>
      </c>
      <c r="K145" s="12">
        <f t="shared" si="23"/>
        <v>495.4078196251416</v>
      </c>
    </row>
    <row r="146" spans="2:11" x14ac:dyDescent="0.25">
      <c r="B146" s="10">
        <v>142</v>
      </c>
      <c r="C146" s="11">
        <v>44033</v>
      </c>
      <c r="D146" s="12">
        <f t="shared" si="18"/>
        <v>108267.71834332807</v>
      </c>
      <c r="E146" s="12">
        <f t="shared" si="19"/>
        <v>138684.6259780509</v>
      </c>
      <c r="F146" s="12">
        <f t="shared" si="20"/>
        <v>86582.453553972751</v>
      </c>
      <c r="G146" s="12">
        <f t="shared" si="20"/>
        <v>10701.202124648333</v>
      </c>
      <c r="H146" s="9"/>
      <c r="I146" s="12">
        <f t="shared" si="21"/>
        <v>6199.4104782472932</v>
      </c>
      <c r="J146" s="12">
        <f t="shared" si="22"/>
        <v>4065.9255791319029</v>
      </c>
      <c r="K146" s="12">
        <f t="shared" si="23"/>
        <v>502.53012775787613</v>
      </c>
    </row>
    <row r="147" spans="2:11" x14ac:dyDescent="0.25">
      <c r="B147" s="10">
        <v>143</v>
      </c>
      <c r="C147" s="11">
        <v>44034</v>
      </c>
      <c r="D147" s="12">
        <f t="shared" si="18"/>
        <v>102325.34293966487</v>
      </c>
      <c r="E147" s="12">
        <f t="shared" si="19"/>
        <v>140004.1805157791</v>
      </c>
      <c r="F147" s="12">
        <f t="shared" si="20"/>
        <v>90696.764124654932</v>
      </c>
      <c r="G147" s="12">
        <f t="shared" si="20"/>
        <v>11209.712419901187</v>
      </c>
      <c r="H147" s="9"/>
      <c r="I147" s="12">
        <f t="shared" si="21"/>
        <v>5942.375403663199</v>
      </c>
      <c r="J147" s="12">
        <f t="shared" si="22"/>
        <v>4114.3105706821761</v>
      </c>
      <c r="K147" s="12">
        <f t="shared" si="23"/>
        <v>508.51029525285378</v>
      </c>
    </row>
    <row r="148" spans="2:11" x14ac:dyDescent="0.25">
      <c r="B148" s="10">
        <v>144</v>
      </c>
      <c r="C148" s="11">
        <v>44035</v>
      </c>
      <c r="D148" s="12">
        <f t="shared" si="18"/>
        <v>96647.026019809113</v>
      </c>
      <c r="E148" s="12">
        <f t="shared" si="19"/>
        <v>141015.69141844223</v>
      </c>
      <c r="F148" s="12">
        <f t="shared" si="20"/>
        <v>94850.221479956381</v>
      </c>
      <c r="G148" s="12">
        <f t="shared" si="20"/>
        <v>11723.061081792377</v>
      </c>
      <c r="H148" s="9"/>
      <c r="I148" s="12">
        <f t="shared" si="21"/>
        <v>5678.3169198557653</v>
      </c>
      <c r="J148" s="12">
        <f t="shared" si="22"/>
        <v>4153.4573553014461</v>
      </c>
      <c r="K148" s="12">
        <f t="shared" si="23"/>
        <v>513.34866189119043</v>
      </c>
    </row>
    <row r="149" spans="2:11" x14ac:dyDescent="0.25">
      <c r="B149" s="10">
        <v>145</v>
      </c>
      <c r="C149" s="11">
        <v>44036</v>
      </c>
      <c r="D149" s="12">
        <f t="shared" si="18"/>
        <v>91236.726390712574</v>
      </c>
      <c r="E149" s="12">
        <f t="shared" si="19"/>
        <v>141725.46800025739</v>
      </c>
      <c r="F149" s="12">
        <f t="shared" si="20"/>
        <v>99033.686992036834</v>
      </c>
      <c r="G149" s="12">
        <f t="shared" si="20"/>
        <v>12240.118616993332</v>
      </c>
      <c r="H149" s="9"/>
      <c r="I149" s="12">
        <f t="shared" si="21"/>
        <v>5410.2996290965457</v>
      </c>
      <c r="J149" s="12">
        <f t="shared" si="22"/>
        <v>4183.4655120804518</v>
      </c>
      <c r="K149" s="12">
        <f t="shared" si="23"/>
        <v>517.05753520095527</v>
      </c>
    </row>
    <row r="150" spans="2:11" x14ac:dyDescent="0.25">
      <c r="B150" s="10">
        <v>146</v>
      </c>
      <c r="C150" s="11">
        <v>44037</v>
      </c>
      <c r="D150" s="12">
        <f t="shared" si="18"/>
        <v>86095.593508483973</v>
      </c>
      <c r="E150" s="12">
        <f t="shared" si="19"/>
        <v>142142.41861581075</v>
      </c>
      <c r="F150" s="12">
        <f t="shared" ref="F150:G165" si="24">F149+J150</f>
        <v>103238.2092093778</v>
      </c>
      <c r="G150" s="12">
        <f t="shared" si="24"/>
        <v>12759.778666327609</v>
      </c>
      <c r="H150" s="9"/>
      <c r="I150" s="12">
        <f t="shared" si="21"/>
        <v>5141.1328822286023</v>
      </c>
      <c r="J150" s="12">
        <f t="shared" si="22"/>
        <v>4204.5222173409684</v>
      </c>
      <c r="K150" s="12">
        <f t="shared" si="23"/>
        <v>519.66004933427757</v>
      </c>
    </row>
    <row r="151" spans="2:11" x14ac:dyDescent="0.25">
      <c r="B151" s="10">
        <v>147</v>
      </c>
      <c r="C151" s="11">
        <v>44038</v>
      </c>
      <c r="D151" s="12">
        <f t="shared" si="18"/>
        <v>81222.259513552941</v>
      </c>
      <c r="E151" s="12">
        <f t="shared" si="19"/>
        <v>142277.67199021473</v>
      </c>
      <c r="F151" s="12">
        <f t="shared" si="24"/>
        <v>107455.10096164685</v>
      </c>
      <c r="G151" s="12">
        <f t="shared" si="24"/>
        <v>13280.967534585583</v>
      </c>
      <c r="H151" s="9"/>
      <c r="I151" s="12">
        <f t="shared" si="21"/>
        <v>4873.3339949310293</v>
      </c>
      <c r="J151" s="12">
        <f t="shared" si="22"/>
        <v>4216.8917522690517</v>
      </c>
      <c r="K151" s="12">
        <f t="shared" si="23"/>
        <v>521.18886825797324</v>
      </c>
    </row>
    <row r="152" spans="2:11" x14ac:dyDescent="0.25">
      <c r="B152" s="10">
        <v>148</v>
      </c>
      <c r="C152" s="11">
        <v>44039</v>
      </c>
      <c r="D152" s="12">
        <f t="shared" si="18"/>
        <v>76613.152843411299</v>
      </c>
      <c r="E152" s="12">
        <f t="shared" si="19"/>
        <v>142144.18959401589</v>
      </c>
      <c r="F152" s="12">
        <f t="shared" si="24"/>
        <v>111676.00523068989</v>
      </c>
      <c r="G152" s="12">
        <f t="shared" si="24"/>
        <v>13802.652331883037</v>
      </c>
      <c r="H152" s="9"/>
      <c r="I152" s="12">
        <f t="shared" si="21"/>
        <v>4609.1066701416448</v>
      </c>
      <c r="J152" s="12">
        <f t="shared" si="22"/>
        <v>4220.9042690430369</v>
      </c>
      <c r="K152" s="12">
        <f t="shared" si="23"/>
        <v>521.68479729745445</v>
      </c>
    </row>
    <row r="153" spans="2:11" x14ac:dyDescent="0.25">
      <c r="B153" s="10">
        <v>149</v>
      </c>
      <c r="C153" s="11">
        <v>44040</v>
      </c>
      <c r="D153" s="12">
        <f t="shared" si="18"/>
        <v>72262.819781682512</v>
      </c>
      <c r="E153" s="12">
        <f t="shared" si="19"/>
        <v>141756.38300261079</v>
      </c>
      <c r="F153" s="12">
        <f t="shared" si="24"/>
        <v>115892.94952197903</v>
      </c>
      <c r="G153" s="12">
        <f t="shared" si="24"/>
        <v>14323.847693727763</v>
      </c>
      <c r="H153" s="9"/>
      <c r="I153" s="12">
        <f t="shared" si="21"/>
        <v>4350.333061728782</v>
      </c>
      <c r="J153" s="12">
        <f t="shared" si="22"/>
        <v>4216.9442912891373</v>
      </c>
      <c r="K153" s="12">
        <f t="shared" si="23"/>
        <v>521.19536184472543</v>
      </c>
    </row>
    <row r="154" spans="2:11" x14ac:dyDescent="0.25">
      <c r="B154" s="10">
        <v>150</v>
      </c>
      <c r="C154" s="11">
        <v>44041</v>
      </c>
      <c r="D154" s="12">
        <f t="shared" si="18"/>
        <v>68164.242336202209</v>
      </c>
      <c r="E154" s="12">
        <f t="shared" si="19"/>
        <v>141129.74768133741</v>
      </c>
      <c r="F154" s="12">
        <f t="shared" si="24"/>
        <v>120098.38888438982</v>
      </c>
      <c r="G154" s="12">
        <f t="shared" si="24"/>
        <v>14843.621098070669</v>
      </c>
      <c r="H154" s="9"/>
      <c r="I154" s="12">
        <f t="shared" si="21"/>
        <v>4098.5774454802995</v>
      </c>
      <c r="J154" s="12">
        <f t="shared" si="22"/>
        <v>4205.4393624107861</v>
      </c>
      <c r="K154" s="12">
        <f t="shared" si="23"/>
        <v>519.7734043429067</v>
      </c>
    </row>
    <row r="155" spans="2:11" x14ac:dyDescent="0.25">
      <c r="B155" s="10">
        <v>151</v>
      </c>
      <c r="C155" s="11">
        <v>44042</v>
      </c>
      <c r="D155" s="12">
        <f t="shared" si="18"/>
        <v>64309.143105581046</v>
      </c>
      <c r="E155" s="12">
        <f t="shared" si="19"/>
        <v>140280.52198924733</v>
      </c>
      <c r="F155" s="12">
        <f t="shared" si="24"/>
        <v>124285.23806560283</v>
      </c>
      <c r="G155" s="12">
        <f t="shared" si="24"/>
        <v>15361.096839568907</v>
      </c>
      <c r="H155" s="9"/>
      <c r="I155" s="12">
        <f t="shared" si="21"/>
        <v>3855.099230621166</v>
      </c>
      <c r="J155" s="12">
        <f t="shared" si="22"/>
        <v>4186.8491812130096</v>
      </c>
      <c r="K155" s="12">
        <f t="shared" si="23"/>
        <v>517.47574149823765</v>
      </c>
    </row>
    <row r="156" spans="2:11" x14ac:dyDescent="0.25">
      <c r="B156" s="10">
        <v>152</v>
      </c>
      <c r="C156" s="13">
        <v>44043</v>
      </c>
      <c r="D156" s="12">
        <f t="shared" si="18"/>
        <v>60688.270092338869</v>
      </c>
      <c r="E156" s="12">
        <f t="shared" si="19"/>
        <v>139225.37760284793</v>
      </c>
      <c r="F156" s="12">
        <f t="shared" si="24"/>
        <v>128446.89355128384</v>
      </c>
      <c r="G156" s="12">
        <f t="shared" si="24"/>
        <v>15875.458753529481</v>
      </c>
      <c r="H156" s="9"/>
      <c r="I156" s="12">
        <f t="shared" si="21"/>
        <v>3620.8730132421756</v>
      </c>
      <c r="J156" s="12">
        <f t="shared" si="22"/>
        <v>4161.6554856810035</v>
      </c>
      <c r="K156" s="12">
        <f t="shared" si="23"/>
        <v>514.36191396057393</v>
      </c>
    </row>
    <row r="157" spans="2:11" x14ac:dyDescent="0.25">
      <c r="B157" s="10">
        <v>153</v>
      </c>
      <c r="C157" s="21">
        <v>44044</v>
      </c>
      <c r="D157" s="12">
        <f t="shared" si="18"/>
        <v>57291.656595593508</v>
      </c>
      <c r="E157" s="12">
        <f t="shared" si="19"/>
        <v>137981.14517949836</v>
      </c>
      <c r="F157" s="12">
        <f t="shared" si="24"/>
        <v>132577.24642016832</v>
      </c>
      <c r="G157" s="12">
        <f t="shared" si="24"/>
        <v>16385.951804739925</v>
      </c>
      <c r="H157" s="9"/>
      <c r="I157" s="12">
        <f t="shared" si="21"/>
        <v>3396.6134967453622</v>
      </c>
      <c r="J157" s="12">
        <f t="shared" si="22"/>
        <v>4130.3528688844881</v>
      </c>
      <c r="K157" s="12">
        <f t="shared" si="23"/>
        <v>510.4930512104429</v>
      </c>
    </row>
    <row r="158" spans="2:11" x14ac:dyDescent="0.25">
      <c r="B158" s="10">
        <v>154</v>
      </c>
      <c r="C158" s="21">
        <v>44045</v>
      </c>
      <c r="D158" s="12">
        <f t="shared" si="18"/>
        <v>54108.853259939038</v>
      </c>
      <c r="E158" s="12">
        <f t="shared" si="19"/>
        <v>136564.57700916956</v>
      </c>
      <c r="F158" s="12">
        <f t="shared" si="24"/>
        <v>136670.68706049342</v>
      </c>
      <c r="G158" s="12">
        <f t="shared" si="24"/>
        <v>16891.882670398085</v>
      </c>
      <c r="H158" s="9"/>
      <c r="I158" s="12">
        <f t="shared" si="21"/>
        <v>3182.8033356544702</v>
      </c>
      <c r="J158" s="12">
        <f t="shared" si="22"/>
        <v>4093.4406403251178</v>
      </c>
      <c r="K158" s="12">
        <f t="shared" si="23"/>
        <v>505.93086565816105</v>
      </c>
    </row>
    <row r="159" spans="2:11" x14ac:dyDescent="0.25">
      <c r="B159" s="10">
        <v>155</v>
      </c>
      <c r="C159" s="21">
        <v>44046</v>
      </c>
      <c r="D159" s="12">
        <f t="shared" si="18"/>
        <v>51129.131006797121</v>
      </c>
      <c r="E159" s="12">
        <f t="shared" si="19"/>
        <v>134992.14669533915</v>
      </c>
      <c r="F159" s="12">
        <f t="shared" si="24"/>
        <v>140722.10284509879</v>
      </c>
      <c r="G159" s="12">
        <f t="shared" si="24"/>
        <v>17392.61945276504</v>
      </c>
      <c r="H159" s="9"/>
      <c r="I159" s="12">
        <f t="shared" si="21"/>
        <v>2979.722253141917</v>
      </c>
      <c r="J159" s="12">
        <f t="shared" si="22"/>
        <v>4051.4157846053631</v>
      </c>
      <c r="K159" s="12">
        <f t="shared" si="23"/>
        <v>500.73678236695548</v>
      </c>
    </row>
    <row r="160" spans="2:11" x14ac:dyDescent="0.25">
      <c r="B160" s="10">
        <v>156</v>
      </c>
      <c r="C160" s="21">
        <v>44047</v>
      </c>
      <c r="D160" s="12">
        <f t="shared" si="18"/>
        <v>48341.65490522558</v>
      </c>
      <c r="E160" s="12">
        <f t="shared" si="19"/>
        <v>133279.88457373274</v>
      </c>
      <c r="F160" s="12">
        <f t="shared" si="24"/>
        <v>144726.86986372719</v>
      </c>
      <c r="G160" s="12">
        <f t="shared" si="24"/>
        <v>17887.590657314617</v>
      </c>
      <c r="H160" s="9"/>
      <c r="I160" s="12">
        <f t="shared" si="21"/>
        <v>2787.4761015715394</v>
      </c>
      <c r="J160" s="12">
        <f t="shared" si="22"/>
        <v>4004.7670186283945</v>
      </c>
      <c r="K160" s="12">
        <f t="shared" si="23"/>
        <v>494.97120454957729</v>
      </c>
    </row>
    <row r="161" spans="2:11" x14ac:dyDescent="0.25">
      <c r="B161" s="10">
        <v>157</v>
      </c>
      <c r="C161" s="21">
        <v>44048</v>
      </c>
      <c r="D161" s="12">
        <f t="shared" si="18"/>
        <v>45735.630055133493</v>
      </c>
      <c r="E161" s="12">
        <f t="shared" si="19"/>
        <v>131443.2466047004</v>
      </c>
      <c r="F161" s="12">
        <f t="shared" si="24"/>
        <v>148680.83977274792</v>
      </c>
      <c r="G161" s="12">
        <f t="shared" si="24"/>
        <v>18376.283567418304</v>
      </c>
      <c r="H161" s="9"/>
      <c r="I161" s="12">
        <f t="shared" si="21"/>
        <v>2606.0248500920857</v>
      </c>
      <c r="J161" s="12">
        <f t="shared" si="22"/>
        <v>3953.9699090207373</v>
      </c>
      <c r="K161" s="12">
        <f t="shared" si="23"/>
        <v>488.6929101036871</v>
      </c>
    </row>
    <row r="162" spans="2:11" x14ac:dyDescent="0.25">
      <c r="B162" s="10">
        <v>158</v>
      </c>
      <c r="C162" s="21">
        <v>44049</v>
      </c>
      <c r="D162" s="12">
        <f t="shared" si="18"/>
        <v>43300.421281610033</v>
      </c>
      <c r="E162" s="12">
        <f t="shared" si="19"/>
        <v>129497.01382473383</v>
      </c>
      <c r="F162" s="12">
        <f t="shared" si="24"/>
        <v>152580.32275535402</v>
      </c>
      <c r="G162" s="12">
        <f t="shared" si="24"/>
        <v>18858.242138302205</v>
      </c>
      <c r="H162" s="9"/>
      <c r="I162" s="12">
        <f t="shared" si="21"/>
        <v>2435.2087735234609</v>
      </c>
      <c r="J162" s="12">
        <f t="shared" si="22"/>
        <v>3899.4829826061114</v>
      </c>
      <c r="K162" s="12">
        <f t="shared" si="23"/>
        <v>481.95857088390193</v>
      </c>
    </row>
    <row r="163" spans="2:11" x14ac:dyDescent="0.25">
      <c r="B163" s="10">
        <v>159</v>
      </c>
      <c r="C163" s="21">
        <v>44050</v>
      </c>
      <c r="D163" s="12">
        <f t="shared" si="18"/>
        <v>41025.648911480675</v>
      </c>
      <c r="E163" s="12">
        <f t="shared" si="19"/>
        <v>127455.21906737208</v>
      </c>
      <c r="F163" s="12">
        <f t="shared" si="24"/>
        <v>156422.06749882112</v>
      </c>
      <c r="G163" s="12">
        <f t="shared" si="24"/>
        <v>19333.064522326229</v>
      </c>
      <c r="H163" s="9"/>
      <c r="I163" s="12">
        <f t="shared" si="21"/>
        <v>2274.7723701293612</v>
      </c>
      <c r="J163" s="12">
        <f t="shared" si="22"/>
        <v>3841.7447434671035</v>
      </c>
      <c r="K163" s="12">
        <f t="shared" si="23"/>
        <v>474.82238402402447</v>
      </c>
    </row>
    <row r="164" spans="2:11" x14ac:dyDescent="0.25">
      <c r="B164" s="10">
        <v>160</v>
      </c>
      <c r="C164" s="21">
        <v>44051</v>
      </c>
      <c r="D164" s="12">
        <f t="shared" si="18"/>
        <v>38901.263164872304</v>
      </c>
      <c r="E164" s="12">
        <f t="shared" si="19"/>
        <v>125331.09751173471</v>
      </c>
      <c r="F164" s="12">
        <f t="shared" si="24"/>
        <v>160203.23899781983</v>
      </c>
      <c r="G164" s="12">
        <f t="shared" si="24"/>
        <v>19800.40032557326</v>
      </c>
      <c r="H164" s="9"/>
      <c r="I164" s="12">
        <f t="shared" si="21"/>
        <v>2124.3857466083728</v>
      </c>
      <c r="J164" s="12">
        <f t="shared" si="22"/>
        <v>3781.1714989987045</v>
      </c>
      <c r="K164" s="12">
        <f t="shared" si="23"/>
        <v>467.33580324703138</v>
      </c>
    </row>
    <row r="165" spans="2:11" x14ac:dyDescent="0.25">
      <c r="B165" s="10">
        <v>161</v>
      </c>
      <c r="C165" s="21">
        <v>44052</v>
      </c>
      <c r="D165" s="12">
        <f t="shared" si="18"/>
        <v>36917.599788917461</v>
      </c>
      <c r="E165" s="12">
        <f t="shared" si="19"/>
        <v>123137.05763729841</v>
      </c>
      <c r="F165" s="12">
        <f t="shared" si="24"/>
        <v>163921.39489066796</v>
      </c>
      <c r="G165" s="12">
        <f t="shared" si="24"/>
        <v>20259.947683116286</v>
      </c>
      <c r="H165" s="9"/>
      <c r="I165" s="12">
        <f t="shared" si="21"/>
        <v>1983.6633759548413</v>
      </c>
      <c r="J165" s="12">
        <f t="shared" si="22"/>
        <v>3718.1558928481295</v>
      </c>
      <c r="K165" s="12">
        <f t="shared" si="23"/>
        <v>459.54735754302772</v>
      </c>
    </row>
    <row r="166" spans="2:11" x14ac:dyDescent="0.25">
      <c r="B166" s="10">
        <v>162</v>
      </c>
      <c r="C166" s="21">
        <v>44053</v>
      </c>
      <c r="D166" s="12">
        <f t="shared" si="18"/>
        <v>35065.419528587059</v>
      </c>
      <c r="E166" s="12">
        <f t="shared" si="19"/>
        <v>120884.66930971885</v>
      </c>
      <c r="F166" s="12">
        <f t="shared" ref="F166:G181" si="25">F165+J166</f>
        <v>167574.4609339078</v>
      </c>
      <c r="G166" s="12">
        <f t="shared" si="25"/>
        <v>20711.450227786379</v>
      </c>
      <c r="H166" s="9"/>
      <c r="I166" s="12">
        <f t="shared" si="21"/>
        <v>1852.1802603304</v>
      </c>
      <c r="J166" s="12">
        <f t="shared" si="22"/>
        <v>3653.0660432398522</v>
      </c>
      <c r="K166" s="12">
        <f t="shared" si="23"/>
        <v>451.50254467009455</v>
      </c>
    </row>
    <row r="167" spans="2:11" x14ac:dyDescent="0.25">
      <c r="B167" s="10">
        <v>163</v>
      </c>
      <c r="C167" s="21">
        <v>44054</v>
      </c>
      <c r="D167" s="12">
        <f t="shared" si="18"/>
        <v>33335.933907197992</v>
      </c>
      <c r="E167" s="12">
        <f t="shared" si="19"/>
        <v>118584.66595411728</v>
      </c>
      <c r="F167" s="12">
        <f t="shared" si="25"/>
        <v>171160.70612342947</v>
      </c>
      <c r="G167" s="12">
        <f t="shared" si="25"/>
        <v>21154.694015255351</v>
      </c>
      <c r="H167" s="9"/>
      <c r="I167" s="12">
        <f t="shared" si="21"/>
        <v>1729.4856213890641</v>
      </c>
      <c r="J167" s="12">
        <f t="shared" si="22"/>
        <v>3586.2451895216591</v>
      </c>
      <c r="K167" s="12">
        <f t="shared" si="23"/>
        <v>443.24378746896951</v>
      </c>
    </row>
    <row r="168" spans="2:11" x14ac:dyDescent="0.25">
      <c r="B168" s="10">
        <v>164</v>
      </c>
      <c r="C168" s="21">
        <v>44055</v>
      </c>
      <c r="D168" s="12">
        <f t="shared" si="18"/>
        <v>31720.819606951492</v>
      </c>
      <c r="E168" s="12">
        <f t="shared" si="19"/>
        <v>116246.95805589321</v>
      </c>
      <c r="F168" s="12">
        <f t="shared" si="25"/>
        <v>174678.71788006829</v>
      </c>
      <c r="G168" s="12">
        <f t="shared" si="25"/>
        <v>21589.504457087114</v>
      </c>
      <c r="H168" s="9"/>
      <c r="I168" s="12">
        <f t="shared" si="21"/>
        <v>1615.1143002464989</v>
      </c>
      <c r="J168" s="12">
        <f t="shared" si="22"/>
        <v>3518.0117566388126</v>
      </c>
      <c r="K168" s="12">
        <f t="shared" si="23"/>
        <v>434.81044183176374</v>
      </c>
    </row>
    <row r="169" spans="2:11" x14ac:dyDescent="0.25">
      <c r="B169" s="10">
        <v>165</v>
      </c>
      <c r="C169" s="21">
        <v>44056</v>
      </c>
      <c r="D169" s="12">
        <f t="shared" si="18"/>
        <v>30212.223522624343</v>
      </c>
      <c r="E169" s="12">
        <f t="shared" si="19"/>
        <v>113880.65553835724</v>
      </c>
      <c r="F169" s="12">
        <f t="shared" si="25"/>
        <v>178127.37763572644</v>
      </c>
      <c r="G169" s="12">
        <f t="shared" si="25"/>
        <v>22015.743303292056</v>
      </c>
      <c r="H169" s="9"/>
      <c r="I169" s="12">
        <f t="shared" si="21"/>
        <v>1508.5960843271494</v>
      </c>
      <c r="J169" s="12">
        <f t="shared" si="22"/>
        <v>3448.6597556581646</v>
      </c>
      <c r="K169" s="12">
        <f t="shared" si="23"/>
        <v>426.23884620494215</v>
      </c>
    </row>
    <row r="170" spans="2:11" x14ac:dyDescent="0.25">
      <c r="B170" s="10">
        <v>166</v>
      </c>
      <c r="C170" s="21">
        <v>44057</v>
      </c>
      <c r="D170" s="12">
        <f t="shared" si="18"/>
        <v>28802.760328411965</v>
      </c>
      <c r="E170" s="12">
        <f t="shared" si="19"/>
        <v>111494.09688129106</v>
      </c>
      <c r="F170" s="12">
        <f t="shared" si="25"/>
        <v>181505.83708336437</v>
      </c>
      <c r="G170" s="12">
        <f t="shared" si="25"/>
        <v>22433.305706932701</v>
      </c>
      <c r="H170" s="9"/>
      <c r="I170" s="12">
        <f t="shared" si="21"/>
        <v>1409.4631942123781</v>
      </c>
      <c r="J170" s="12">
        <f t="shared" si="22"/>
        <v>3378.4594476379311</v>
      </c>
      <c r="K170" s="12">
        <f t="shared" si="23"/>
        <v>417.56240364064359</v>
      </c>
    </row>
    <row r="171" spans="2:11" x14ac:dyDescent="0.25">
      <c r="B171" s="10">
        <v>167</v>
      </c>
      <c r="C171" s="21">
        <v>44058</v>
      </c>
      <c r="D171" s="12">
        <f t="shared" si="18"/>
        <v>27485.504163115354</v>
      </c>
      <c r="E171" s="12">
        <f t="shared" si="19"/>
        <v>109094.88315054463</v>
      </c>
      <c r="F171" s="12">
        <f t="shared" si="25"/>
        <v>184813.49529084266</v>
      </c>
      <c r="G171" s="12">
        <f t="shared" si="25"/>
        <v>22842.117395497437</v>
      </c>
      <c r="H171" s="9"/>
      <c r="I171" s="12">
        <f t="shared" si="21"/>
        <v>1317.2561652966103</v>
      </c>
      <c r="J171" s="12">
        <f t="shared" si="22"/>
        <v>3307.6582074783009</v>
      </c>
      <c r="K171" s="12">
        <f t="shared" si="23"/>
        <v>408.81168856473425</v>
      </c>
    </row>
    <row r="172" spans="2:11" x14ac:dyDescent="0.25">
      <c r="B172" s="10">
        <v>168</v>
      </c>
      <c r="C172" s="21">
        <v>44059</v>
      </c>
      <c r="D172" s="12">
        <f t="shared" si="18"/>
        <v>26253.975812377459</v>
      </c>
      <c r="E172" s="12">
        <f t="shared" si="19"/>
        <v>106689.91539626438</v>
      </c>
      <c r="F172" s="12">
        <f t="shared" si="25"/>
        <v>188049.97682430883</v>
      </c>
      <c r="G172" s="12">
        <f t="shared" si="25"/>
        <v>23242.131967049434</v>
      </c>
      <c r="H172" s="9"/>
      <c r="I172" s="12">
        <f t="shared" si="21"/>
        <v>1231.5283507378954</v>
      </c>
      <c r="J172" s="12">
        <f t="shared" si="22"/>
        <v>3236.4815334661566</v>
      </c>
      <c r="K172" s="12">
        <f t="shared" si="23"/>
        <v>400.01457155199734</v>
      </c>
    </row>
    <row r="173" spans="2:11" x14ac:dyDescent="0.25">
      <c r="B173" s="10">
        <v>169</v>
      </c>
      <c r="C173" s="21">
        <v>44060</v>
      </c>
      <c r="D173" s="12">
        <f t="shared" si="18"/>
        <v>25102.126555090468</v>
      </c>
      <c r="E173" s="12">
        <f t="shared" si="19"/>
        <v>104285.43414034255</v>
      </c>
      <c r="F173" s="12">
        <f t="shared" si="25"/>
        <v>191215.11098106467</v>
      </c>
      <c r="G173" s="12">
        <f t="shared" si="25"/>
        <v>23633.328323502403</v>
      </c>
      <c r="H173" s="9"/>
      <c r="I173" s="12">
        <f t="shared" si="21"/>
        <v>1151.8492572869895</v>
      </c>
      <c r="J173" s="12">
        <f t="shared" si="22"/>
        <v>3165.1341567558429</v>
      </c>
      <c r="K173" s="12">
        <f t="shared" si="23"/>
        <v>391.19635645296972</v>
      </c>
    </row>
    <row r="174" spans="2:11" x14ac:dyDescent="0.25">
      <c r="B174" s="10">
        <v>170</v>
      </c>
      <c r="C174" s="21">
        <v>44061</v>
      </c>
      <c r="D174" s="12">
        <f t="shared" si="18"/>
        <v>24024.319648310833</v>
      </c>
      <c r="E174" s="12">
        <f t="shared" si="19"/>
        <v>101887.05990911076</v>
      </c>
      <c r="F174" s="12">
        <f t="shared" si="25"/>
        <v>194308.91219389482</v>
      </c>
      <c r="G174" s="12">
        <f t="shared" si="25"/>
        <v>24015.708248683659</v>
      </c>
      <c r="H174" s="9"/>
      <c r="I174" s="12">
        <f t="shared" si="21"/>
        <v>1077.806906779635</v>
      </c>
      <c r="J174" s="12">
        <f t="shared" si="22"/>
        <v>3093.8012128301621</v>
      </c>
      <c r="K174" s="12">
        <f t="shared" si="23"/>
        <v>382.37992518125634</v>
      </c>
    </row>
    <row r="175" spans="2:11" x14ac:dyDescent="0.25">
      <c r="B175" s="10">
        <v>171</v>
      </c>
      <c r="C175" s="21">
        <v>44062</v>
      </c>
      <c r="D175" s="12">
        <f t="shared" si="18"/>
        <v>23015.310252902844</v>
      </c>
      <c r="E175" s="12">
        <f t="shared" si="19"/>
        <v>99499.833974215071</v>
      </c>
      <c r="F175" s="12">
        <f t="shared" si="25"/>
        <v>197331.56163786512</v>
      </c>
      <c r="G175" s="12">
        <f t="shared" si="25"/>
        <v>24389.294135017066</v>
      </c>
      <c r="H175" s="9"/>
      <c r="I175" s="12">
        <f t="shared" si="21"/>
        <v>1009.0093954079889</v>
      </c>
      <c r="J175" s="12">
        <f t="shared" si="22"/>
        <v>3022.6494439702856</v>
      </c>
      <c r="K175" s="12">
        <f t="shared" si="23"/>
        <v>373.58588633340639</v>
      </c>
    </row>
    <row r="176" spans="2:11" x14ac:dyDescent="0.25">
      <c r="B176" s="10">
        <v>172</v>
      </c>
      <c r="C176" s="21">
        <v>44063</v>
      </c>
      <c r="D176" s="12">
        <f t="shared" si="18"/>
        <v>22070.224451083097</v>
      </c>
      <c r="E176" s="12">
        <f t="shared" si="19"/>
        <v>97128.258643560985</v>
      </c>
      <c r="F176" s="12">
        <f t="shared" si="25"/>
        <v>200283.39004576684</v>
      </c>
      <c r="G176" s="12">
        <f t="shared" si="25"/>
        <v>24754.126859589189</v>
      </c>
      <c r="H176" s="9"/>
      <c r="I176" s="12">
        <f t="shared" si="21"/>
        <v>945.08580181974799</v>
      </c>
      <c r="J176" s="12">
        <f t="shared" si="22"/>
        <v>2951.828407901713</v>
      </c>
      <c r="K176" s="12">
        <f t="shared" si="23"/>
        <v>364.83272457212223</v>
      </c>
    </row>
    <row r="177" spans="2:11" x14ac:dyDescent="0.25">
      <c r="B177" s="10">
        <v>173</v>
      </c>
      <c r="C177" s="21">
        <v>44064</v>
      </c>
      <c r="D177" s="12">
        <f t="shared" si="18"/>
        <v>21184.537876439583</v>
      </c>
      <c r="E177" s="12">
        <f t="shared" si="19"/>
        <v>94776.336596752459</v>
      </c>
      <c r="F177" s="12">
        <f t="shared" si="25"/>
        <v>203164.86171885915</v>
      </c>
      <c r="G177" s="12">
        <f t="shared" si="25"/>
        <v>25110.263807948912</v>
      </c>
      <c r="H177" s="9"/>
      <c r="I177" s="12">
        <f t="shared" si="21"/>
        <v>885.68657464351338</v>
      </c>
      <c r="J177" s="12">
        <f t="shared" si="22"/>
        <v>2881.4716730923092</v>
      </c>
      <c r="K177" s="12">
        <f t="shared" si="23"/>
        <v>356.13694835972393</v>
      </c>
    </row>
    <row r="178" spans="2:11" x14ac:dyDescent="0.25">
      <c r="B178" s="10">
        <v>174</v>
      </c>
      <c r="C178" s="21">
        <v>44065</v>
      </c>
      <c r="D178" s="12">
        <f t="shared" si="18"/>
        <v>20354.054365575124</v>
      </c>
      <c r="E178" s="12">
        <f t="shared" si="19"/>
        <v>92447.608887725175</v>
      </c>
      <c r="F178" s="12">
        <f t="shared" si="25"/>
        <v>205976.55970456279</v>
      </c>
      <c r="G178" s="12">
        <f t="shared" si="25"/>
        <v>25457.777042137004</v>
      </c>
      <c r="H178" s="9"/>
      <c r="I178" s="12">
        <f t="shared" si="21"/>
        <v>830.48351086445894</v>
      </c>
      <c r="J178" s="12">
        <f t="shared" si="22"/>
        <v>2811.6979857036558</v>
      </c>
      <c r="K178" s="12">
        <f t="shared" si="23"/>
        <v>347.51323418809267</v>
      </c>
    </row>
    <row r="179" spans="2:11" x14ac:dyDescent="0.25">
      <c r="B179" s="10">
        <v>175</v>
      </c>
      <c r="C179" s="21">
        <v>44066</v>
      </c>
      <c r="D179" s="12">
        <f t="shared" si="18"/>
        <v>19574.884946614431</v>
      </c>
      <c r="E179" s="12">
        <f t="shared" si="19"/>
        <v>90145.191343761704</v>
      </c>
      <c r="F179" s="12">
        <f t="shared" si="25"/>
        <v>208719.17210156532</v>
      </c>
      <c r="G179" s="12">
        <f t="shared" si="25"/>
        <v>25796.751608058665</v>
      </c>
      <c r="H179" s="9"/>
      <c r="I179" s="12">
        <f t="shared" si="21"/>
        <v>779.16941896069261</v>
      </c>
      <c r="J179" s="12">
        <f t="shared" si="22"/>
        <v>2742.6123970025133</v>
      </c>
      <c r="K179" s="12">
        <f t="shared" si="23"/>
        <v>338.97456592165929</v>
      </c>
    </row>
    <row r="180" spans="2:11" x14ac:dyDescent="0.25">
      <c r="B180" s="10">
        <v>176</v>
      </c>
      <c r="C180" s="21">
        <v>44067</v>
      </c>
      <c r="D180" s="12">
        <f t="shared" si="18"/>
        <v>18843.427401572091</v>
      </c>
      <c r="E180" s="12">
        <f t="shared" si="19"/>
        <v>87871.80917734532</v>
      </c>
      <c r="F180" s="12">
        <f t="shared" si="25"/>
        <v>211393.47944476359</v>
      </c>
      <c r="G180" s="12">
        <f t="shared" si="25"/>
        <v>26127.283976319126</v>
      </c>
      <c r="H180" s="9"/>
      <c r="I180" s="12">
        <f t="shared" si="21"/>
        <v>731.45754504234048</v>
      </c>
      <c r="J180" s="12">
        <f t="shared" si="22"/>
        <v>2674.3073431982634</v>
      </c>
      <c r="K180" s="12">
        <f t="shared" si="23"/>
        <v>330.53236826045992</v>
      </c>
    </row>
    <row r="181" spans="2:11" x14ac:dyDescent="0.25">
      <c r="B181" s="10">
        <v>177</v>
      </c>
      <c r="C181" s="21">
        <v>44068</v>
      </c>
      <c r="D181" s="12">
        <f t="shared" si="18"/>
        <v>18156.346575117655</v>
      </c>
      <c r="E181" s="12">
        <f t="shared" si="19"/>
        <v>85629.829697888243</v>
      </c>
      <c r="F181" s="12">
        <f t="shared" si="25"/>
        <v>214000.34311702484</v>
      </c>
      <c r="G181" s="12">
        <f t="shared" si="25"/>
        <v>26449.480609969392</v>
      </c>
      <c r="H181" s="9"/>
      <c r="I181" s="12">
        <f t="shared" si="21"/>
        <v>687.08082645443403</v>
      </c>
      <c r="J181" s="12">
        <f t="shared" si="22"/>
        <v>2606.8636722612441</v>
      </c>
      <c r="K181" s="12">
        <f t="shared" si="23"/>
        <v>322.19663365026645</v>
      </c>
    </row>
    <row r="182" spans="2:11" x14ac:dyDescent="0.25">
      <c r="B182" s="10">
        <v>178</v>
      </c>
      <c r="C182" s="21">
        <v>44069</v>
      </c>
      <c r="D182" s="12">
        <f t="shared" si="18"/>
        <v>17510.5555497606</v>
      </c>
      <c r="E182" s="12">
        <f t="shared" si="19"/>
        <v>83421.293066649028</v>
      </c>
      <c r="F182" s="12">
        <f t="shared" ref="F182:G197" si="26">F181+J182</f>
        <v>216540.69473139552</v>
      </c>
      <c r="G182" s="12">
        <f t="shared" si="26"/>
        <v>26763.456652194982</v>
      </c>
      <c r="H182" s="9"/>
      <c r="I182" s="12">
        <f t="shared" si="21"/>
        <v>645.79102535705397</v>
      </c>
      <c r="J182" s="12">
        <f t="shared" si="22"/>
        <v>2540.3516143706843</v>
      </c>
      <c r="K182" s="12">
        <f t="shared" si="23"/>
        <v>313.9760422255905</v>
      </c>
    </row>
    <row r="183" spans="2:11" x14ac:dyDescent="0.25">
      <c r="B183" s="10">
        <v>179</v>
      </c>
      <c r="C183" s="21">
        <v>44070</v>
      </c>
      <c r="D183" s="12">
        <f t="shared" si="18"/>
        <v>16903.197765193872</v>
      </c>
      <c r="E183" s="12">
        <f t="shared" si="19"/>
        <v>81247.941082327452</v>
      </c>
      <c r="F183" s="12">
        <f t="shared" si="26"/>
        <v>219015.52642570611</v>
      </c>
      <c r="G183" s="12">
        <f t="shared" si="26"/>
        <v>27069.334726772697</v>
      </c>
      <c r="H183" s="9"/>
      <c r="I183" s="12">
        <f t="shared" si="21"/>
        <v>607.35778456672654</v>
      </c>
      <c r="J183" s="12">
        <f t="shared" si="22"/>
        <v>2474.8316943105879</v>
      </c>
      <c r="K183" s="12">
        <f t="shared" si="23"/>
        <v>305.87807457771333</v>
      </c>
    </row>
    <row r="184" spans="2:11" x14ac:dyDescent="0.25">
      <c r="B184" s="10">
        <v>180</v>
      </c>
      <c r="C184" s="21">
        <v>44071</v>
      </c>
      <c r="D184" s="12">
        <f t="shared" si="18"/>
        <v>16331.63012591213</v>
      </c>
      <c r="E184" s="12">
        <f t="shared" si="19"/>
        <v>79111.244018864949</v>
      </c>
      <c r="F184" s="12">
        <f t="shared" si="26"/>
        <v>221425.8820111485</v>
      </c>
      <c r="G184" s="12">
        <f t="shared" si="26"/>
        <v>27367.243844074565</v>
      </c>
      <c r="H184" s="9"/>
      <c r="I184" s="12">
        <f t="shared" si="21"/>
        <v>571.56763928174155</v>
      </c>
      <c r="J184" s="12">
        <f t="shared" si="22"/>
        <v>2410.3555854423807</v>
      </c>
      <c r="K184" s="12">
        <f t="shared" si="23"/>
        <v>297.90911730186758</v>
      </c>
    </row>
    <row r="185" spans="2:11" x14ac:dyDescent="0.25">
      <c r="B185" s="10">
        <v>181</v>
      </c>
      <c r="C185" s="21">
        <v>44072</v>
      </c>
      <c r="D185" s="12">
        <f t="shared" si="18"/>
        <v>15793.40711485734</v>
      </c>
      <c r="E185" s="12">
        <f t="shared" si="19"/>
        <v>77012.425562624252</v>
      </c>
      <c r="F185" s="12">
        <f t="shared" si="26"/>
        <v>223772.8489170415</v>
      </c>
      <c r="G185" s="12">
        <f t="shared" si="26"/>
        <v>27657.318405477068</v>
      </c>
      <c r="H185" s="9"/>
      <c r="I185" s="12">
        <f t="shared" si="21"/>
        <v>538.22301105478994</v>
      </c>
      <c r="J185" s="12">
        <f t="shared" si="22"/>
        <v>2346.9669058929931</v>
      </c>
      <c r="K185" s="12">
        <f t="shared" si="23"/>
        <v>290.07456140250508</v>
      </c>
    </row>
    <row r="186" spans="2:11" x14ac:dyDescent="0.25">
      <c r="B186" s="10">
        <v>182</v>
      </c>
      <c r="C186" s="21">
        <v>44073</v>
      </c>
      <c r="D186" s="12">
        <f t="shared" si="18"/>
        <v>15286.265910507476</v>
      </c>
      <c r="E186" s="12">
        <f t="shared" si="19"/>
        <v>74952.485914886653</v>
      </c>
      <c r="F186" s="12">
        <f t="shared" si="26"/>
        <v>226057.55087539935</v>
      </c>
      <c r="G186" s="12">
        <f t="shared" si="26"/>
        <v>27939.697299206691</v>
      </c>
      <c r="H186" s="9"/>
      <c r="I186" s="12">
        <f t="shared" si="21"/>
        <v>507.14120434986415</v>
      </c>
      <c r="J186" s="12">
        <f t="shared" si="22"/>
        <v>2284.7019583578526</v>
      </c>
      <c r="K186" s="12">
        <f t="shared" si="23"/>
        <v>282.37889372962246</v>
      </c>
    </row>
    <row r="187" spans="2:11" x14ac:dyDescent="0.25">
      <c r="B187" s="10">
        <v>183</v>
      </c>
      <c r="C187" s="13">
        <v>44074</v>
      </c>
      <c r="D187" s="12">
        <f t="shared" si="18"/>
        <v>14808.112489444342</v>
      </c>
      <c r="E187" s="12">
        <f t="shared" si="19"/>
        <v>72932.223138786896</v>
      </c>
      <c r="F187" s="12">
        <f t="shared" si="26"/>
        <v>228281.14129087431</v>
      </c>
      <c r="G187" s="12">
        <f t="shared" si="26"/>
        <v>28214.523080894611</v>
      </c>
      <c r="H187" s="9"/>
      <c r="I187" s="12">
        <f t="shared" si="21"/>
        <v>478.15342106313443</v>
      </c>
      <c r="J187" s="12">
        <f t="shared" si="22"/>
        <v>2223.5904154749705</v>
      </c>
      <c r="K187" s="12">
        <f t="shared" si="23"/>
        <v>274.82578168791798</v>
      </c>
    </row>
    <row r="188" spans="2:11" x14ac:dyDescent="0.25">
      <c r="B188" s="10">
        <v>184</v>
      </c>
      <c r="C188" s="21">
        <v>44075</v>
      </c>
      <c r="D188" s="12">
        <f t="shared" si="18"/>
        <v>14357.00868509767</v>
      </c>
      <c r="E188" s="12">
        <f t="shared" si="19"/>
        <v>70952.252838507338</v>
      </c>
      <c r="F188" s="12">
        <f t="shared" si="26"/>
        <v>230444.79724399166</v>
      </c>
      <c r="G188" s="12">
        <f t="shared" si="26"/>
        <v>28481.941232403497</v>
      </c>
      <c r="H188" s="9"/>
      <c r="I188" s="12">
        <f t="shared" si="21"/>
        <v>451.10380434667161</v>
      </c>
      <c r="J188" s="12">
        <f t="shared" si="22"/>
        <v>2163.6559531173443</v>
      </c>
      <c r="K188" s="12">
        <f t="shared" si="23"/>
        <v>267.4181515088855</v>
      </c>
    </row>
    <row r="189" spans="2:11" x14ac:dyDescent="0.25">
      <c r="B189" s="10">
        <v>185</v>
      </c>
      <c r="C189" s="21">
        <v>44076</v>
      </c>
      <c r="D189" s="12">
        <f t="shared" si="18"/>
        <v>13931.160165287229</v>
      </c>
      <c r="E189" s="12">
        <f t="shared" si="19"/>
        <v>69013.026263700871</v>
      </c>
      <c r="F189" s="12">
        <f t="shared" si="26"/>
        <v>232549.71407820072</v>
      </c>
      <c r="G189" s="12">
        <f t="shared" si="26"/>
        <v>28742.099492811358</v>
      </c>
      <c r="H189" s="9"/>
      <c r="I189" s="12">
        <f t="shared" si="21"/>
        <v>425.84851981044039</v>
      </c>
      <c r="J189" s="12">
        <f t="shared" si="22"/>
        <v>2104.9168342090506</v>
      </c>
      <c r="K189" s="12">
        <f t="shared" si="23"/>
        <v>260.1582604078605</v>
      </c>
    </row>
    <row r="190" spans="2:11" x14ac:dyDescent="0.25">
      <c r="B190" s="10">
        <v>186</v>
      </c>
      <c r="C190" s="21">
        <v>44077</v>
      </c>
      <c r="D190" s="12">
        <f t="shared" si="18"/>
        <v>13528.905285719271</v>
      </c>
      <c r="E190" s="12">
        <f t="shared" si="19"/>
        <v>67114.846934478803</v>
      </c>
      <c r="F190" s="12">
        <f t="shared" si="26"/>
        <v>234597.10052402384</v>
      </c>
      <c r="G190" s="12">
        <f t="shared" si="26"/>
        <v>28995.147255778262</v>
      </c>
      <c r="H190" s="9"/>
      <c r="I190" s="12">
        <f t="shared" si="21"/>
        <v>402.25487956795752</v>
      </c>
      <c r="J190" s="12">
        <f t="shared" si="22"/>
        <v>2047.3864458231255</v>
      </c>
      <c r="K190" s="12">
        <f t="shared" si="23"/>
        <v>253.04776296690343</v>
      </c>
    </row>
    <row r="191" spans="2:11" x14ac:dyDescent="0.25">
      <c r="B191" s="10">
        <v>187</v>
      </c>
      <c r="C191" s="21">
        <v>44078</v>
      </c>
      <c r="D191" s="12">
        <f t="shared" si="18"/>
        <v>13148.704773193676</v>
      </c>
      <c r="E191" s="12">
        <f t="shared" si="19"/>
        <v>65257.885882521776</v>
      </c>
      <c r="F191" s="12">
        <f t="shared" si="26"/>
        <v>236588.17431641338</v>
      </c>
      <c r="G191" s="12">
        <f t="shared" si="26"/>
        <v>29241.235027871349</v>
      </c>
      <c r="H191" s="9"/>
      <c r="I191" s="12">
        <f t="shared" si="21"/>
        <v>380.20051252559421</v>
      </c>
      <c r="J191" s="12">
        <f t="shared" si="22"/>
        <v>1991.0737923895374</v>
      </c>
      <c r="K191" s="12">
        <f t="shared" si="23"/>
        <v>246.08777209308917</v>
      </c>
    </row>
    <row r="192" spans="2:11" x14ac:dyDescent="0.25">
      <c r="B192" s="10">
        <v>188</v>
      </c>
      <c r="C192" s="21">
        <v>44079</v>
      </c>
      <c r="D192" s="12">
        <f t="shared" si="18"/>
        <v>12789.132190493227</v>
      </c>
      <c r="E192" s="12">
        <f t="shared" si="19"/>
        <v>63442.195602471504</v>
      </c>
      <c r="F192" s="12">
        <f t="shared" si="26"/>
        <v>238524.15826426152</v>
      </c>
      <c r="G192" s="12">
        <f t="shared" si="26"/>
        <v>29480.51394277393</v>
      </c>
      <c r="H192" s="9"/>
      <c r="I192" s="12">
        <f t="shared" si="21"/>
        <v>359.57258270044991</v>
      </c>
      <c r="J192" s="12">
        <f t="shared" si="22"/>
        <v>1935.9839478481458</v>
      </c>
      <c r="K192" s="12">
        <f t="shared" si="23"/>
        <v>239.27891490258006</v>
      </c>
    </row>
    <row r="193" spans="2:11" x14ac:dyDescent="0.25">
      <c r="B193" s="10">
        <v>189</v>
      </c>
      <c r="C193" s="21">
        <v>44080</v>
      </c>
      <c r="D193" s="12">
        <f t="shared" si="18"/>
        <v>12448.865134386933</v>
      </c>
      <c r="E193" s="12">
        <f t="shared" si="19"/>
        <v>61667.722805162077</v>
      </c>
      <c r="F193" s="12">
        <f t="shared" si="26"/>
        <v>240406.27673380153</v>
      </c>
      <c r="G193" s="12">
        <f t="shared" si="26"/>
        <v>29713.135326649659</v>
      </c>
      <c r="H193" s="9"/>
      <c r="I193" s="12">
        <f t="shared" si="21"/>
        <v>340.26705610629375</v>
      </c>
      <c r="J193" s="12">
        <f t="shared" si="22"/>
        <v>1882.1184695399877</v>
      </c>
      <c r="K193" s="12">
        <f t="shared" si="23"/>
        <v>232.62138387572904</v>
      </c>
    </row>
    <row r="194" spans="2:11" x14ac:dyDescent="0.25">
      <c r="B194" s="10">
        <v>190</v>
      </c>
      <c r="C194" s="21">
        <v>44081</v>
      </c>
      <c r="D194" s="12">
        <f t="shared" si="18"/>
        <v>12126.677118584192</v>
      </c>
      <c r="E194" s="12">
        <f t="shared" si="19"/>
        <v>59934.32006079275</v>
      </c>
      <c r="F194" s="12">
        <f t="shared" si="26"/>
        <v>242235.75251035468</v>
      </c>
      <c r="G194" s="12">
        <f t="shared" si="26"/>
        <v>29939.250310268588</v>
      </c>
      <c r="H194" s="9"/>
      <c r="I194" s="12">
        <f t="shared" si="21"/>
        <v>322.18801580274175</v>
      </c>
      <c r="J194" s="12">
        <f t="shared" si="22"/>
        <v>1829.4757765531415</v>
      </c>
      <c r="K194" s="12">
        <f t="shared" si="23"/>
        <v>226.11498361892782</v>
      </c>
    </row>
    <row r="195" spans="2:11" x14ac:dyDescent="0.25">
      <c r="B195" s="10">
        <v>191</v>
      </c>
      <c r="C195" s="21">
        <v>44082</v>
      </c>
      <c r="D195" s="12">
        <f t="shared" si="18"/>
        <v>11821.43009458222</v>
      </c>
      <c r="E195" s="12">
        <f t="shared" si="19"/>
        <v>58241.756416101634</v>
      </c>
      <c r="F195" s="12">
        <f t="shared" si="26"/>
        <v>244013.80400549152</v>
      </c>
      <c r="G195" s="12">
        <f t="shared" si="26"/>
        <v>30159.00948382483</v>
      </c>
      <c r="H195" s="9"/>
      <c r="I195" s="12">
        <f t="shared" si="21"/>
        <v>305.24702400197248</v>
      </c>
      <c r="J195" s="12">
        <f t="shared" si="22"/>
        <v>1778.0514951368516</v>
      </c>
      <c r="K195" s="12">
        <f t="shared" si="23"/>
        <v>219.75917355624026</v>
      </c>
    </row>
    <row r="196" spans="2:11" x14ac:dyDescent="0.25">
      <c r="B196" s="10">
        <v>192</v>
      </c>
      <c r="C196" s="21">
        <v>44083</v>
      </c>
      <c r="D196" s="12">
        <f t="shared" si="18"/>
        <v>11532.067564960495</v>
      </c>
      <c r="E196" s="12">
        <f t="shared" si="19"/>
        <v>56589.727065186642</v>
      </c>
      <c r="F196" s="12">
        <f t="shared" si="26"/>
        <v>245741.6427791692</v>
      </c>
      <c r="G196" s="12">
        <f t="shared" si="26"/>
        <v>30372.562590683869</v>
      </c>
      <c r="H196" s="9"/>
      <c r="I196" s="12">
        <f t="shared" si="21"/>
        <v>289.3625296217258</v>
      </c>
      <c r="J196" s="12">
        <f t="shared" si="22"/>
        <v>1727.8387736776817</v>
      </c>
      <c r="K196" s="12">
        <f t="shared" si="23"/>
        <v>213.5531068590395</v>
      </c>
    </row>
    <row r="197" spans="2:11" x14ac:dyDescent="0.25">
      <c r="B197" s="10">
        <v>193</v>
      </c>
      <c r="C197" s="21">
        <v>44084</v>
      </c>
      <c r="D197" s="12">
        <f t="shared" si="18"/>
        <v>11257.60824563733</v>
      </c>
      <c r="E197" s="12">
        <f t="shared" si="19"/>
        <v>54977.86214900358</v>
      </c>
      <c r="F197" s="12">
        <f t="shared" si="26"/>
        <v>247420.47134876973</v>
      </c>
      <c r="G197" s="12">
        <f t="shared" si="26"/>
        <v>30580.058256589553</v>
      </c>
      <c r="H197" s="9"/>
      <c r="I197" s="12">
        <f t="shared" si="21"/>
        <v>274.45931932316449</v>
      </c>
      <c r="J197" s="12">
        <f t="shared" si="22"/>
        <v>1678.8285696005369</v>
      </c>
      <c r="K197" s="12">
        <f t="shared" si="23"/>
        <v>207.49566590568455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10997.140235792825</v>
      </c>
      <c r="E198" s="12">
        <f t="shared" ref="E198:E204" si="28">E197+I198-J198-K198</f>
        <v>53405.734753881297</v>
      </c>
      <c r="F198" s="12">
        <f t="shared" ref="F198:G204" si="29">F197+J198</f>
        <v>249051.48125919016</v>
      </c>
      <c r="G198" s="12">
        <f t="shared" si="29"/>
        <v>30781.6437511359</v>
      </c>
      <c r="H198" s="9"/>
      <c r="I198" s="12">
        <f t="shared" ref="I198:I204" si="30">E197*N$6*D197/SUM(D197:F197)*N$7</f>
        <v>260.46800984450391</v>
      </c>
      <c r="J198" s="12">
        <f t="shared" ref="J198:J204" si="31">E197*N$8/N$5</f>
        <v>1631.0099104204394</v>
      </c>
      <c r="K198" s="12">
        <f t="shared" ref="K198:K204" si="32">E197*N$9/N$5</f>
        <v>201.58549454634664</v>
      </c>
    </row>
    <row r="199" spans="2:11" x14ac:dyDescent="0.25">
      <c r="B199" s="10">
        <v>195</v>
      </c>
      <c r="C199" s="21">
        <v>44086</v>
      </c>
      <c r="D199" s="12">
        <f t="shared" si="27"/>
        <v>10749.815656483626</v>
      </c>
      <c r="E199" s="12">
        <f t="shared" si="28"/>
        <v>51872.868174727788</v>
      </c>
      <c r="F199" s="12">
        <f t="shared" si="29"/>
        <v>250635.85139022197</v>
      </c>
      <c r="G199" s="12">
        <f t="shared" si="29"/>
        <v>30977.464778566798</v>
      </c>
      <c r="H199" s="9"/>
      <c r="I199" s="12">
        <f t="shared" si="30"/>
        <v>247.32457930919955</v>
      </c>
      <c r="J199" s="12">
        <f t="shared" si="31"/>
        <v>1584.3701310318115</v>
      </c>
      <c r="K199" s="12">
        <f t="shared" si="32"/>
        <v>195.82102743089825</v>
      </c>
    </row>
    <row r="200" spans="2:11" x14ac:dyDescent="0.25">
      <c r="B200" s="10">
        <v>196</v>
      </c>
      <c r="C200" s="21">
        <v>44087</v>
      </c>
      <c r="D200" s="12">
        <f t="shared" si="27"/>
        <v>10514.84572135463</v>
      </c>
      <c r="E200" s="12">
        <f t="shared" si="28"/>
        <v>50378.742504032525</v>
      </c>
      <c r="F200" s="12">
        <f t="shared" si="29"/>
        <v>252174.74647940556</v>
      </c>
      <c r="G200" s="12">
        <f t="shared" si="29"/>
        <v>31167.665295207466</v>
      </c>
      <c r="H200" s="9"/>
      <c r="I200" s="12">
        <f t="shared" si="30"/>
        <v>234.96993512899695</v>
      </c>
      <c r="J200" s="12">
        <f t="shared" si="31"/>
        <v>1538.8950891835909</v>
      </c>
      <c r="K200" s="12">
        <f t="shared" si="32"/>
        <v>190.20051664066872</v>
      </c>
    </row>
    <row r="201" spans="2:11" x14ac:dyDescent="0.25">
      <c r="B201" s="10">
        <v>197</v>
      </c>
      <c r="C201" s="21">
        <v>44088</v>
      </c>
      <c r="D201" s="12">
        <f t="shared" si="27"/>
        <v>10291.496205235046</v>
      </c>
      <c r="E201" s="12">
        <f t="shared" si="28"/>
        <v>48922.800603351025</v>
      </c>
      <c r="F201" s="12">
        <f t="shared" si="29"/>
        <v>253669.31584035853</v>
      </c>
      <c r="G201" s="12">
        <f t="shared" si="29"/>
        <v>31352.387351055586</v>
      </c>
      <c r="H201" s="9"/>
      <c r="I201" s="12">
        <f t="shared" si="30"/>
        <v>223.34951611958394</v>
      </c>
      <c r="J201" s="12">
        <f t="shared" si="31"/>
        <v>1494.5693609529649</v>
      </c>
      <c r="K201" s="12">
        <f t="shared" si="32"/>
        <v>184.72205584811942</v>
      </c>
    </row>
    <row r="202" spans="2:11" x14ac:dyDescent="0.25">
      <c r="B202" s="10">
        <v>198</v>
      </c>
      <c r="C202" s="21">
        <v>44089</v>
      </c>
      <c r="D202" s="12">
        <f t="shared" si="27"/>
        <v>10079.083278749382</v>
      </c>
      <c r="E202" s="12">
        <f t="shared" si="28"/>
        <v>47504.45350972499</v>
      </c>
      <c r="F202" s="12">
        <f t="shared" si="29"/>
        <v>255120.69225825794</v>
      </c>
      <c r="G202" s="12">
        <f t="shared" si="29"/>
        <v>31531.770953267875</v>
      </c>
      <c r="H202" s="9"/>
      <c r="I202" s="12">
        <f t="shared" si="30"/>
        <v>212.412926485664</v>
      </c>
      <c r="J202" s="12">
        <f t="shared" si="31"/>
        <v>1451.3764178994136</v>
      </c>
      <c r="K202" s="12">
        <f t="shared" si="32"/>
        <v>179.38360221228726</v>
      </c>
    </row>
    <row r="203" spans="2:11" x14ac:dyDescent="0.25">
      <c r="B203" s="10">
        <v>199</v>
      </c>
      <c r="C203" s="21">
        <v>44090</v>
      </c>
      <c r="D203" s="12">
        <f t="shared" si="27"/>
        <v>9876.969679347736</v>
      </c>
      <c r="E203" s="12">
        <f t="shared" si="28"/>
        <v>46123.085325469132</v>
      </c>
      <c r="F203" s="12">
        <f t="shared" si="29"/>
        <v>256529.9910457131</v>
      </c>
      <c r="G203" s="12">
        <f t="shared" si="29"/>
        <v>31705.9539494702</v>
      </c>
      <c r="H203" s="9"/>
      <c r="I203" s="12">
        <f t="shared" si="30"/>
        <v>202.11359940164516</v>
      </c>
      <c r="J203" s="12">
        <f t="shared" si="31"/>
        <v>1409.2987874551748</v>
      </c>
      <c r="K203" s="12">
        <f t="shared" si="32"/>
        <v>174.18299620232514</v>
      </c>
    </row>
    <row r="204" spans="2:11" x14ac:dyDescent="0.25">
      <c r="B204" s="20">
        <v>200</v>
      </c>
      <c r="C204" s="21">
        <v>44091</v>
      </c>
      <c r="D204" s="12">
        <f t="shared" si="27"/>
        <v>9684.5611913429566</v>
      </c>
      <c r="E204" s="12">
        <f t="shared" si="28"/>
        <v>44778.05763595827</v>
      </c>
      <c r="F204" s="12">
        <f t="shared" si="29"/>
        <v>257898.30924370201</v>
      </c>
      <c r="G204" s="12">
        <f t="shared" si="29"/>
        <v>31875.07192899692</v>
      </c>
      <c r="H204" s="9"/>
      <c r="I204" s="12">
        <f t="shared" si="30"/>
        <v>192.40848800478014</v>
      </c>
      <c r="J204" s="12">
        <f t="shared" si="31"/>
        <v>1368.3181979889173</v>
      </c>
      <c r="K204" s="12">
        <f t="shared" si="32"/>
        <v>169.11797952672029</v>
      </c>
    </row>
    <row r="205" spans="2:11" x14ac:dyDescent="0.25">
      <c r="B205" s="19"/>
      <c r="C205" s="1"/>
      <c r="E205" s="12">
        <f>MAX(E4:E204)</f>
        <v>142277.67199021473</v>
      </c>
      <c r="I205" s="12">
        <f>MAX(I4:I204)</f>
        <v>7672.3899284560775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6CC6B-6BD3-4B59-93E6-7C0BF9FD93B2}">
  <sheetPr codeName="Hoja13"/>
  <dimension ref="B2:N762"/>
  <sheetViews>
    <sheetView showGridLines="0" workbookViewId="0">
      <selection activeCell="I205" sqref="I205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4" t="s">
        <v>26</v>
      </c>
      <c r="E2" s="35"/>
      <c r="F2" s="35"/>
      <c r="G2" s="36"/>
      <c r="I2" s="34" t="s">
        <v>27</v>
      </c>
      <c r="J2" s="35"/>
      <c r="K2" s="36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434003</v>
      </c>
    </row>
    <row r="4" spans="2:14" x14ac:dyDescent="0.25">
      <c r="B4" s="10">
        <v>0</v>
      </c>
      <c r="C4" s="11">
        <v>43891</v>
      </c>
      <c r="D4" s="12">
        <f>N3</f>
        <v>434003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434002.86800030415</v>
      </c>
      <c r="E5" s="12">
        <f>E4+I5-J5-K5</f>
        <v>1.0986663625220043</v>
      </c>
      <c r="F5" s="12">
        <f>F4+J5</f>
        <v>2.9666666666666664E-2</v>
      </c>
      <c r="G5" s="12">
        <f>G4+K5</f>
        <v>3.6666666666666701E-3</v>
      </c>
      <c r="H5" s="9"/>
      <c r="I5" s="12">
        <f>E4*N$6*D4/SUM(D4:F4)*N$7</f>
        <v>0.13199969585533775</v>
      </c>
      <c r="J5" s="12">
        <f>E4*N$8/N$5</f>
        <v>2.9666666666666664E-2</v>
      </c>
      <c r="K5" s="12">
        <f>E4*N$9/N$5</f>
        <v>3.6666666666666701E-3</v>
      </c>
      <c r="M5" s="2" t="s">
        <v>7</v>
      </c>
      <c r="N5" s="18">
        <f>Datos!G3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434002.72297672136</v>
      </c>
      <c r="E6" s="12">
        <f t="shared" ref="E6:E69" si="1">E5+I6-J6-K6</f>
        <v>1.2070677332543969</v>
      </c>
      <c r="F6" s="12">
        <f t="shared" ref="F6:G21" si="2">F5+J6</f>
        <v>6.2260435421486127E-2</v>
      </c>
      <c r="G6" s="12">
        <f t="shared" si="2"/>
        <v>7.6951099959140234E-3</v>
      </c>
      <c r="H6" s="9"/>
      <c r="I6" s="12">
        <f t="shared" ref="I6:I69" si="3">E5*N$6*D5/SUM(D5:F5)*N$7</f>
        <v>0.1450235828164595</v>
      </c>
      <c r="J6" s="12">
        <f t="shared" ref="J6:J69" si="4">E5*N$8/N$5</f>
        <v>3.2593768754819459E-2</v>
      </c>
      <c r="K6" s="12">
        <f t="shared" ref="K6:K69" si="5">E5*N$9/N$5</f>
        <v>4.0284433292473529E-3</v>
      </c>
      <c r="M6" s="2" t="s">
        <v>8</v>
      </c>
      <c r="N6" s="3">
        <f>Datos!G4</f>
        <v>2</v>
      </c>
    </row>
    <row r="7" spans="2:14" x14ac:dyDescent="0.25">
      <c r="B7" s="10">
        <v>3</v>
      </c>
      <c r="C7" s="11">
        <v>43894</v>
      </c>
      <c r="D7" s="12">
        <f t="shared" si="0"/>
        <v>434002.56364424655</v>
      </c>
      <c r="E7" s="12">
        <f t="shared" si="1"/>
        <v>1.3261646169356598</v>
      </c>
      <c r="F7" s="12">
        <f t="shared" si="2"/>
        <v>9.8070111508033228E-2</v>
      </c>
      <c r="G7" s="12">
        <f t="shared" si="2"/>
        <v>1.2121025017846815E-2</v>
      </c>
      <c r="H7" s="9"/>
      <c r="I7" s="12">
        <f t="shared" si="3"/>
        <v>0.15933247478974277</v>
      </c>
      <c r="J7" s="12">
        <f t="shared" si="4"/>
        <v>3.5809676086547101E-2</v>
      </c>
      <c r="K7" s="12">
        <f t="shared" si="5"/>
        <v>4.4259150219327923E-3</v>
      </c>
      <c r="M7" s="2" t="s">
        <v>9</v>
      </c>
      <c r="N7" s="4">
        <f>Datos!G5</f>
        <v>6.6000000000000003E-2</v>
      </c>
    </row>
    <row r="8" spans="2:14" x14ac:dyDescent="0.25">
      <c r="B8" s="10">
        <v>4</v>
      </c>
      <c r="C8" s="11">
        <v>43895</v>
      </c>
      <c r="D8" s="12">
        <f t="shared" si="0"/>
        <v>434002.38859109156</v>
      </c>
      <c r="E8" s="12">
        <f t="shared" si="1"/>
        <v>1.457012284680739</v>
      </c>
      <c r="F8" s="12">
        <f t="shared" si="2"/>
        <v>0.13741299514379113</v>
      </c>
      <c r="G8" s="12">
        <f t="shared" si="2"/>
        <v>1.6983628613277572E-2</v>
      </c>
      <c r="H8" s="9"/>
      <c r="I8" s="12">
        <f t="shared" si="3"/>
        <v>0.17505315497626764</v>
      </c>
      <c r="J8" s="12">
        <f t="shared" si="4"/>
        <v>3.93428836357579E-2</v>
      </c>
      <c r="K8" s="12">
        <f t="shared" si="5"/>
        <v>4.8626035954307568E-3</v>
      </c>
      <c r="M8" s="2" t="s">
        <v>10</v>
      </c>
      <c r="N8" s="5">
        <f>Datos!G6</f>
        <v>0.8899999999999999</v>
      </c>
    </row>
    <row r="9" spans="2:14" x14ac:dyDescent="0.25">
      <c r="B9" s="10">
        <v>5</v>
      </c>
      <c r="C9" s="11">
        <v>43896</v>
      </c>
      <c r="D9" s="12">
        <f t="shared" si="0"/>
        <v>434002.19626617653</v>
      </c>
      <c r="E9" s="12">
        <f t="shared" si="1"/>
        <v>1.600770123544925</v>
      </c>
      <c r="F9" s="12">
        <f t="shared" si="2"/>
        <v>0.18063769292265305</v>
      </c>
      <c r="G9" s="12">
        <f t="shared" si="2"/>
        <v>2.2326006990440288E-2</v>
      </c>
      <c r="H9" s="9"/>
      <c r="I9" s="12">
        <f t="shared" si="3"/>
        <v>0.1923249150202106</v>
      </c>
      <c r="J9" s="12">
        <f t="shared" si="4"/>
        <v>4.3224697778861919E-2</v>
      </c>
      <c r="K9" s="12">
        <f t="shared" si="5"/>
        <v>5.3423783771627143E-3</v>
      </c>
      <c r="M9" s="2" t="s">
        <v>11</v>
      </c>
      <c r="N9" s="5">
        <f>Datos!G7</f>
        <v>0.1100000000000001</v>
      </c>
    </row>
    <row r="10" spans="2:14" x14ac:dyDescent="0.25">
      <c r="B10" s="10">
        <v>6</v>
      </c>
      <c r="C10" s="11">
        <v>43897</v>
      </c>
      <c r="D10" s="12">
        <f t="shared" si="0"/>
        <v>434001.9849653875</v>
      </c>
      <c r="E10" s="12">
        <f t="shared" si="1"/>
        <v>1.7587119084283032</v>
      </c>
      <c r="F10" s="12">
        <f t="shared" si="2"/>
        <v>0.22812720658781915</v>
      </c>
      <c r="G10" s="12">
        <f t="shared" si="2"/>
        <v>2.8195497443438352E-2</v>
      </c>
      <c r="H10" s="9"/>
      <c r="I10" s="12">
        <f t="shared" si="3"/>
        <v>0.21130078900154231</v>
      </c>
      <c r="J10" s="12">
        <f t="shared" si="4"/>
        <v>4.74895136651661E-2</v>
      </c>
      <c r="K10" s="12">
        <f t="shared" si="5"/>
        <v>5.8694904529980633E-3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434001.75281647837</v>
      </c>
      <c r="E11" s="12">
        <f t="shared" si="1"/>
        <v>1.9322370872939425</v>
      </c>
      <c r="F11" s="12">
        <f t="shared" si="2"/>
        <v>0.2803023265378588</v>
      </c>
      <c r="G11" s="12">
        <f t="shared" si="2"/>
        <v>3.4644107774342139E-2</v>
      </c>
      <c r="H11" s="9"/>
      <c r="I11" s="12">
        <f t="shared" si="3"/>
        <v>0.23214890914658295</v>
      </c>
      <c r="J11" s="12">
        <f t="shared" si="4"/>
        <v>5.2175119950039657E-2</v>
      </c>
      <c r="K11" s="12">
        <f t="shared" si="5"/>
        <v>6.448610330903784E-3</v>
      </c>
      <c r="M11" s="2" t="s">
        <v>12</v>
      </c>
      <c r="N11" s="7">
        <v>231480</v>
      </c>
    </row>
    <row r="12" spans="2:14" x14ac:dyDescent="0.25">
      <c r="B12" s="10">
        <v>8</v>
      </c>
      <c r="C12" s="11">
        <v>43899</v>
      </c>
      <c r="D12" s="12">
        <f t="shared" si="0"/>
        <v>434001.49776248314</v>
      </c>
      <c r="E12" s="12">
        <f t="shared" si="1"/>
        <v>2.1228831796425713</v>
      </c>
      <c r="F12" s="12">
        <f t="shared" si="2"/>
        <v>0.3376253601275791</v>
      </c>
      <c r="G12" s="12">
        <f t="shared" si="2"/>
        <v>4.1728977094419938E-2</v>
      </c>
      <c r="H12" s="9"/>
      <c r="I12" s="12">
        <f t="shared" si="3"/>
        <v>0.25505399525842704</v>
      </c>
      <c r="J12" s="12">
        <f t="shared" si="4"/>
        <v>5.7323033589720282E-2</v>
      </c>
      <c r="K12" s="12">
        <f t="shared" si="5"/>
        <v>7.0848693200777956E-3</v>
      </c>
      <c r="M12" s="2" t="s">
        <v>13</v>
      </c>
      <c r="N12" s="7">
        <f>SUM(J5:J204)</f>
        <v>320809.76352479286</v>
      </c>
    </row>
    <row r="13" spans="2:14" x14ac:dyDescent="0.25">
      <c r="B13" s="10">
        <v>9</v>
      </c>
      <c r="C13" s="11">
        <v>43900</v>
      </c>
      <c r="D13" s="12">
        <f t="shared" si="0"/>
        <v>434001.21754349209</v>
      </c>
      <c r="E13" s="12">
        <f t="shared" si="1"/>
        <v>2.3323393980397142</v>
      </c>
      <c r="F13" s="12">
        <f t="shared" si="2"/>
        <v>0.40060422779030869</v>
      </c>
      <c r="G13" s="12">
        <f t="shared" si="2"/>
        <v>4.9512882086442708E-2</v>
      </c>
      <c r="H13" s="9"/>
      <c r="I13" s="12">
        <f t="shared" si="3"/>
        <v>0.28021899105189535</v>
      </c>
      <c r="J13" s="12">
        <f t="shared" si="4"/>
        <v>6.2978867662729601E-2</v>
      </c>
      <c r="K13" s="12">
        <f t="shared" si="5"/>
        <v>7.7839049920227681E-3</v>
      </c>
      <c r="M13" s="2" t="s">
        <v>14</v>
      </c>
      <c r="N13" s="7">
        <f>SUM(K5:K204)</f>
        <v>39650.644930030634</v>
      </c>
    </row>
    <row r="14" spans="2:14" x14ac:dyDescent="0.25">
      <c r="B14" s="10">
        <v>10</v>
      </c>
      <c r="C14" s="11">
        <v>43901</v>
      </c>
      <c r="D14" s="12">
        <f t="shared" si="0"/>
        <v>434000.90967663022</v>
      </c>
      <c r="E14" s="12">
        <f t="shared" si="1"/>
        <v>2.5624616133150764</v>
      </c>
      <c r="F14" s="12">
        <f t="shared" si="2"/>
        <v>0.46979696326548687</v>
      </c>
      <c r="G14" s="12">
        <f t="shared" si="2"/>
        <v>5.8064793212588332E-2</v>
      </c>
      <c r="H14" s="9"/>
      <c r="I14" s="12">
        <f t="shared" si="3"/>
        <v>0.30786686187668616</v>
      </c>
      <c r="J14" s="12">
        <f t="shared" si="4"/>
        <v>6.919273547517818E-2</v>
      </c>
      <c r="K14" s="12">
        <f t="shared" si="5"/>
        <v>8.5519111261456258E-3</v>
      </c>
      <c r="M14" s="2" t="s">
        <v>15</v>
      </c>
      <c r="N14" s="7">
        <f>SUM(D4:G4)-N11</f>
        <v>202524</v>
      </c>
    </row>
    <row r="15" spans="2:14" x14ac:dyDescent="0.25">
      <c r="B15" s="10">
        <v>11</v>
      </c>
      <c r="C15" s="11">
        <v>43902</v>
      </c>
      <c r="D15" s="12">
        <f t="shared" si="0"/>
        <v>434000.57143406046</v>
      </c>
      <c r="E15" s="12">
        <f t="shared" si="1"/>
        <v>2.8152887959437694</v>
      </c>
      <c r="F15" s="12">
        <f t="shared" si="2"/>
        <v>0.54581665779383415</v>
      </c>
      <c r="G15" s="12">
        <f t="shared" si="2"/>
        <v>6.7460485794743619E-2</v>
      </c>
      <c r="H15" s="9"/>
      <c r="I15" s="12">
        <f t="shared" si="3"/>
        <v>0.33824256973919542</v>
      </c>
      <c r="J15" s="12">
        <f t="shared" si="4"/>
        <v>7.6019694528347267E-2</v>
      </c>
      <c r="K15" s="12">
        <f t="shared" si="5"/>
        <v>9.3956925821552881E-3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434000.19981881737</v>
      </c>
      <c r="E16" s="12">
        <f t="shared" si="1"/>
        <v>3.0930610791795554</v>
      </c>
      <c r="F16" s="12">
        <f t="shared" si="2"/>
        <v>0.6293368920734993</v>
      </c>
      <c r="G16" s="12">
        <f t="shared" si="2"/>
        <v>7.7783211379870779E-2</v>
      </c>
      <c r="H16" s="9"/>
      <c r="I16" s="12">
        <f t="shared" si="3"/>
        <v>0.37161524310057825</v>
      </c>
      <c r="J16" s="12">
        <f t="shared" si="4"/>
        <v>8.3520234279665137E-2</v>
      </c>
      <c r="K16" s="12">
        <f t="shared" si="5"/>
        <v>1.0322725585127163E-2</v>
      </c>
      <c r="M16" s="2" t="s">
        <v>16</v>
      </c>
      <c r="N16" s="7">
        <f>MAX(E4:E204)</f>
        <v>179344.26745863247</v>
      </c>
    </row>
    <row r="17" spans="2:14" x14ac:dyDescent="0.25">
      <c r="B17" s="10">
        <v>13</v>
      </c>
      <c r="C17" s="11">
        <v>43904</v>
      </c>
      <c r="D17" s="12">
        <f t="shared" si="0"/>
        <v>433999.79153825674</v>
      </c>
      <c r="E17" s="12">
        <f t="shared" si="1"/>
        <v>3.3982396038566902</v>
      </c>
      <c r="F17" s="12">
        <f t="shared" si="2"/>
        <v>0.72109770408915941</v>
      </c>
      <c r="G17" s="12">
        <f t="shared" si="2"/>
        <v>8.9124435336862498E-2</v>
      </c>
      <c r="H17" s="9"/>
      <c r="I17" s="12">
        <f t="shared" si="3"/>
        <v>0.40828056064978679</v>
      </c>
      <c r="J17" s="12">
        <f t="shared" si="4"/>
        <v>9.1760812015660137E-2</v>
      </c>
      <c r="K17" s="12">
        <f t="shared" si="5"/>
        <v>1.1341223956991714E-2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433999.34297488659</v>
      </c>
      <c r="E18" s="12">
        <f t="shared" si="1"/>
        <v>3.7335283205354202</v>
      </c>
      <c r="F18" s="12">
        <f t="shared" si="2"/>
        <v>0.82191214567024118</v>
      </c>
      <c r="G18" s="12">
        <f t="shared" si="2"/>
        <v>0.10158464721767037</v>
      </c>
      <c r="H18" s="9"/>
      <c r="I18" s="12">
        <f t="shared" si="3"/>
        <v>0.4485633701406197</v>
      </c>
      <c r="J18" s="12">
        <f t="shared" si="4"/>
        <v>0.1008144415810818</v>
      </c>
      <c r="K18" s="12">
        <f t="shared" si="5"/>
        <v>1.2460211880807875E-2</v>
      </c>
      <c r="M18" s="2" t="s">
        <v>17</v>
      </c>
      <c r="N18" s="7">
        <f>MAX(I5:I204)</f>
        <v>9667.7698304075238</v>
      </c>
    </row>
    <row r="19" spans="2:14" x14ac:dyDescent="0.25">
      <c r="B19" s="10">
        <v>15</v>
      </c>
      <c r="C19" s="11">
        <v>43906</v>
      </c>
      <c r="D19" s="12">
        <f t="shared" si="0"/>
        <v>433998.85015432112</v>
      </c>
      <c r="E19" s="12">
        <f t="shared" si="1"/>
        <v>4.1018979419753796</v>
      </c>
      <c r="F19" s="12">
        <f t="shared" si="2"/>
        <v>0.93267348584612531</v>
      </c>
      <c r="G19" s="12">
        <f t="shared" si="2"/>
        <v>0.11527425105963358</v>
      </c>
      <c r="H19" s="9"/>
      <c r="I19" s="12">
        <f t="shared" si="3"/>
        <v>0.49282056545780645</v>
      </c>
      <c r="J19" s="12">
        <f t="shared" si="4"/>
        <v>0.11076134017588411</v>
      </c>
      <c r="K19" s="12">
        <f t="shared" si="5"/>
        <v>1.3689603841963219E-2</v>
      </c>
      <c r="M19" s="2" t="s">
        <v>18</v>
      </c>
      <c r="N19" s="7">
        <f>MAX(J5:J204)</f>
        <v>5320.546601272762</v>
      </c>
    </row>
    <row r="20" spans="2:14" x14ac:dyDescent="0.25">
      <c r="B20" s="10">
        <v>16</v>
      </c>
      <c r="C20" s="11">
        <v>43907</v>
      </c>
      <c r="D20" s="12">
        <f t="shared" si="0"/>
        <v>433998.30871007376</v>
      </c>
      <c r="E20" s="12">
        <f t="shared" si="1"/>
        <v>4.5066122579331722</v>
      </c>
      <c r="F20" s="12">
        <f t="shared" si="2"/>
        <v>1.0543631247913949</v>
      </c>
      <c r="G20" s="12">
        <f t="shared" si="2"/>
        <v>0.13031454351354332</v>
      </c>
      <c r="H20" s="9"/>
      <c r="I20" s="12">
        <f t="shared" si="3"/>
        <v>0.54144424735697216</v>
      </c>
      <c r="J20" s="12">
        <f t="shared" si="4"/>
        <v>0.12168963894526957</v>
      </c>
      <c r="K20" s="12">
        <f t="shared" si="5"/>
        <v>1.5040292453909738E-2</v>
      </c>
      <c r="M20" s="2" t="s">
        <v>19</v>
      </c>
      <c r="N20" s="7">
        <f>MAX(K5:K204)</f>
        <v>657.59564734831963</v>
      </c>
    </row>
    <row r="21" spans="2:14" x14ac:dyDescent="0.25">
      <c r="B21" s="10">
        <v>17</v>
      </c>
      <c r="C21" s="11">
        <v>43908</v>
      </c>
      <c r="D21" s="12">
        <f t="shared" si="0"/>
        <v>433997.71384487796</v>
      </c>
      <c r="E21" s="12">
        <f t="shared" si="1"/>
        <v>4.9512570451622988</v>
      </c>
      <c r="F21" s="12">
        <f t="shared" si="2"/>
        <v>1.1880592884434122</v>
      </c>
      <c r="G21" s="12">
        <f t="shared" si="2"/>
        <v>0.14683878845929829</v>
      </c>
      <c r="H21" s="9"/>
      <c r="I21" s="12">
        <f t="shared" si="3"/>
        <v>0.59486519582689901</v>
      </c>
      <c r="J21" s="12">
        <f t="shared" si="4"/>
        <v>0.13369616365201742</v>
      </c>
      <c r="K21" s="12">
        <f t="shared" si="5"/>
        <v>1.6524244945754978E-2</v>
      </c>
    </row>
    <row r="22" spans="2:14" x14ac:dyDescent="0.25">
      <c r="B22" s="10">
        <v>18</v>
      </c>
      <c r="C22" s="11">
        <v>43909</v>
      </c>
      <c r="D22" s="12">
        <f t="shared" si="0"/>
        <v>433997.06028819317</v>
      </c>
      <c r="E22" s="12">
        <f t="shared" si="1"/>
        <v>5.4397718284285288</v>
      </c>
      <c r="F22" s="12">
        <f t="shared" ref="F22:G37" si="6">F21+J22</f>
        <v>1.334946580783227</v>
      </c>
      <c r="G22" s="12">
        <f t="shared" si="6"/>
        <v>0.1649933976248934</v>
      </c>
      <c r="H22" s="9"/>
      <c r="I22" s="12">
        <f t="shared" si="3"/>
        <v>0.65355668477164075</v>
      </c>
      <c r="J22" s="12">
        <f t="shared" si="4"/>
        <v>0.14688729233981485</v>
      </c>
      <c r="K22" s="12">
        <f t="shared" si="5"/>
        <v>1.8154609165595113E-2</v>
      </c>
    </row>
    <row r="23" spans="2:14" x14ac:dyDescent="0.25">
      <c r="B23" s="10">
        <v>19</v>
      </c>
      <c r="C23" s="11">
        <v>43910</v>
      </c>
      <c r="D23" s="12">
        <f t="shared" si="0"/>
        <v>433996.34224952041</v>
      </c>
      <c r="E23" s="12">
        <f t="shared" si="1"/>
        <v>5.9764847735429294</v>
      </c>
      <c r="F23" s="12">
        <f t="shared" si="6"/>
        <v>1.4963264783599399</v>
      </c>
      <c r="G23" s="12">
        <f t="shared" si="6"/>
        <v>0.18493922766246468</v>
      </c>
      <c r="H23" s="9"/>
      <c r="I23" s="12">
        <f t="shared" si="3"/>
        <v>0.71803867272868394</v>
      </c>
      <c r="J23" s="12">
        <f t="shared" si="4"/>
        <v>0.16137989757671301</v>
      </c>
      <c r="K23" s="12">
        <f t="shared" si="5"/>
        <v>1.9945830037571288E-2</v>
      </c>
    </row>
    <row r="24" spans="2:14" x14ac:dyDescent="0.25">
      <c r="B24" s="10">
        <v>20</v>
      </c>
      <c r="C24" s="11">
        <v>43911</v>
      </c>
      <c r="D24" s="12">
        <f t="shared" si="0"/>
        <v>433995.55336711375</v>
      </c>
      <c r="E24" s="12">
        <f t="shared" si="1"/>
        <v>6.566151021078559</v>
      </c>
      <c r="F24" s="12">
        <f t="shared" si="6"/>
        <v>1.6736288599750468</v>
      </c>
      <c r="G24" s="12">
        <f t="shared" si="6"/>
        <v>0.20685300516545543</v>
      </c>
      <c r="H24" s="9"/>
      <c r="I24" s="12">
        <f t="shared" si="3"/>
        <v>0.788882406653727</v>
      </c>
      <c r="J24" s="12">
        <f t="shared" si="4"/>
        <v>0.17730238161510686</v>
      </c>
      <c r="K24" s="12">
        <f t="shared" si="5"/>
        <v>2.1913777502990762E-2</v>
      </c>
    </row>
    <row r="25" spans="2:14" x14ac:dyDescent="0.25">
      <c r="B25" s="10">
        <v>21</v>
      </c>
      <c r="C25" s="11">
        <v>43912</v>
      </c>
      <c r="D25" s="12">
        <f t="shared" si="0"/>
        <v>433994.68665163429</v>
      </c>
      <c r="E25" s="12">
        <f t="shared" si="1"/>
        <v>7.2139947998174323</v>
      </c>
      <c r="F25" s="12">
        <f t="shared" si="6"/>
        <v>1.8684246736003773</v>
      </c>
      <c r="G25" s="12">
        <f t="shared" si="6"/>
        <v>0.23092889224274352</v>
      </c>
      <c r="H25" s="9"/>
      <c r="I25" s="12">
        <f t="shared" si="3"/>
        <v>0.86671547944149196</v>
      </c>
      <c r="J25" s="12">
        <f t="shared" si="4"/>
        <v>0.19479581362533058</v>
      </c>
      <c r="K25" s="12">
        <f t="shared" si="5"/>
        <v>2.4075887077288072E-2</v>
      </c>
    </row>
    <row r="26" spans="2:14" x14ac:dyDescent="0.25">
      <c r="B26" s="10">
        <v>22</v>
      </c>
      <c r="C26" s="11">
        <v>43913</v>
      </c>
      <c r="D26" s="12">
        <f t="shared" si="0"/>
        <v>433993.73442424845</v>
      </c>
      <c r="E26" s="12">
        <f t="shared" si="1"/>
        <v>7.9257556923369723</v>
      </c>
      <c r="F26" s="12">
        <f t="shared" si="6"/>
        <v>2.0824398526616279</v>
      </c>
      <c r="G26" s="12">
        <f t="shared" si="6"/>
        <v>0.25738020650874077</v>
      </c>
      <c r="H26" s="9"/>
      <c r="I26" s="12">
        <f t="shared" si="3"/>
        <v>0.95222738584678734</v>
      </c>
      <c r="J26" s="12">
        <f t="shared" si="4"/>
        <v>0.21401517906125048</v>
      </c>
      <c r="K26" s="12">
        <f t="shared" si="5"/>
        <v>2.6451314265997276E-2</v>
      </c>
    </row>
    <row r="27" spans="2:14" x14ac:dyDescent="0.25">
      <c r="B27" s="10">
        <v>23</v>
      </c>
      <c r="C27" s="11">
        <v>43914</v>
      </c>
      <c r="D27" s="12">
        <f t="shared" si="0"/>
        <v>433992.68824862258</v>
      </c>
      <c r="E27" s="12">
        <f t="shared" si="1"/>
        <v>8.7077394617810455</v>
      </c>
      <c r="F27" s="12">
        <f t="shared" si="6"/>
        <v>2.3175706048676248</v>
      </c>
      <c r="G27" s="12">
        <f t="shared" si="6"/>
        <v>0.28644131071397638</v>
      </c>
      <c r="H27" s="9"/>
      <c r="I27" s="12">
        <f t="shared" si="3"/>
        <v>1.0461756258553045</v>
      </c>
      <c r="J27" s="12">
        <f t="shared" si="4"/>
        <v>0.23513075220599683</v>
      </c>
      <c r="K27" s="12">
        <f t="shared" si="5"/>
        <v>2.9061104205235593E-2</v>
      </c>
    </row>
    <row r="28" spans="2:14" x14ac:dyDescent="0.25">
      <c r="B28" s="10">
        <v>24</v>
      </c>
      <c r="C28" s="11">
        <v>43915</v>
      </c>
      <c r="D28" s="12">
        <f t="shared" si="0"/>
        <v>433991.53885621321</v>
      </c>
      <c r="E28" s="12">
        <f t="shared" si="1"/>
        <v>9.5668738890887539</v>
      </c>
      <c r="F28" s="12">
        <f t="shared" si="6"/>
        <v>2.5759002089004626</v>
      </c>
      <c r="G28" s="12">
        <f t="shared" si="6"/>
        <v>0.31836968874050692</v>
      </c>
      <c r="H28" s="9"/>
      <c r="I28" s="12">
        <f t="shared" si="3"/>
        <v>1.149392409367076</v>
      </c>
      <c r="J28" s="12">
        <f t="shared" si="4"/>
        <v>0.25832960403283767</v>
      </c>
      <c r="K28" s="12">
        <f t="shared" si="5"/>
        <v>3.1928378026530528E-2</v>
      </c>
    </row>
    <row r="29" spans="2:14" x14ac:dyDescent="0.25">
      <c r="B29" s="10">
        <v>25</v>
      </c>
      <c r="C29" s="11">
        <v>43916</v>
      </c>
      <c r="D29" s="12">
        <f t="shared" si="0"/>
        <v>433990.27606419189</v>
      </c>
      <c r="E29" s="12">
        <f t="shared" si="1"/>
        <v>10.51077011412432</v>
      </c>
      <c r="F29" s="12">
        <f t="shared" si="6"/>
        <v>2.8597174676100954</v>
      </c>
      <c r="G29" s="12">
        <f t="shared" si="6"/>
        <v>0.35344822633383238</v>
      </c>
      <c r="H29" s="9"/>
      <c r="I29" s="12">
        <f t="shared" si="3"/>
        <v>1.262792021338524</v>
      </c>
      <c r="J29" s="12">
        <f t="shared" si="4"/>
        <v>0.28381725870963304</v>
      </c>
      <c r="K29" s="12">
        <f t="shared" si="5"/>
        <v>3.5078537593325465E-2</v>
      </c>
    </row>
    <row r="30" spans="2:14" x14ac:dyDescent="0.25">
      <c r="B30" s="10">
        <v>26</v>
      </c>
      <c r="C30" s="11">
        <v>43917</v>
      </c>
      <c r="D30" s="12">
        <f t="shared" si="0"/>
        <v>433988.88868527958</v>
      </c>
      <c r="E30" s="12">
        <f t="shared" si="1"/>
        <v>11.547790022646922</v>
      </c>
      <c r="F30" s="12">
        <f t="shared" si="6"/>
        <v>3.1715369809957834</v>
      </c>
      <c r="G30" s="12">
        <f t="shared" si="6"/>
        <v>0.39198771675228827</v>
      </c>
      <c r="H30" s="9"/>
      <c r="I30" s="12">
        <f t="shared" si="3"/>
        <v>1.3873789123267461</v>
      </c>
      <c r="J30" s="12">
        <f t="shared" si="4"/>
        <v>0.31181951338568814</v>
      </c>
      <c r="K30" s="12">
        <f t="shared" si="5"/>
        <v>3.853949041845587E-2</v>
      </c>
    </row>
    <row r="31" spans="2:14" x14ac:dyDescent="0.25">
      <c r="B31" s="10">
        <v>27</v>
      </c>
      <c r="C31" s="11">
        <v>43918</v>
      </c>
      <c r="D31" s="12">
        <f t="shared" si="0"/>
        <v>433987.36442869384</v>
      </c>
      <c r="E31" s="12">
        <f t="shared" si="1"/>
        <v>12.687120274300279</v>
      </c>
      <c r="F31" s="12">
        <f t="shared" si="6"/>
        <v>3.5141214183343088</v>
      </c>
      <c r="G31" s="12">
        <f t="shared" si="6"/>
        <v>0.43432961350199367</v>
      </c>
      <c r="H31" s="9"/>
      <c r="I31" s="12">
        <f t="shared" si="3"/>
        <v>1.5242565857415886</v>
      </c>
      <c r="J31" s="12">
        <f t="shared" si="4"/>
        <v>0.34258443733852528</v>
      </c>
      <c r="K31" s="12">
        <f t="shared" si="5"/>
        <v>4.234189674970542E-2</v>
      </c>
    </row>
    <row r="32" spans="2:14" x14ac:dyDescent="0.25">
      <c r="B32" s="10">
        <v>28</v>
      </c>
      <c r="C32" s="11">
        <v>43919</v>
      </c>
      <c r="D32" s="12">
        <f t="shared" si="0"/>
        <v>433985.68979133375</v>
      </c>
      <c r="E32" s="12">
        <f t="shared" si="1"/>
        <v>13.938853625248111</v>
      </c>
      <c r="F32" s="12">
        <f t="shared" si="6"/>
        <v>3.8905059864718838</v>
      </c>
      <c r="G32" s="12">
        <f t="shared" si="6"/>
        <v>0.48084905450776139</v>
      </c>
      <c r="H32" s="9"/>
      <c r="I32" s="12">
        <f t="shared" si="3"/>
        <v>1.674637360091173</v>
      </c>
      <c r="J32" s="12">
        <f t="shared" si="4"/>
        <v>0.37638456813757493</v>
      </c>
      <c r="K32" s="12">
        <f t="shared" si="5"/>
        <v>4.6519441005767735E-2</v>
      </c>
    </row>
    <row r="33" spans="2:11" x14ac:dyDescent="0.25">
      <c r="B33" s="10">
        <v>29</v>
      </c>
      <c r="C33" s="11">
        <v>43920</v>
      </c>
      <c r="D33" s="12">
        <f t="shared" si="0"/>
        <v>433983.84993824159</v>
      </c>
      <c r="E33" s="12">
        <f t="shared" si="1"/>
        <v>15.3140782632371</v>
      </c>
      <c r="F33" s="12">
        <f t="shared" si="6"/>
        <v>4.3040253106875781</v>
      </c>
      <c r="G33" s="12">
        <f t="shared" si="6"/>
        <v>0.53195818446700449</v>
      </c>
      <c r="H33" s="9"/>
      <c r="I33" s="12">
        <f t="shared" si="3"/>
        <v>1.8398530921639267</v>
      </c>
      <c r="J33" s="12">
        <f t="shared" si="4"/>
        <v>0.41351932421569393</v>
      </c>
      <c r="K33" s="12">
        <f t="shared" si="5"/>
        <v>5.1109129959243119E-2</v>
      </c>
    </row>
    <row r="34" spans="2:11" x14ac:dyDescent="0.25">
      <c r="B34" s="10">
        <v>30</v>
      </c>
      <c r="C34" s="13">
        <v>43921</v>
      </c>
      <c r="D34" s="12">
        <f t="shared" si="0"/>
        <v>433981.82857128611</v>
      </c>
      <c r="E34" s="12">
        <f t="shared" si="1"/>
        <v>16.824975943285075</v>
      </c>
      <c r="F34" s="12">
        <f t="shared" si="6"/>
        <v>4.7583429658302787</v>
      </c>
      <c r="G34" s="12">
        <f t="shared" si="6"/>
        <v>0.58810980476554053</v>
      </c>
      <c r="H34" s="9"/>
      <c r="I34" s="12">
        <f t="shared" si="3"/>
        <v>2.0213669554892104</v>
      </c>
      <c r="J34" s="12">
        <f t="shared" si="4"/>
        <v>0.45431765514270056</v>
      </c>
      <c r="K34" s="12">
        <f t="shared" si="5"/>
        <v>5.6151620298536077E-2</v>
      </c>
    </row>
    <row r="35" spans="2:11" x14ac:dyDescent="0.25">
      <c r="B35" s="10">
        <v>31</v>
      </c>
      <c r="C35" s="11">
        <v>43922</v>
      </c>
      <c r="D35" s="12">
        <f t="shared" si="0"/>
        <v>433979.6077849085</v>
      </c>
      <c r="E35" s="12">
        <f t="shared" si="1"/>
        <v>18.484929789472009</v>
      </c>
      <c r="F35" s="12">
        <f t="shared" si="6"/>
        <v>5.2574839188144029</v>
      </c>
      <c r="G35" s="12">
        <f t="shared" si="6"/>
        <v>0.64980138322425252</v>
      </c>
      <c r="H35" s="9"/>
      <c r="I35" s="12">
        <f t="shared" si="3"/>
        <v>2.2207863776297705</v>
      </c>
      <c r="J35" s="12">
        <f t="shared" si="4"/>
        <v>0.49914095298412386</v>
      </c>
      <c r="K35" s="12">
        <f t="shared" si="5"/>
        <v>6.1691578458711996E-2</v>
      </c>
    </row>
    <row r="36" spans="2:11" x14ac:dyDescent="0.25">
      <c r="B36" s="10">
        <v>32</v>
      </c>
      <c r="C36" s="11">
        <v>43923</v>
      </c>
      <c r="D36" s="12">
        <f t="shared" si="0"/>
        <v>433977.16790765856</v>
      </c>
      <c r="E36" s="12">
        <f t="shared" si="1"/>
        <v>20.30864271311528</v>
      </c>
      <c r="F36" s="12">
        <f t="shared" si="6"/>
        <v>5.8058701692354058</v>
      </c>
      <c r="G36" s="12">
        <f t="shared" si="6"/>
        <v>0.71757945911898324</v>
      </c>
      <c r="H36" s="9"/>
      <c r="I36" s="12">
        <f t="shared" si="3"/>
        <v>2.4398772499590038</v>
      </c>
      <c r="J36" s="12">
        <f t="shared" si="4"/>
        <v>0.54838625042100297</v>
      </c>
      <c r="K36" s="12">
        <f t="shared" si="5"/>
        <v>6.7778075894730769E-2</v>
      </c>
    </row>
    <row r="37" spans="2:11" x14ac:dyDescent="0.25">
      <c r="B37" s="10">
        <v>33</v>
      </c>
      <c r="C37" s="11">
        <v>43924</v>
      </c>
      <c r="D37" s="12">
        <f t="shared" si="0"/>
        <v>433974.48732812388</v>
      </c>
      <c r="E37" s="12">
        <f t="shared" si="1"/>
        <v>22.312267490659508</v>
      </c>
      <c r="F37" s="12">
        <f t="shared" si="6"/>
        <v>6.4083599030578258</v>
      </c>
      <c r="G37" s="12">
        <f t="shared" si="6"/>
        <v>0.79204448240040604</v>
      </c>
      <c r="H37" s="9"/>
      <c r="I37" s="12">
        <f t="shared" si="3"/>
        <v>2.6805795346480701</v>
      </c>
      <c r="J37" s="12">
        <f t="shared" si="4"/>
        <v>0.60248973382241988</v>
      </c>
      <c r="K37" s="12">
        <f t="shared" si="5"/>
        <v>7.4465023281422765E-2</v>
      </c>
    </row>
    <row r="38" spans="2:11" x14ac:dyDescent="0.25">
      <c r="B38" s="10">
        <v>34</v>
      </c>
      <c r="C38" s="11">
        <v>43925</v>
      </c>
      <c r="D38" s="12">
        <f t="shared" si="0"/>
        <v>433971.54230371816</v>
      </c>
      <c r="E38" s="12">
        <f t="shared" si="1"/>
        <v>24.513549646693857</v>
      </c>
      <c r="F38" s="12">
        <f t="shared" ref="F38:G53" si="7">F37+J38</f>
        <v>7.0702905052807248</v>
      </c>
      <c r="G38" s="12">
        <f t="shared" si="7"/>
        <v>0.87385612986615757</v>
      </c>
      <c r="H38" s="9"/>
      <c r="I38" s="12">
        <f t="shared" si="3"/>
        <v>2.9450244057230006</v>
      </c>
      <c r="J38" s="12">
        <f t="shared" si="4"/>
        <v>0.66193060222289868</v>
      </c>
      <c r="K38" s="12">
        <f t="shared" si="5"/>
        <v>8.1811647465751591E-2</v>
      </c>
    </row>
    <row r="39" spans="2:11" x14ac:dyDescent="0.25">
      <c r="B39" s="10">
        <v>35</v>
      </c>
      <c r="C39" s="11">
        <v>43926</v>
      </c>
      <c r="D39" s="12">
        <f t="shared" si="0"/>
        <v>433968.30675064382</v>
      </c>
      <c r="E39" s="12">
        <f t="shared" si="1"/>
        <v>26.931984399486485</v>
      </c>
      <c r="F39" s="12">
        <f t="shared" si="7"/>
        <v>7.7975258114659756</v>
      </c>
      <c r="G39" s="12">
        <f t="shared" si="7"/>
        <v>0.96373914523736848</v>
      </c>
      <c r="H39" s="9"/>
      <c r="I39" s="12">
        <f t="shared" si="3"/>
        <v>3.2355530743490872</v>
      </c>
      <c r="J39" s="12">
        <f t="shared" si="4"/>
        <v>0.72723530618525101</v>
      </c>
      <c r="K39" s="12">
        <f t="shared" si="5"/>
        <v>8.9883015371210892E-2</v>
      </c>
    </row>
    <row r="40" spans="2:11" x14ac:dyDescent="0.25">
      <c r="B40" s="10">
        <v>36</v>
      </c>
      <c r="C40" s="11">
        <v>43927</v>
      </c>
      <c r="D40" s="12">
        <f t="shared" si="0"/>
        <v>433964.75201318075</v>
      </c>
      <c r="E40" s="12">
        <f t="shared" si="1"/>
        <v>29.588989049236492</v>
      </c>
      <c r="F40" s="12">
        <f t="shared" si="7"/>
        <v>8.5965080153174078</v>
      </c>
      <c r="G40" s="12">
        <f t="shared" si="7"/>
        <v>1.0624897547021523</v>
      </c>
      <c r="H40" s="9"/>
      <c r="I40" s="12">
        <f t="shared" si="3"/>
        <v>3.5547374630662194</v>
      </c>
      <c r="J40" s="12">
        <f t="shared" si="4"/>
        <v>0.79898220385143226</v>
      </c>
      <c r="K40" s="12">
        <f t="shared" si="5"/>
        <v>9.8750609464783867E-2</v>
      </c>
    </row>
    <row r="41" spans="2:11" x14ac:dyDescent="0.25">
      <c r="B41" s="10">
        <v>37</v>
      </c>
      <c r="C41" s="11">
        <v>43928</v>
      </c>
      <c r="D41" s="12">
        <f t="shared" si="0"/>
        <v>433960.84661027108</v>
      </c>
      <c r="E41" s="12">
        <f t="shared" si="1"/>
        <v>32.508092323912933</v>
      </c>
      <c r="F41" s="12">
        <f t="shared" si="7"/>
        <v>9.474314690444757</v>
      </c>
      <c r="G41" s="12">
        <f t="shared" si="7"/>
        <v>1.170982714549353</v>
      </c>
      <c r="H41" s="9"/>
      <c r="I41" s="12">
        <f t="shared" si="3"/>
        <v>3.9054029096509879</v>
      </c>
      <c r="J41" s="12">
        <f t="shared" si="4"/>
        <v>0.87780667512734922</v>
      </c>
      <c r="K41" s="12">
        <f t="shared" si="5"/>
        <v>0.10849295984720057</v>
      </c>
    </row>
    <row r="42" spans="2:11" x14ac:dyDescent="0.25">
      <c r="B42" s="10">
        <v>38</v>
      </c>
      <c r="C42" s="11">
        <v>43929</v>
      </c>
      <c r="D42" s="12">
        <f t="shared" si="0"/>
        <v>433956.55595717236</v>
      </c>
      <c r="E42" s="12">
        <f t="shared" si="1"/>
        <v>35.715142345194501</v>
      </c>
      <c r="F42" s="12">
        <f t="shared" si="7"/>
        <v>10.438721429387508</v>
      </c>
      <c r="G42" s="12">
        <f t="shared" si="7"/>
        <v>1.2901790530703672</v>
      </c>
      <c r="H42" s="9"/>
      <c r="I42" s="12">
        <f t="shared" si="3"/>
        <v>4.2906530987453291</v>
      </c>
      <c r="J42" s="12">
        <f t="shared" si="4"/>
        <v>0.96440673894275031</v>
      </c>
      <c r="K42" s="12">
        <f t="shared" si="5"/>
        <v>0.11919633852101419</v>
      </c>
    </row>
    <row r="43" spans="2:11" x14ac:dyDescent="0.25">
      <c r="B43" s="10">
        <v>39</v>
      </c>
      <c r="C43" s="11">
        <v>43930</v>
      </c>
      <c r="D43" s="12">
        <f t="shared" si="0"/>
        <v>433951.84205973387</v>
      </c>
      <c r="E43" s="12">
        <f t="shared" si="1"/>
        <v>39.238535038858288</v>
      </c>
      <c r="F43" s="12">
        <f t="shared" si="7"/>
        <v>11.498270652294945</v>
      </c>
      <c r="G43" s="12">
        <f t="shared" si="7"/>
        <v>1.4211345750027471</v>
      </c>
      <c r="H43" s="9"/>
      <c r="I43" s="12">
        <f t="shared" si="3"/>
        <v>4.7138974385035981</v>
      </c>
      <c r="J43" s="12">
        <f t="shared" si="4"/>
        <v>1.0595492229074368</v>
      </c>
      <c r="K43" s="12">
        <f t="shared" si="5"/>
        <v>0.13095552193237997</v>
      </c>
    </row>
    <row r="44" spans="2:11" x14ac:dyDescent="0.25">
      <c r="B44" s="10">
        <v>40</v>
      </c>
      <c r="C44" s="11">
        <v>43931</v>
      </c>
      <c r="D44" s="12">
        <f t="shared" si="0"/>
        <v>433946.66317861347</v>
      </c>
      <c r="E44" s="12">
        <f t="shared" si="1"/>
        <v>43.109464991313736</v>
      </c>
      <c r="F44" s="12">
        <f t="shared" si="7"/>
        <v>12.662347191781073</v>
      </c>
      <c r="G44" s="12">
        <f t="shared" si="7"/>
        <v>1.565009203478561</v>
      </c>
      <c r="H44" s="9"/>
      <c r="I44" s="12">
        <f t="shared" si="3"/>
        <v>5.1788811204173948</v>
      </c>
      <c r="J44" s="12">
        <f t="shared" si="4"/>
        <v>1.164076539486129</v>
      </c>
      <c r="K44" s="12">
        <f t="shared" si="5"/>
        <v>0.14387462847581386</v>
      </c>
    </row>
    <row r="45" spans="2:11" x14ac:dyDescent="0.25">
      <c r="B45" s="10">
        <v>41</v>
      </c>
      <c r="C45" s="11">
        <v>43932</v>
      </c>
      <c r="D45" s="12">
        <f t="shared" si="0"/>
        <v>433940.97346049012</v>
      </c>
      <c r="E45" s="12">
        <f t="shared" si="1"/>
        <v>47.362200948275287</v>
      </c>
      <c r="F45" s="12">
        <f t="shared" si="7"/>
        <v>13.941261319856714</v>
      </c>
      <c r="G45" s="12">
        <f t="shared" si="7"/>
        <v>1.7230772417800448</v>
      </c>
      <c r="H45" s="9"/>
      <c r="I45" s="12">
        <f t="shared" si="3"/>
        <v>5.6897181233386798</v>
      </c>
      <c r="J45" s="12">
        <f t="shared" si="4"/>
        <v>1.2789141280756406</v>
      </c>
      <c r="K45" s="12">
        <f t="shared" si="5"/>
        <v>0.15806803830148383</v>
      </c>
    </row>
    <row r="46" spans="2:11" x14ac:dyDescent="0.25">
      <c r="B46" s="10">
        <v>42</v>
      </c>
      <c r="C46" s="11">
        <v>43933</v>
      </c>
      <c r="D46" s="12">
        <f t="shared" si="0"/>
        <v>433934.72253304243</v>
      </c>
      <c r="E46" s="12">
        <f t="shared" si="1"/>
        <v>52.03438836437315</v>
      </c>
      <c r="F46" s="12">
        <f t="shared" si="7"/>
        <v>15.346339947988881</v>
      </c>
      <c r="G46" s="12">
        <f t="shared" si="7"/>
        <v>1.8967386452570545</v>
      </c>
      <c r="H46" s="9"/>
      <c r="I46" s="12">
        <f t="shared" si="3"/>
        <v>6.2509274477070438</v>
      </c>
      <c r="J46" s="12">
        <f t="shared" si="4"/>
        <v>1.4050786281321668</v>
      </c>
      <c r="K46" s="12">
        <f t="shared" si="5"/>
        <v>0.17366140347700953</v>
      </c>
    </row>
    <row r="47" spans="2:11" x14ac:dyDescent="0.25">
      <c r="B47" s="10">
        <v>43</v>
      </c>
      <c r="C47" s="11">
        <v>43934</v>
      </c>
      <c r="D47" s="12">
        <f t="shared" si="0"/>
        <v>433927.85506014916</v>
      </c>
      <c r="E47" s="12">
        <f t="shared" si="1"/>
        <v>57.167381645506204</v>
      </c>
      <c r="F47" s="12">
        <f t="shared" si="7"/>
        <v>16.890026802798616</v>
      </c>
      <c r="G47" s="12">
        <f t="shared" si="7"/>
        <v>2.0875314025930893</v>
      </c>
      <c r="H47" s="9"/>
      <c r="I47" s="12">
        <f t="shared" si="3"/>
        <v>6.8674728932788218</v>
      </c>
      <c r="J47" s="12">
        <f t="shared" si="4"/>
        <v>1.5436868548097364</v>
      </c>
      <c r="K47" s="12">
        <f t="shared" si="5"/>
        <v>0.19079275733603504</v>
      </c>
    </row>
    <row r="48" spans="2:11" x14ac:dyDescent="0.25">
      <c r="B48" s="10">
        <v>44</v>
      </c>
      <c r="C48" s="11">
        <v>43935</v>
      </c>
      <c r="D48" s="12">
        <f t="shared" si="0"/>
        <v>433920.31025342573</v>
      </c>
      <c r="E48" s="12">
        <f t="shared" si="1"/>
        <v>62.806608980771685</v>
      </c>
      <c r="F48" s="12">
        <f t="shared" si="7"/>
        <v>18.585992458281968</v>
      </c>
      <c r="G48" s="12">
        <f t="shared" si="7"/>
        <v>2.2971451352932788</v>
      </c>
      <c r="H48" s="9"/>
      <c r="I48" s="12">
        <f t="shared" si="3"/>
        <v>7.5448067234490201</v>
      </c>
      <c r="J48" s="12">
        <f t="shared" si="4"/>
        <v>1.6959656554833507</v>
      </c>
      <c r="K48" s="12">
        <f t="shared" si="5"/>
        <v>0.2096137327001896</v>
      </c>
    </row>
    <row r="49" spans="2:11" x14ac:dyDescent="0.25">
      <c r="B49" s="10">
        <v>45</v>
      </c>
      <c r="C49" s="11">
        <v>43936</v>
      </c>
      <c r="D49" s="12">
        <f t="shared" si="0"/>
        <v>433912.021335834</v>
      </c>
      <c r="E49" s="12">
        <f t="shared" si="1"/>
        <v>69.001972939838339</v>
      </c>
      <c r="F49" s="12">
        <f t="shared" si="7"/>
        <v>20.449255191378196</v>
      </c>
      <c r="G49" s="12">
        <f t="shared" si="7"/>
        <v>2.5274360348894418</v>
      </c>
      <c r="H49" s="9"/>
      <c r="I49" s="12">
        <f t="shared" si="3"/>
        <v>8.288917591759045</v>
      </c>
      <c r="J49" s="12">
        <f t="shared" si="4"/>
        <v>1.8632627330962266</v>
      </c>
      <c r="K49" s="12">
        <f t="shared" si="5"/>
        <v>0.23029089959616306</v>
      </c>
    </row>
    <row r="50" spans="2:11" x14ac:dyDescent="0.25">
      <c r="B50" s="10">
        <v>46</v>
      </c>
      <c r="C50" s="11">
        <v>43937</v>
      </c>
      <c r="D50" s="12">
        <f t="shared" si="0"/>
        <v>433902.9149526924</v>
      </c>
      <c r="E50" s="12">
        <f t="shared" si="1"/>
        <v>75.808290316791002</v>
      </c>
      <c r="F50" s="12">
        <f t="shared" si="7"/>
        <v>22.496313721926732</v>
      </c>
      <c r="G50" s="12">
        <f t="shared" si="7"/>
        <v>2.7804432690021827</v>
      </c>
      <c r="H50" s="9"/>
      <c r="I50" s="12">
        <f t="shared" si="3"/>
        <v>9.10638314161395</v>
      </c>
      <c r="J50" s="12">
        <f t="shared" si="4"/>
        <v>2.0470585305485374</v>
      </c>
      <c r="K50" s="12">
        <f t="shared" si="5"/>
        <v>0.25300723411274079</v>
      </c>
    </row>
    <row r="51" spans="2:11" x14ac:dyDescent="0.25">
      <c r="B51" s="10">
        <v>47</v>
      </c>
      <c r="C51" s="11">
        <v>43938</v>
      </c>
      <c r="D51" s="12">
        <f t="shared" si="0"/>
        <v>433892.91052496358</v>
      </c>
      <c r="E51" s="12">
        <f t="shared" si="1"/>
        <v>83.285775035055096</v>
      </c>
      <c r="F51" s="12">
        <f t="shared" si="7"/>
        <v>24.745293001324864</v>
      </c>
      <c r="G51" s="12">
        <f t="shared" si="7"/>
        <v>3.0584070001637498</v>
      </c>
      <c r="H51" s="9"/>
      <c r="I51" s="12">
        <f t="shared" si="3"/>
        <v>10.004427728823778</v>
      </c>
      <c r="J51" s="12">
        <f t="shared" si="4"/>
        <v>2.2489792793981329</v>
      </c>
      <c r="K51" s="12">
        <f t="shared" si="5"/>
        <v>0.27796373116156725</v>
      </c>
    </row>
    <row r="52" spans="2:11" x14ac:dyDescent="0.25">
      <c r="B52" s="10">
        <v>48</v>
      </c>
      <c r="C52" s="11">
        <v>43939</v>
      </c>
      <c r="D52" s="12">
        <f t="shared" si="0"/>
        <v>433881.91953920497</v>
      </c>
      <c r="E52" s="12">
        <f t="shared" si="1"/>
        <v>91.500568292464223</v>
      </c>
      <c r="F52" s="12">
        <f t="shared" si="7"/>
        <v>27.216104327364832</v>
      </c>
      <c r="G52" s="12">
        <f t="shared" si="7"/>
        <v>3.3637881752922856</v>
      </c>
      <c r="H52" s="9"/>
      <c r="I52" s="12">
        <f t="shared" si="3"/>
        <v>10.990985758577615</v>
      </c>
      <c r="J52" s="12">
        <f t="shared" si="4"/>
        <v>2.4708113260399673</v>
      </c>
      <c r="K52" s="12">
        <f t="shared" si="5"/>
        <v>0.30538117512853563</v>
      </c>
    </row>
    <row r="53" spans="2:11" x14ac:dyDescent="0.25">
      <c r="B53" s="10">
        <v>49</v>
      </c>
      <c r="C53" s="11">
        <v>43940</v>
      </c>
      <c r="D53" s="12">
        <f t="shared" si="0"/>
        <v>433869.84476803086</v>
      </c>
      <c r="E53" s="12">
        <f t="shared" si="1"/>
        <v>100.52532052349095</v>
      </c>
      <c r="F53" s="12">
        <f t="shared" si="7"/>
        <v>29.930621186707938</v>
      </c>
      <c r="G53" s="12">
        <f t="shared" si="7"/>
        <v>3.6992902590313212</v>
      </c>
      <c r="H53" s="9"/>
      <c r="I53" s="12">
        <f t="shared" si="3"/>
        <v>12.074771174108863</v>
      </c>
      <c r="J53" s="12">
        <f t="shared" si="4"/>
        <v>2.7145168593431053</v>
      </c>
      <c r="K53" s="12">
        <f t="shared" si="5"/>
        <v>0.33550208373903578</v>
      </c>
    </row>
    <row r="54" spans="2:11" x14ac:dyDescent="0.25">
      <c r="B54" s="10">
        <v>50</v>
      </c>
      <c r="C54" s="11">
        <v>43941</v>
      </c>
      <c r="D54" s="12">
        <f t="shared" si="0"/>
        <v>433856.57941434701</v>
      </c>
      <c r="E54" s="12">
        <f t="shared" si="1"/>
        <v>110.43983018991764</v>
      </c>
      <c r="F54" s="12">
        <f t="shared" ref="F54:G69" si="8">F53+J54</f>
        <v>32.912872362238168</v>
      </c>
      <c r="G54" s="12">
        <f t="shared" si="8"/>
        <v>4.0678831009507883</v>
      </c>
      <c r="H54" s="9"/>
      <c r="I54" s="12">
        <f t="shared" si="3"/>
        <v>13.265353683876404</v>
      </c>
      <c r="J54" s="12">
        <f t="shared" si="4"/>
        <v>2.982251175530231</v>
      </c>
      <c r="K54" s="12">
        <f t="shared" si="5"/>
        <v>0.36859284191946712</v>
      </c>
    </row>
    <row r="55" spans="2:11" x14ac:dyDescent="0.25">
      <c r="B55" s="10">
        <v>51</v>
      </c>
      <c r="C55" s="11">
        <v>43942</v>
      </c>
      <c r="D55" s="12">
        <f t="shared" si="0"/>
        <v>433842.00617197918</v>
      </c>
      <c r="E55" s="12">
        <f t="shared" si="1"/>
        <v>121.3317448847553</v>
      </c>
      <c r="F55" s="12">
        <f t="shared" si="8"/>
        <v>36.189253991205725</v>
      </c>
      <c r="G55" s="12">
        <f t="shared" si="8"/>
        <v>4.4728291449804871</v>
      </c>
      <c r="H55" s="9"/>
      <c r="I55" s="12">
        <f t="shared" si="3"/>
        <v>14.573242367834908</v>
      </c>
      <c r="J55" s="12">
        <f t="shared" si="4"/>
        <v>3.2763816289675565</v>
      </c>
      <c r="K55" s="12">
        <f t="shared" si="5"/>
        <v>0.40494604402969842</v>
      </c>
    </row>
    <row r="56" spans="2:11" x14ac:dyDescent="0.25">
      <c r="B56" s="10">
        <v>52</v>
      </c>
      <c r="C56" s="11">
        <v>43943</v>
      </c>
      <c r="D56" s="12">
        <f t="shared" si="0"/>
        <v>433825.99619461759</v>
      </c>
      <c r="E56" s="12">
        <f t="shared" si="1"/>
        <v>133.29733075016262</v>
      </c>
      <c r="F56" s="12">
        <f t="shared" si="8"/>
        <v>39.788762422786796</v>
      </c>
      <c r="G56" s="12">
        <f t="shared" si="8"/>
        <v>4.9177122095579238</v>
      </c>
      <c r="H56" s="9"/>
      <c r="I56" s="12">
        <f t="shared" si="3"/>
        <v>16.009977361565838</v>
      </c>
      <c r="J56" s="12">
        <f t="shared" si="4"/>
        <v>3.5995084315810733</v>
      </c>
      <c r="K56" s="12">
        <f t="shared" si="5"/>
        <v>0.44488306457743648</v>
      </c>
    </row>
    <row r="57" spans="2:11" x14ac:dyDescent="0.25">
      <c r="B57" s="10">
        <v>53</v>
      </c>
      <c r="C57" s="11">
        <v>43944</v>
      </c>
      <c r="D57" s="12">
        <f t="shared" si="0"/>
        <v>433808.40796423762</v>
      </c>
      <c r="E57" s="12">
        <f t="shared" si="1"/>
        <v>146.44231677177726</v>
      </c>
      <c r="F57" s="12">
        <f t="shared" si="8"/>
        <v>43.743249901708289</v>
      </c>
      <c r="G57" s="12">
        <f t="shared" si="8"/>
        <v>5.4064690889751867</v>
      </c>
      <c r="H57" s="9"/>
      <c r="I57" s="12">
        <f t="shared" si="3"/>
        <v>17.588230379953373</v>
      </c>
      <c r="J57" s="12">
        <f t="shared" si="4"/>
        <v>3.9544874789214908</v>
      </c>
      <c r="K57" s="12">
        <f t="shared" si="5"/>
        <v>0.48875687941726331</v>
      </c>
    </row>
    <row r="58" spans="2:11" x14ac:dyDescent="0.25">
      <c r="B58" s="10">
        <v>54</v>
      </c>
      <c r="C58" s="11">
        <v>43945</v>
      </c>
      <c r="D58" s="12">
        <f t="shared" si="0"/>
        <v>433789.08604932763</v>
      </c>
      <c r="E58" s="12">
        <f t="shared" si="1"/>
        <v>160.88282112268919</v>
      </c>
      <c r="F58" s="12">
        <f t="shared" si="8"/>
        <v>48.087705299271015</v>
      </c>
      <c r="G58" s="12">
        <f t="shared" si="8"/>
        <v>5.9434242504717041</v>
      </c>
      <c r="H58" s="9"/>
      <c r="I58" s="12">
        <f t="shared" si="3"/>
        <v>19.321914909971159</v>
      </c>
      <c r="J58" s="12">
        <f t="shared" si="4"/>
        <v>4.3444553975627249</v>
      </c>
      <c r="K58" s="12">
        <f t="shared" si="5"/>
        <v>0.53695516149651701</v>
      </c>
    </row>
    <row r="59" spans="2:11" x14ac:dyDescent="0.25">
      <c r="B59" s="10">
        <v>55</v>
      </c>
      <c r="C59" s="11">
        <v>43946</v>
      </c>
      <c r="D59" s="12">
        <f t="shared" si="0"/>
        <v>433767.85974235239</v>
      </c>
      <c r="E59" s="12">
        <f t="shared" si="1"/>
        <v>176.74636739383405</v>
      </c>
      <c r="F59" s="12">
        <f t="shared" si="8"/>
        <v>52.860562325910792</v>
      </c>
      <c r="G59" s="12">
        <f t="shared" si="8"/>
        <v>6.5333279279215652</v>
      </c>
      <c r="H59" s="9"/>
      <c r="I59" s="12">
        <f t="shared" si="3"/>
        <v>21.226306975234483</v>
      </c>
      <c r="J59" s="12">
        <f t="shared" si="4"/>
        <v>4.7728570266397794</v>
      </c>
      <c r="K59" s="12">
        <f t="shared" si="5"/>
        <v>0.58990367744986094</v>
      </c>
    </row>
    <row r="60" spans="2:11" x14ac:dyDescent="0.25">
      <c r="B60" s="10">
        <v>56</v>
      </c>
      <c r="C60" s="11">
        <v>43947</v>
      </c>
      <c r="D60" s="12">
        <f t="shared" si="0"/>
        <v>433744.54156489891</v>
      </c>
      <c r="E60" s="12">
        <f t="shared" si="1"/>
        <v>194.17299926751687</v>
      </c>
      <c r="F60" s="12">
        <f t="shared" si="8"/>
        <v>58.104037891927867</v>
      </c>
      <c r="G60" s="12">
        <f t="shared" si="8"/>
        <v>7.1813979416989575</v>
      </c>
      <c r="H60" s="9"/>
      <c r="I60" s="12">
        <f t="shared" si="3"/>
        <v>23.31817745347729</v>
      </c>
      <c r="J60" s="12">
        <f t="shared" si="4"/>
        <v>5.2434755660170769</v>
      </c>
      <c r="K60" s="12">
        <f t="shared" si="5"/>
        <v>0.64807001377739215</v>
      </c>
    </row>
    <row r="61" spans="2:11" x14ac:dyDescent="0.25">
      <c r="B61" s="10">
        <v>57</v>
      </c>
      <c r="C61" s="11">
        <v>43948</v>
      </c>
      <c r="D61" s="12">
        <f t="shared" si="0"/>
        <v>433718.92562788673</v>
      </c>
      <c r="E61" s="12">
        <f t="shared" si="1"/>
        <v>213.31650297080378</v>
      </c>
      <c r="F61" s="12">
        <f t="shared" si="8"/>
        <v>63.864503536864198</v>
      </c>
      <c r="G61" s="12">
        <f t="shared" si="8"/>
        <v>7.8933656056798531</v>
      </c>
      <c r="H61" s="9"/>
      <c r="I61" s="12">
        <f t="shared" si="3"/>
        <v>25.615937012204146</v>
      </c>
      <c r="J61" s="12">
        <f t="shared" si="4"/>
        <v>5.7604656449363327</v>
      </c>
      <c r="K61" s="12">
        <f t="shared" si="5"/>
        <v>0.71196766398089584</v>
      </c>
    </row>
    <row r="62" spans="2:11" x14ac:dyDescent="0.25">
      <c r="B62" s="10">
        <v>58</v>
      </c>
      <c r="C62" s="11">
        <v>43949</v>
      </c>
      <c r="D62" s="12">
        <f t="shared" si="0"/>
        <v>433690.78583306918</v>
      </c>
      <c r="E62" s="12">
        <f t="shared" si="1"/>
        <v>234.34574768933237</v>
      </c>
      <c r="F62" s="12">
        <f t="shared" si="8"/>
        <v>70.192893124998051</v>
      </c>
      <c r="G62" s="12">
        <f t="shared" si="8"/>
        <v>8.6755261165728008</v>
      </c>
      <c r="H62" s="9"/>
      <c r="I62" s="12">
        <f t="shared" si="3"/>
        <v>28.139794817555352</v>
      </c>
      <c r="J62" s="12">
        <f t="shared" si="4"/>
        <v>6.3283895881338452</v>
      </c>
      <c r="K62" s="12">
        <f t="shared" si="5"/>
        <v>0.78216051089294791</v>
      </c>
    </row>
    <row r="63" spans="2:11" x14ac:dyDescent="0.25">
      <c r="B63" s="10">
        <v>59</v>
      </c>
      <c r="C63" s="11">
        <v>43950</v>
      </c>
      <c r="D63" s="12">
        <f t="shared" si="0"/>
        <v>433659.87390080222</v>
      </c>
      <c r="E63" s="12">
        <f t="shared" si="1"/>
        <v>257.44615503329908</v>
      </c>
      <c r="F63" s="12">
        <f t="shared" si="8"/>
        <v>77.145150306448244</v>
      </c>
      <c r="G63" s="12">
        <f t="shared" si="8"/>
        <v>9.534793858100354</v>
      </c>
      <c r="H63" s="9"/>
      <c r="I63" s="12">
        <f t="shared" si="3"/>
        <v>30.91193226694444</v>
      </c>
      <c r="J63" s="12">
        <f t="shared" si="4"/>
        <v>6.952257181450193</v>
      </c>
      <c r="K63" s="12">
        <f t="shared" si="5"/>
        <v>0.85926774152755281</v>
      </c>
    </row>
    <row r="64" spans="2:11" x14ac:dyDescent="0.25">
      <c r="B64" s="10">
        <v>60</v>
      </c>
      <c r="C64" s="13">
        <v>43951</v>
      </c>
      <c r="D64" s="12">
        <f t="shared" si="0"/>
        <v>433625.91720770503</v>
      </c>
      <c r="E64" s="12">
        <f t="shared" si="1"/>
        <v>282.82130962940261</v>
      </c>
      <c r="F64" s="12">
        <f t="shared" si="8"/>
        <v>84.782719572436122</v>
      </c>
      <c r="G64" s="12">
        <f t="shared" si="8"/>
        <v>10.478763093222451</v>
      </c>
      <c r="H64" s="9"/>
      <c r="I64" s="12">
        <f t="shared" si="3"/>
        <v>33.956693097213495</v>
      </c>
      <c r="J64" s="12">
        <f t="shared" si="4"/>
        <v>7.6375692659878718</v>
      </c>
      <c r="K64" s="12">
        <f t="shared" si="5"/>
        <v>0.94396923512209741</v>
      </c>
    </row>
    <row r="65" spans="2:11" x14ac:dyDescent="0.25">
      <c r="B65" s="10">
        <v>61</v>
      </c>
      <c r="C65" s="11">
        <v>43952</v>
      </c>
      <c r="D65" s="12">
        <f t="shared" si="0"/>
        <v>433588.61641637835</v>
      </c>
      <c r="E65" s="12">
        <f t="shared" si="1"/>
        <v>310.6947239684597</v>
      </c>
      <c r="F65" s="12">
        <f t="shared" si="8"/>
        <v>93.173085091441735</v>
      </c>
      <c r="G65" s="12">
        <f t="shared" si="8"/>
        <v>11.515774561863594</v>
      </c>
      <c r="H65" s="9"/>
      <c r="I65" s="12">
        <f t="shared" si="3"/>
        <v>37.300791326703887</v>
      </c>
      <c r="J65" s="12">
        <f t="shared" si="4"/>
        <v>8.3903655190056092</v>
      </c>
      <c r="K65" s="12">
        <f t="shared" si="5"/>
        <v>1.0370114686411438</v>
      </c>
    </row>
    <row r="66" spans="2:11" x14ac:dyDescent="0.25">
      <c r="B66" s="10">
        <v>62</v>
      </c>
      <c r="C66" s="11">
        <v>43953</v>
      </c>
      <c r="D66" s="12">
        <f t="shared" si="0"/>
        <v>433547.64287777699</v>
      </c>
      <c r="E66" s="12">
        <f t="shared" si="1"/>
        <v>341.31177177089745</v>
      </c>
      <c r="F66" s="12">
        <f t="shared" si="8"/>
        <v>102.39036190250604</v>
      </c>
      <c r="G66" s="12">
        <f t="shared" si="8"/>
        <v>12.654988549747948</v>
      </c>
      <c r="H66" s="9"/>
      <c r="I66" s="12">
        <f t="shared" si="3"/>
        <v>40.973538601386466</v>
      </c>
      <c r="J66" s="12">
        <f t="shared" si="4"/>
        <v>9.217276811064302</v>
      </c>
      <c r="K66" s="12">
        <f t="shared" si="5"/>
        <v>1.1392139878843532</v>
      </c>
    </row>
    <row r="67" spans="2:11" x14ac:dyDescent="0.25">
      <c r="B67" s="10">
        <v>63</v>
      </c>
      <c r="C67" s="11">
        <v>43954</v>
      </c>
      <c r="D67" s="12">
        <f t="shared" si="0"/>
        <v>433502.63578514557</v>
      </c>
      <c r="E67" s="12">
        <f t="shared" si="1"/>
        <v>374.94180534331718</v>
      </c>
      <c r="F67" s="12">
        <f t="shared" si="8"/>
        <v>112.51594446504267</v>
      </c>
      <c r="G67" s="12">
        <f t="shared" si="8"/>
        <v>13.906465046241239</v>
      </c>
      <c r="H67" s="9"/>
      <c r="I67" s="12">
        <f t="shared" si="3"/>
        <v>45.007092631449645</v>
      </c>
      <c r="J67" s="12">
        <f t="shared" si="4"/>
        <v>10.125582562536625</v>
      </c>
      <c r="K67" s="12">
        <f t="shared" si="5"/>
        <v>1.2514764964932918</v>
      </c>
    </row>
    <row r="68" spans="2:11" x14ac:dyDescent="0.25">
      <c r="B68" s="10">
        <v>64</v>
      </c>
      <c r="C68" s="11">
        <v>43955</v>
      </c>
      <c r="D68" s="12">
        <f t="shared" si="0"/>
        <v>433453.19905662094</v>
      </c>
      <c r="E68" s="12">
        <f t="shared" si="1"/>
        <v>411.88047368985139</v>
      </c>
      <c r="F68" s="12">
        <f t="shared" si="8"/>
        <v>123.63921802356107</v>
      </c>
      <c r="G68" s="12">
        <f t="shared" si="8"/>
        <v>15.281251665833404</v>
      </c>
      <c r="H68" s="9"/>
      <c r="I68" s="12">
        <f t="shared" si="3"/>
        <v>49.436728524644757</v>
      </c>
      <c r="J68" s="12">
        <f t="shared" si="4"/>
        <v>11.123273558518408</v>
      </c>
      <c r="K68" s="12">
        <f t="shared" si="5"/>
        <v>1.3747866195921643</v>
      </c>
    </row>
    <row r="69" spans="2:11" x14ac:dyDescent="0.25">
      <c r="B69" s="10">
        <v>65</v>
      </c>
      <c r="C69" s="11">
        <v>43956</v>
      </c>
      <c r="D69" s="12">
        <f t="shared" si="0"/>
        <v>433398.89792167593</v>
      </c>
      <c r="E69" s="12">
        <f t="shared" si="1"/>
        <v>452.45225951189229</v>
      </c>
      <c r="F69" s="12">
        <f t="shared" si="8"/>
        <v>135.85833874302665</v>
      </c>
      <c r="G69" s="12">
        <f t="shared" si="8"/>
        <v>16.791480069362859</v>
      </c>
      <c r="H69" s="9"/>
      <c r="I69" s="12">
        <f t="shared" si="3"/>
        <v>54.301134945035976</v>
      </c>
      <c r="J69" s="12">
        <f t="shared" si="4"/>
        <v>12.21912071946559</v>
      </c>
      <c r="K69" s="12">
        <f t="shared" si="5"/>
        <v>1.5102284035294564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433339.25518452696</v>
      </c>
      <c r="E70" s="12">
        <f t="shared" ref="E70:E133" si="10">E69+I70-J70-K70</f>
        <v>497.01325467713531</v>
      </c>
      <c r="F70" s="12">
        <f t="shared" ref="F70:G85" si="11">F69+J70</f>
        <v>149.28108910854613</v>
      </c>
      <c r="G70" s="12">
        <f t="shared" si="11"/>
        <v>18.450471687573131</v>
      </c>
      <c r="H70" s="9"/>
      <c r="I70" s="12">
        <f t="shared" ref="I70:I133" si="12">E69*N$6*D69/SUM(D69:F69)*N$7</f>
        <v>59.642737148972742</v>
      </c>
      <c r="J70" s="12">
        <f t="shared" ref="J70:J133" si="13">E69*N$8/N$5</f>
        <v>13.42275036551947</v>
      </c>
      <c r="K70" s="12">
        <f t="shared" ref="K70:K133" si="14">E69*N$9/N$5</f>
        <v>1.6589916182102731</v>
      </c>
    </row>
    <row r="71" spans="2:11" x14ac:dyDescent="0.25">
      <c r="B71" s="10">
        <v>67</v>
      </c>
      <c r="C71" s="11">
        <v>43958</v>
      </c>
      <c r="D71" s="12">
        <f t="shared" si="9"/>
        <v>433273.74713545502</v>
      </c>
      <c r="E71" s="12">
        <f t="shared" si="10"/>
        <v>545.9541952598496</v>
      </c>
      <c r="F71" s="12">
        <f t="shared" si="11"/>
        <v>164.02581566396782</v>
      </c>
      <c r="G71" s="12">
        <f t="shared" si="11"/>
        <v>20.272853621389295</v>
      </c>
      <c r="H71" s="9"/>
      <c r="I71" s="12">
        <f t="shared" si="12"/>
        <v>65.508049071952144</v>
      </c>
      <c r="J71" s="12">
        <f t="shared" si="13"/>
        <v>14.74472655542168</v>
      </c>
      <c r="K71" s="12">
        <f t="shared" si="14"/>
        <v>1.8223819338161644</v>
      </c>
    </row>
    <row r="72" spans="2:11" x14ac:dyDescent="0.25">
      <c r="B72" s="10">
        <v>68</v>
      </c>
      <c r="C72" s="11">
        <v>43959</v>
      </c>
      <c r="D72" s="12">
        <f t="shared" si="9"/>
        <v>433201.79907869722</v>
      </c>
      <c r="E72" s="12">
        <f t="shared" si="10"/>
        <v>599.70377884230345</v>
      </c>
      <c r="F72" s="12">
        <f t="shared" si="11"/>
        <v>180.22245679001003</v>
      </c>
      <c r="G72" s="12">
        <f t="shared" si="11"/>
        <v>22.27468567067541</v>
      </c>
      <c r="H72" s="9"/>
      <c r="I72" s="12">
        <f t="shared" si="12"/>
        <v>71.948056757782169</v>
      </c>
      <c r="J72" s="12">
        <f t="shared" si="13"/>
        <v>16.196641126042202</v>
      </c>
      <c r="K72" s="12">
        <f t="shared" si="14"/>
        <v>2.0018320492861168</v>
      </c>
    </row>
    <row r="73" spans="2:11" x14ac:dyDescent="0.25">
      <c r="B73" s="10">
        <v>69</v>
      </c>
      <c r="C73" s="11">
        <v>43960</v>
      </c>
      <c r="D73" s="12">
        <f t="shared" si="9"/>
        <v>433122.78044316568</v>
      </c>
      <c r="E73" s="12">
        <f t="shared" si="10"/>
        <v>658.73228841242633</v>
      </c>
      <c r="F73" s="12">
        <f t="shared" si="11"/>
        <v>198.01366889566503</v>
      </c>
      <c r="G73" s="12">
        <f t="shared" si="11"/>
        <v>24.473599526430526</v>
      </c>
      <c r="H73" s="9"/>
      <c r="I73" s="12">
        <f t="shared" si="12"/>
        <v>79.018635531532908</v>
      </c>
      <c r="J73" s="12">
        <f t="shared" si="13"/>
        <v>17.791212105654999</v>
      </c>
      <c r="K73" s="12">
        <f t="shared" si="14"/>
        <v>2.1989138557551149</v>
      </c>
    </row>
    <row r="74" spans="2:11" x14ac:dyDescent="0.25">
      <c r="B74" s="10">
        <v>70</v>
      </c>
      <c r="C74" s="11">
        <v>43961</v>
      </c>
      <c r="D74" s="12">
        <f t="shared" si="9"/>
        <v>433035.99943975004</v>
      </c>
      <c r="E74" s="12">
        <f t="shared" si="10"/>
        <v>723.55554888100096</v>
      </c>
      <c r="F74" s="12">
        <f t="shared" si="11"/>
        <v>217.55606011856702</v>
      </c>
      <c r="G74" s="12">
        <f t="shared" si="11"/>
        <v>26.888951250609423</v>
      </c>
      <c r="H74" s="9"/>
      <c r="I74" s="12">
        <f t="shared" si="12"/>
        <v>86.781003415655547</v>
      </c>
      <c r="J74" s="12">
        <f t="shared" si="13"/>
        <v>19.54239122290198</v>
      </c>
      <c r="K74" s="12">
        <f t="shared" si="14"/>
        <v>2.4153517241788984</v>
      </c>
    </row>
    <row r="75" spans="2:11" x14ac:dyDescent="0.25">
      <c r="B75" s="10">
        <v>71</v>
      </c>
      <c r="C75" s="11">
        <v>43962</v>
      </c>
      <c r="D75" s="12">
        <f t="shared" si="9"/>
        <v>432940.69722638134</v>
      </c>
      <c r="E75" s="12">
        <f t="shared" si="10"/>
        <v>794.73924395367158</v>
      </c>
      <c r="F75" s="12">
        <f t="shared" si="11"/>
        <v>239.02154140203672</v>
      </c>
      <c r="G75" s="12">
        <f t="shared" si="11"/>
        <v>29.541988263173096</v>
      </c>
      <c r="H75" s="9"/>
      <c r="I75" s="12">
        <f t="shared" si="12"/>
        <v>95.302213368703988</v>
      </c>
      <c r="J75" s="12">
        <f t="shared" si="13"/>
        <v>21.465481283469693</v>
      </c>
      <c r="K75" s="12">
        <f t="shared" si="14"/>
        <v>2.6530370125636726</v>
      </c>
    </row>
    <row r="76" spans="2:11" x14ac:dyDescent="0.25">
      <c r="B76" s="10">
        <v>72</v>
      </c>
      <c r="C76" s="11">
        <v>43963</v>
      </c>
      <c r="D76" s="12">
        <f t="shared" si="9"/>
        <v>432836.04153940006</v>
      </c>
      <c r="E76" s="12">
        <f t="shared" si="10"/>
        <v>872.90362280315105</v>
      </c>
      <c r="F76" s="12">
        <f t="shared" si="11"/>
        <v>262.59880563932899</v>
      </c>
      <c r="G76" s="12">
        <f t="shared" si="11"/>
        <v>32.456032157669895</v>
      </c>
      <c r="H76" s="9"/>
      <c r="I76" s="12">
        <f t="shared" si="12"/>
        <v>104.65568698126852</v>
      </c>
      <c r="J76" s="12">
        <f t="shared" si="13"/>
        <v>23.577264237292255</v>
      </c>
      <c r="K76" s="12">
        <f t="shared" si="14"/>
        <v>2.9140438944967983</v>
      </c>
    </row>
    <row r="77" spans="2:11" x14ac:dyDescent="0.25">
      <c r="B77" s="10">
        <v>73</v>
      </c>
      <c r="C77" s="11">
        <v>43964</v>
      </c>
      <c r="D77" s="12">
        <f t="shared" si="9"/>
        <v>432721.11974711472</v>
      </c>
      <c r="E77" s="12">
        <f t="shared" si="10"/>
        <v>958.7286276617092</v>
      </c>
      <c r="F77" s="12">
        <f t="shared" si="11"/>
        <v>288.4949464491558</v>
      </c>
      <c r="G77" s="12">
        <f t="shared" si="11"/>
        <v>35.656678774614782</v>
      </c>
      <c r="H77" s="9"/>
      <c r="I77" s="12">
        <f t="shared" si="12"/>
        <v>114.9217922853299</v>
      </c>
      <c r="J77" s="12">
        <f t="shared" si="13"/>
        <v>25.896140809826811</v>
      </c>
      <c r="K77" s="12">
        <f t="shared" si="14"/>
        <v>3.2006466169448897</v>
      </c>
    </row>
    <row r="78" spans="2:11" x14ac:dyDescent="0.25">
      <c r="B78" s="10">
        <v>74</v>
      </c>
      <c r="C78" s="11">
        <v>43965</v>
      </c>
      <c r="D78" s="12">
        <f t="shared" si="9"/>
        <v>432594.93127880414</v>
      </c>
      <c r="E78" s="12">
        <f t="shared" si="10"/>
        <v>1052.9594750502461</v>
      </c>
      <c r="F78" s="12">
        <f t="shared" si="11"/>
        <v>316.9372290697865</v>
      </c>
      <c r="G78" s="12">
        <f t="shared" si="11"/>
        <v>39.172017076041051</v>
      </c>
      <c r="H78" s="9"/>
      <c r="I78" s="12">
        <f t="shared" si="12"/>
        <v>126.18846831059388</v>
      </c>
      <c r="J78" s="12">
        <f t="shared" si="13"/>
        <v>28.442282620630703</v>
      </c>
      <c r="K78" s="12">
        <f t="shared" si="14"/>
        <v>3.51533830142627</v>
      </c>
    </row>
    <row r="79" spans="2:11" x14ac:dyDescent="0.25">
      <c r="B79" s="10">
        <v>75</v>
      </c>
      <c r="C79" s="11">
        <v>43966</v>
      </c>
      <c r="D79" s="12">
        <f t="shared" si="9"/>
        <v>432456.37937986269</v>
      </c>
      <c r="E79" s="12">
        <f t="shared" si="10"/>
        <v>1156.4127248233501</v>
      </c>
      <c r="F79" s="12">
        <f t="shared" si="11"/>
        <v>348.17502682961049</v>
      </c>
      <c r="G79" s="12">
        <f t="shared" si="11"/>
        <v>43.032868484558627</v>
      </c>
      <c r="H79" s="9"/>
      <c r="I79" s="12">
        <f t="shared" si="12"/>
        <v>138.55189894144564</v>
      </c>
      <c r="J79" s="12">
        <f t="shared" si="13"/>
        <v>31.237797759823966</v>
      </c>
      <c r="K79" s="12">
        <f t="shared" si="14"/>
        <v>3.8608514085175725</v>
      </c>
    </row>
    <row r="80" spans="2:11" x14ac:dyDescent="0.25">
      <c r="B80" s="10">
        <v>76</v>
      </c>
      <c r="C80" s="11">
        <v>43967</v>
      </c>
      <c r="D80" s="12">
        <f t="shared" si="9"/>
        <v>432304.2621413875</v>
      </c>
      <c r="E80" s="12">
        <f t="shared" si="10"/>
        <v>1269.9828724710742</v>
      </c>
      <c r="F80" s="12">
        <f t="shared" si="11"/>
        <v>382.48193766603652</v>
      </c>
      <c r="G80" s="12">
        <f t="shared" si="11"/>
        <v>47.273048475577582</v>
      </c>
      <c r="H80" s="9"/>
      <c r="I80" s="12">
        <f t="shared" si="12"/>
        <v>152.1172384751691</v>
      </c>
      <c r="J80" s="12">
        <f t="shared" si="13"/>
        <v>34.306910836426049</v>
      </c>
      <c r="K80" s="12">
        <f t="shared" si="14"/>
        <v>4.2401799910189544</v>
      </c>
    </row>
    <row r="81" spans="2:11" x14ac:dyDescent="0.25">
      <c r="B81" s="10">
        <v>77</v>
      </c>
      <c r="C81" s="11">
        <v>43968</v>
      </c>
      <c r="D81" s="12">
        <f t="shared" si="9"/>
        <v>432137.26275035058</v>
      </c>
      <c r="E81" s="12">
        <f t="shared" si="10"/>
        <v>1394.6495010923079</v>
      </c>
      <c r="F81" s="12">
        <f t="shared" si="11"/>
        <v>420.1580962160117</v>
      </c>
      <c r="G81" s="12">
        <f t="shared" si="11"/>
        <v>51.929652341304859</v>
      </c>
      <c r="H81" s="9"/>
      <c r="I81" s="12">
        <f t="shared" si="12"/>
        <v>166.99939103693617</v>
      </c>
      <c r="J81" s="12">
        <f t="shared" si="13"/>
        <v>37.676158549975199</v>
      </c>
      <c r="K81" s="12">
        <f t="shared" si="14"/>
        <v>4.6566038657272761</v>
      </c>
    </row>
    <row r="82" spans="2:11" x14ac:dyDescent="0.25">
      <c r="B82" s="10">
        <v>78</v>
      </c>
      <c r="C82" s="11">
        <v>43969</v>
      </c>
      <c r="D82" s="12">
        <f t="shared" si="9"/>
        <v>431953.93890470371</v>
      </c>
      <c r="E82" s="12">
        <f t="shared" si="10"/>
        <v>1531.485030036112</v>
      </c>
      <c r="F82" s="12">
        <f t="shared" si="11"/>
        <v>461.53269808175014</v>
      </c>
      <c r="G82" s="12">
        <f t="shared" si="11"/>
        <v>57.043367178643322</v>
      </c>
      <c r="H82" s="9"/>
      <c r="I82" s="12">
        <f t="shared" si="12"/>
        <v>183.32384564688107</v>
      </c>
      <c r="J82" s="12">
        <f t="shared" si="13"/>
        <v>41.374601865738462</v>
      </c>
      <c r="K82" s="12">
        <f t="shared" si="14"/>
        <v>5.1137148373384669</v>
      </c>
    </row>
    <row r="83" spans="2:11" x14ac:dyDescent="0.25">
      <c r="B83" s="10">
        <v>79</v>
      </c>
      <c r="C83" s="11">
        <v>43970</v>
      </c>
      <c r="D83" s="12">
        <f t="shared" si="9"/>
        <v>431752.71133647172</v>
      </c>
      <c r="E83" s="12">
        <f t="shared" si="10"/>
        <v>1681.6630972668963</v>
      </c>
      <c r="F83" s="12">
        <f t="shared" si="11"/>
        <v>506.96675397282144</v>
      </c>
      <c r="G83" s="12">
        <f t="shared" si="11"/>
        <v>62.658812288775735</v>
      </c>
      <c r="H83" s="9"/>
      <c r="I83" s="12">
        <f t="shared" si="12"/>
        <v>201.2275682319881</v>
      </c>
      <c r="J83" s="12">
        <f t="shared" si="13"/>
        <v>45.434055891071317</v>
      </c>
      <c r="K83" s="12">
        <f t="shared" si="14"/>
        <v>5.6154451101324154</v>
      </c>
    </row>
    <row r="84" spans="2:11" x14ac:dyDescent="0.25">
      <c r="B84" s="10">
        <v>80</v>
      </c>
      <c r="C84" s="11">
        <v>43971</v>
      </c>
      <c r="D84" s="12">
        <f t="shared" si="9"/>
        <v>431531.85138527368</v>
      </c>
      <c r="E84" s="12">
        <f t="shared" si="10"/>
        <v>1846.4676118893738</v>
      </c>
      <c r="F84" s="12">
        <f t="shared" si="11"/>
        <v>556.85609252507265</v>
      </c>
      <c r="G84" s="12">
        <f t="shared" si="11"/>
        <v>68.824910312087695</v>
      </c>
      <c r="H84" s="9"/>
      <c r="I84" s="12">
        <f t="shared" si="12"/>
        <v>220.85995119804053</v>
      </c>
      <c r="J84" s="12">
        <f t="shared" si="13"/>
        <v>49.889338552251253</v>
      </c>
      <c r="K84" s="12">
        <f t="shared" si="14"/>
        <v>6.1660980233119584</v>
      </c>
    </row>
    <row r="85" spans="2:11" x14ac:dyDescent="0.25">
      <c r="B85" s="10">
        <v>81</v>
      </c>
      <c r="C85" s="11">
        <v>43972</v>
      </c>
      <c r="D85" s="12">
        <f t="shared" si="9"/>
        <v>431289.46756498754</v>
      </c>
      <c r="E85" s="12">
        <f t="shared" si="10"/>
        <v>2027.3025117791854</v>
      </c>
      <c r="F85" s="12">
        <f t="shared" si="11"/>
        <v>611.63463167779071</v>
      </c>
      <c r="G85" s="12">
        <f t="shared" si="11"/>
        <v>75.595291555682067</v>
      </c>
      <c r="H85" s="9"/>
      <c r="I85" s="12">
        <f t="shared" si="12"/>
        <v>242.38382028612415</v>
      </c>
      <c r="J85" s="12">
        <f t="shared" si="13"/>
        <v>54.778539152718082</v>
      </c>
      <c r="K85" s="12">
        <f t="shared" si="14"/>
        <v>6.7703812435943762</v>
      </c>
    </row>
    <row r="86" spans="2:11" x14ac:dyDescent="0.25">
      <c r="B86" s="10">
        <v>82</v>
      </c>
      <c r="C86" s="11">
        <v>43973</v>
      </c>
      <c r="D86" s="12">
        <f t="shared" si="9"/>
        <v>431023.49106769846</v>
      </c>
      <c r="E86" s="12">
        <f t="shared" si="10"/>
        <v>2225.7022586756243</v>
      </c>
      <c r="F86" s="12">
        <f t="shared" ref="F86:G101" si="15">F85+J86</f>
        <v>671.77793952723982</v>
      </c>
      <c r="G86" s="12">
        <f t="shared" si="15"/>
        <v>83.02873409887242</v>
      </c>
      <c r="H86" s="9"/>
      <c r="I86" s="12">
        <f t="shared" si="12"/>
        <v>265.9764972890784</v>
      </c>
      <c r="J86" s="12">
        <f t="shared" si="13"/>
        <v>60.143307849449158</v>
      </c>
      <c r="K86" s="12">
        <f t="shared" si="14"/>
        <v>7.4334425431903526</v>
      </c>
    </row>
    <row r="87" spans="2:11" x14ac:dyDescent="0.25">
      <c r="B87" s="10">
        <v>83</v>
      </c>
      <c r="C87" s="11">
        <v>43974</v>
      </c>
      <c r="D87" s="12">
        <f t="shared" si="9"/>
        <v>430731.66015195521</v>
      </c>
      <c r="E87" s="12">
        <f t="shared" si="10"/>
        <v>2443.3430991297023</v>
      </c>
      <c r="F87" s="12">
        <f t="shared" si="15"/>
        <v>737.80710653461665</v>
      </c>
      <c r="G87" s="12">
        <f t="shared" si="15"/>
        <v>91.189642380683054</v>
      </c>
      <c r="H87" s="9"/>
      <c r="I87" s="12">
        <f t="shared" si="12"/>
        <v>291.83091574326522</v>
      </c>
      <c r="J87" s="12">
        <f t="shared" si="13"/>
        <v>66.029167007376856</v>
      </c>
      <c r="K87" s="12">
        <f t="shared" si="14"/>
        <v>8.1609082818106291</v>
      </c>
    </row>
    <row r="88" spans="2:11" x14ac:dyDescent="0.25">
      <c r="B88" s="10">
        <v>84</v>
      </c>
      <c r="C88" s="11">
        <v>43975</v>
      </c>
      <c r="D88" s="12">
        <f t="shared" si="9"/>
        <v>430411.50336707605</v>
      </c>
      <c r="E88" s="12">
        <f t="shared" si="10"/>
        <v>2682.0551140378875</v>
      </c>
      <c r="F88" s="12">
        <f t="shared" si="15"/>
        <v>810.29295180879785</v>
      </c>
      <c r="G88" s="12">
        <f t="shared" si="15"/>
        <v>100.14856707749198</v>
      </c>
      <c r="H88" s="9"/>
      <c r="I88" s="12">
        <f t="shared" si="12"/>
        <v>320.15678487917523</v>
      </c>
      <c r="J88" s="12">
        <f t="shared" si="13"/>
        <v>72.485845274181159</v>
      </c>
      <c r="K88" s="12">
        <f t="shared" si="14"/>
        <v>8.958924696808916</v>
      </c>
    </row>
    <row r="89" spans="2:11" x14ac:dyDescent="0.25">
      <c r="B89" s="10">
        <v>85</v>
      </c>
      <c r="C89" s="11">
        <v>43976</v>
      </c>
      <c r="D89" s="12">
        <f t="shared" si="9"/>
        <v>430060.32157223532</v>
      </c>
      <c r="E89" s="12">
        <f t="shared" si="10"/>
        <v>2943.8350717440348</v>
      </c>
      <c r="F89" s="12">
        <f t="shared" si="15"/>
        <v>889.86058685858848</v>
      </c>
      <c r="G89" s="12">
        <f t="shared" si="15"/>
        <v>109.98276916229757</v>
      </c>
      <c r="H89" s="9"/>
      <c r="I89" s="12">
        <f t="shared" si="12"/>
        <v>351.18179484074335</v>
      </c>
      <c r="J89" s="12">
        <f t="shared" si="13"/>
        <v>79.567635049790653</v>
      </c>
      <c r="K89" s="12">
        <f t="shared" si="14"/>
        <v>9.8342020848055949</v>
      </c>
    </row>
    <row r="90" spans="2:11" x14ac:dyDescent="0.25">
      <c r="B90" s="10">
        <v>86</v>
      </c>
      <c r="C90" s="11">
        <v>43977</v>
      </c>
      <c r="D90" s="12">
        <f t="shared" si="9"/>
        <v>429675.16871884716</v>
      </c>
      <c r="E90" s="12">
        <f t="shared" si="10"/>
        <v>3230.8600894073784</v>
      </c>
      <c r="F90" s="12">
        <f t="shared" si="15"/>
        <v>977.19436065366153</v>
      </c>
      <c r="G90" s="12">
        <f t="shared" si="15"/>
        <v>120.7768310920257</v>
      </c>
      <c r="H90" s="9"/>
      <c r="I90" s="12">
        <f t="shared" si="12"/>
        <v>385.15285338814471</v>
      </c>
      <c r="J90" s="12">
        <f t="shared" si="13"/>
        <v>87.333773795073029</v>
      </c>
      <c r="K90" s="12">
        <f t="shared" si="14"/>
        <v>10.794061929728137</v>
      </c>
    </row>
    <row r="91" spans="2:11" x14ac:dyDescent="0.25">
      <c r="B91" s="10">
        <v>87</v>
      </c>
      <c r="C91" s="11">
        <v>43978</v>
      </c>
      <c r="D91" s="12">
        <f t="shared" si="9"/>
        <v>429252.83137795457</v>
      </c>
      <c r="E91" s="12">
        <f t="shared" si="10"/>
        <v>3545.5020939863589</v>
      </c>
      <c r="F91" s="12">
        <f t="shared" si="15"/>
        <v>1073.043209972747</v>
      </c>
      <c r="G91" s="12">
        <f t="shared" si="15"/>
        <v>132.62331808651945</v>
      </c>
      <c r="H91" s="9"/>
      <c r="I91" s="12">
        <f t="shared" si="12"/>
        <v>422.33734089256006</v>
      </c>
      <c r="J91" s="12">
        <f t="shared" si="13"/>
        <v>95.848849319085545</v>
      </c>
      <c r="K91" s="12">
        <f t="shared" si="14"/>
        <v>11.846486994493732</v>
      </c>
    </row>
    <row r="92" spans="2:11" x14ac:dyDescent="0.25">
      <c r="B92" s="10">
        <v>88</v>
      </c>
      <c r="C92" s="11">
        <v>43979</v>
      </c>
      <c r="D92" s="12">
        <f t="shared" si="9"/>
        <v>428789.80701164034</v>
      </c>
      <c r="E92" s="12">
        <f t="shared" si="10"/>
        <v>3890.3430571676845</v>
      </c>
      <c r="F92" s="12">
        <f t="shared" si="15"/>
        <v>1178.2264387610089</v>
      </c>
      <c r="G92" s="12">
        <f t="shared" si="15"/>
        <v>145.6234924311361</v>
      </c>
      <c r="H92" s="9"/>
      <c r="I92" s="12">
        <f t="shared" si="12"/>
        <v>463.02436631420477</v>
      </c>
      <c r="J92" s="12">
        <f t="shared" si="13"/>
        <v>105.18322878826196</v>
      </c>
      <c r="K92" s="12">
        <f t="shared" si="14"/>
        <v>13.00017434461666</v>
      </c>
    </row>
    <row r="93" spans="2:11" x14ac:dyDescent="0.25">
      <c r="B93" s="10">
        <v>89</v>
      </c>
      <c r="C93" s="11">
        <v>43980</v>
      </c>
      <c r="D93" s="12">
        <f t="shared" si="9"/>
        <v>428282.28100972273</v>
      </c>
      <c r="E93" s="12">
        <f t="shared" si="10"/>
        <v>4268.1909571796896</v>
      </c>
      <c r="F93" s="12">
        <f t="shared" si="15"/>
        <v>1293.6399494569835</v>
      </c>
      <c r="G93" s="12">
        <f t="shared" si="15"/>
        <v>159.88808364075095</v>
      </c>
      <c r="H93" s="9"/>
      <c r="I93" s="12">
        <f t="shared" si="12"/>
        <v>507.52600191759444</v>
      </c>
      <c r="J93" s="12">
        <f t="shared" si="13"/>
        <v>115.41351069597462</v>
      </c>
      <c r="K93" s="12">
        <f t="shared" si="14"/>
        <v>14.264591209614855</v>
      </c>
    </row>
    <row r="94" spans="2:11" x14ac:dyDescent="0.25">
      <c r="B94" s="10">
        <v>90</v>
      </c>
      <c r="C94" s="11">
        <v>43981</v>
      </c>
      <c r="D94" s="12">
        <f t="shared" si="9"/>
        <v>427726.10254111938</v>
      </c>
      <c r="E94" s="12">
        <f t="shared" si="10"/>
        <v>4682.0963938770719</v>
      </c>
      <c r="F94" s="12">
        <f t="shared" si="15"/>
        <v>1420.2629478533142</v>
      </c>
      <c r="G94" s="12">
        <f t="shared" si="15"/>
        <v>175.53811715040982</v>
      </c>
      <c r="H94" s="9"/>
      <c r="I94" s="12">
        <f t="shared" si="12"/>
        <v>556.1784686033717</v>
      </c>
      <c r="J94" s="12">
        <f t="shared" si="13"/>
        <v>126.62299839633077</v>
      </c>
      <c r="K94" s="12">
        <f t="shared" si="14"/>
        <v>15.650033509658876</v>
      </c>
    </row>
    <row r="95" spans="2:11" x14ac:dyDescent="0.25">
      <c r="B95" s="10">
        <v>91</v>
      </c>
      <c r="C95" s="13">
        <v>43982</v>
      </c>
      <c r="D95" s="12">
        <f t="shared" si="9"/>
        <v>427116.75930431794</v>
      </c>
      <c r="E95" s="12">
        <f t="shared" si="10"/>
        <v>5135.3697508826017</v>
      </c>
      <c r="F95" s="12">
        <f t="shared" si="15"/>
        <v>1559.1651408716673</v>
      </c>
      <c r="G95" s="12">
        <f t="shared" si="15"/>
        <v>192.7058039279591</v>
      </c>
      <c r="H95" s="9"/>
      <c r="I95" s="12">
        <f t="shared" si="12"/>
        <v>609.34323680143314</v>
      </c>
      <c r="J95" s="12">
        <f t="shared" si="13"/>
        <v>138.9021930183531</v>
      </c>
      <c r="K95" s="12">
        <f t="shared" si="14"/>
        <v>17.167686777549282</v>
      </c>
    </row>
    <row r="96" spans="2:11" x14ac:dyDescent="0.25">
      <c r="B96" s="10">
        <v>92</v>
      </c>
      <c r="C96" s="11">
        <v>43983</v>
      </c>
      <c r="D96" s="12">
        <f t="shared" si="9"/>
        <v>426449.35130456625</v>
      </c>
      <c r="E96" s="12">
        <f t="shared" si="10"/>
        <v>5631.5987589381866</v>
      </c>
      <c r="F96" s="12">
        <f t="shared" si="15"/>
        <v>1711.5144434811846</v>
      </c>
      <c r="G96" s="12">
        <f t="shared" si="15"/>
        <v>211.53549301452864</v>
      </c>
      <c r="H96" s="9"/>
      <c r="I96" s="12">
        <f t="shared" si="12"/>
        <v>667.40799975167215</v>
      </c>
      <c r="J96" s="12">
        <f t="shared" si="13"/>
        <v>152.34930260951717</v>
      </c>
      <c r="K96" s="12">
        <f t="shared" si="14"/>
        <v>18.829689086569555</v>
      </c>
    </row>
    <row r="97" spans="2:11" x14ac:dyDescent="0.25">
      <c r="B97" s="10">
        <v>93</v>
      </c>
      <c r="C97" s="11">
        <v>43984</v>
      </c>
      <c r="D97" s="12">
        <f t="shared" si="9"/>
        <v>425718.56383798871</v>
      </c>
      <c r="E97" s="12">
        <f t="shared" si="10"/>
        <v>6174.6662668844738</v>
      </c>
      <c r="F97" s="12">
        <f t="shared" si="15"/>
        <v>1878.5852066630173</v>
      </c>
      <c r="G97" s="12">
        <f t="shared" si="15"/>
        <v>232.18468846396868</v>
      </c>
      <c r="H97" s="9"/>
      <c r="I97" s="12">
        <f t="shared" si="12"/>
        <v>730.78746657756039</v>
      </c>
      <c r="J97" s="12">
        <f t="shared" si="13"/>
        <v>167.07076318183283</v>
      </c>
      <c r="K97" s="12">
        <f t="shared" si="14"/>
        <v>20.649195449440036</v>
      </c>
    </row>
    <row r="98" spans="2:11" x14ac:dyDescent="0.25">
      <c r="B98" s="10">
        <v>94</v>
      </c>
      <c r="C98" s="11">
        <v>43985</v>
      </c>
      <c r="D98" s="12">
        <f t="shared" si="9"/>
        <v>424918.63992625964</v>
      </c>
      <c r="E98" s="12">
        <f t="shared" si="10"/>
        <v>6768.7679697174208</v>
      </c>
      <c r="F98" s="12">
        <f t="shared" si="15"/>
        <v>2061.7669725805899</v>
      </c>
      <c r="G98" s="12">
        <f t="shared" si="15"/>
        <v>254.82513144254511</v>
      </c>
      <c r="H98" s="9"/>
      <c r="I98" s="12">
        <f t="shared" si="12"/>
        <v>799.9239117290964</v>
      </c>
      <c r="J98" s="12">
        <f t="shared" si="13"/>
        <v>183.1817659175727</v>
      </c>
      <c r="K98" s="12">
        <f t="shared" si="14"/>
        <v>22.640442978576424</v>
      </c>
    </row>
    <row r="99" spans="2:11" x14ac:dyDescent="0.25">
      <c r="B99" s="10">
        <v>95</v>
      </c>
      <c r="C99" s="11">
        <v>43986</v>
      </c>
      <c r="D99" s="12">
        <f t="shared" si="9"/>
        <v>424043.3525212027</v>
      </c>
      <c r="E99" s="12">
        <f t="shared" si="10"/>
        <v>7418.4297757837494</v>
      </c>
      <c r="F99" s="12">
        <f t="shared" si="15"/>
        <v>2262.5737556822069</v>
      </c>
      <c r="G99" s="12">
        <f t="shared" si="15"/>
        <v>279.64394733150903</v>
      </c>
      <c r="H99" s="9"/>
      <c r="I99" s="12">
        <f t="shared" si="12"/>
        <v>875.28740505691019</v>
      </c>
      <c r="J99" s="12">
        <f t="shared" si="13"/>
        <v>200.80678310161682</v>
      </c>
      <c r="K99" s="12">
        <f t="shared" si="14"/>
        <v>24.818815888963901</v>
      </c>
    </row>
    <row r="100" spans="2:11" x14ac:dyDescent="0.25">
      <c r="B100" s="10">
        <v>96</v>
      </c>
      <c r="C100" s="11">
        <v>43987</v>
      </c>
      <c r="D100" s="12">
        <f t="shared" si="9"/>
        <v>423085.97688825958</v>
      </c>
      <c r="E100" s="12">
        <f t="shared" si="10"/>
        <v>8128.5244162007475</v>
      </c>
      <c r="F100" s="12">
        <f t="shared" si="15"/>
        <v>2482.6538390304581</v>
      </c>
      <c r="G100" s="12">
        <f t="shared" si="15"/>
        <v>306.84485650938279</v>
      </c>
      <c r="H100" s="9"/>
      <c r="I100" s="12">
        <f t="shared" si="12"/>
        <v>957.37563294312304</v>
      </c>
      <c r="J100" s="12">
        <f t="shared" si="13"/>
        <v>220.08008334825121</v>
      </c>
      <c r="K100" s="12">
        <f t="shared" si="14"/>
        <v>27.200909177873772</v>
      </c>
    </row>
    <row r="101" spans="2:11" x14ac:dyDescent="0.25">
      <c r="B101" s="10">
        <v>97</v>
      </c>
      <c r="C101" s="11">
        <v>43988</v>
      </c>
      <c r="D101" s="12">
        <f t="shared" si="9"/>
        <v>422039.26368267293</v>
      </c>
      <c r="E101" s="12">
        <f t="shared" si="10"/>
        <v>8904.2868079140626</v>
      </c>
      <c r="F101" s="12">
        <f t="shared" si="15"/>
        <v>2723.8000633777469</v>
      </c>
      <c r="G101" s="12">
        <f t="shared" si="15"/>
        <v>336.64944603545223</v>
      </c>
      <c r="H101" s="9"/>
      <c r="I101" s="12">
        <f t="shared" si="12"/>
        <v>1046.713205586673</v>
      </c>
      <c r="J101" s="12">
        <f t="shared" si="13"/>
        <v>241.14622434728881</v>
      </c>
      <c r="K101" s="12">
        <f t="shared" si="14"/>
        <v>29.804589526069435</v>
      </c>
    </row>
    <row r="102" spans="2:11" x14ac:dyDescent="0.25">
      <c r="B102" s="10">
        <v>98</v>
      </c>
      <c r="C102" s="11">
        <v>43989</v>
      </c>
      <c r="D102" s="12">
        <f t="shared" si="9"/>
        <v>420895.41335382871</v>
      </c>
      <c r="E102" s="12">
        <f t="shared" si="10"/>
        <v>9751.3275764944556</v>
      </c>
      <c r="F102" s="12">
        <f t="shared" ref="F102:G117" si="16">F101+J102</f>
        <v>2987.960572012531</v>
      </c>
      <c r="G102" s="12">
        <f t="shared" si="16"/>
        <v>369.29849766447046</v>
      </c>
      <c r="H102" s="9"/>
      <c r="I102" s="12">
        <f t="shared" si="12"/>
        <v>1143.850328844195</v>
      </c>
      <c r="J102" s="12">
        <f t="shared" si="13"/>
        <v>264.16050863478381</v>
      </c>
      <c r="K102" s="12">
        <f t="shared" si="14"/>
        <v>32.64905162901826</v>
      </c>
    </row>
    <row r="103" spans="2:11" x14ac:dyDescent="0.25">
      <c r="B103" s="10">
        <v>99</v>
      </c>
      <c r="C103" s="11">
        <v>43990</v>
      </c>
      <c r="D103" s="12">
        <f t="shared" si="9"/>
        <v>419646.05265261501</v>
      </c>
      <c r="E103" s="12">
        <f t="shared" si="10"/>
        <v>10675.644025158344</v>
      </c>
      <c r="F103" s="12">
        <f t="shared" si="16"/>
        <v>3277.2499567818663</v>
      </c>
      <c r="G103" s="12">
        <f t="shared" si="16"/>
        <v>405.05336544495015</v>
      </c>
      <c r="H103" s="9"/>
      <c r="I103" s="12">
        <f t="shared" si="12"/>
        <v>1249.3607012137045</v>
      </c>
      <c r="J103" s="12">
        <f t="shared" si="13"/>
        <v>289.28938476933553</v>
      </c>
      <c r="K103" s="12">
        <f t="shared" si="14"/>
        <v>35.754867780479699</v>
      </c>
    </row>
    <row r="104" spans="2:11" x14ac:dyDescent="0.25">
      <c r="B104" s="10">
        <v>100</v>
      </c>
      <c r="C104" s="11">
        <v>43991</v>
      </c>
      <c r="D104" s="12">
        <f t="shared" si="9"/>
        <v>418282.21417457447</v>
      </c>
      <c r="E104" s="12">
        <f t="shared" si="10"/>
        <v>11683.627702360258</v>
      </c>
      <c r="F104" s="12">
        <f t="shared" si="16"/>
        <v>3593.9607295282303</v>
      </c>
      <c r="G104" s="12">
        <f t="shared" si="16"/>
        <v>444.19739353719746</v>
      </c>
      <c r="H104" s="9"/>
      <c r="I104" s="12">
        <f t="shared" si="12"/>
        <v>1363.8384780405256</v>
      </c>
      <c r="J104" s="12">
        <f t="shared" si="13"/>
        <v>316.71077274636423</v>
      </c>
      <c r="K104" s="12">
        <f t="shared" si="14"/>
        <v>39.144028092247297</v>
      </c>
    </row>
    <row r="105" spans="2:11" x14ac:dyDescent="0.25">
      <c r="B105" s="10">
        <v>101</v>
      </c>
      <c r="C105" s="11">
        <v>43992</v>
      </c>
      <c r="D105" s="12">
        <f t="shared" si="9"/>
        <v>416794.32004810509</v>
      </c>
      <c r="E105" s="12">
        <f t="shared" si="10"/>
        <v>12782.067572084279</v>
      </c>
      <c r="F105" s="12">
        <f t="shared" si="16"/>
        <v>3940.5750180315845</v>
      </c>
      <c r="G105" s="12">
        <f t="shared" si="16"/>
        <v>487.03736177918512</v>
      </c>
      <c r="H105" s="9"/>
      <c r="I105" s="12">
        <f t="shared" si="12"/>
        <v>1487.8941264693642</v>
      </c>
      <c r="J105" s="12">
        <f t="shared" si="13"/>
        <v>346.61428850335426</v>
      </c>
      <c r="K105" s="12">
        <f t="shared" si="14"/>
        <v>42.839968241987648</v>
      </c>
    </row>
    <row r="106" spans="2:11" x14ac:dyDescent="0.25">
      <c r="B106" s="10">
        <v>102</v>
      </c>
      <c r="C106" s="11">
        <v>43993</v>
      </c>
      <c r="D106" s="12">
        <f t="shared" si="9"/>
        <v>415172.17107111349</v>
      </c>
      <c r="E106" s="12">
        <f t="shared" si="10"/>
        <v>13978.14763000638</v>
      </c>
      <c r="F106" s="12">
        <f t="shared" si="16"/>
        <v>4319.7763560034182</v>
      </c>
      <c r="G106" s="12">
        <f t="shared" si="16"/>
        <v>533.90494287682748</v>
      </c>
      <c r="H106" s="9"/>
      <c r="I106" s="12">
        <f t="shared" si="12"/>
        <v>1622.1489769915768</v>
      </c>
      <c r="J106" s="12">
        <f t="shared" si="13"/>
        <v>379.2013379718336</v>
      </c>
      <c r="K106" s="12">
        <f t="shared" si="14"/>
        <v>46.8675810976424</v>
      </c>
    </row>
    <row r="107" spans="2:11" x14ac:dyDescent="0.25">
      <c r="B107" s="10">
        <v>103</v>
      </c>
      <c r="C107" s="11">
        <v>43994</v>
      </c>
      <c r="D107" s="12">
        <f t="shared" si="9"/>
        <v>413404.94280919485</v>
      </c>
      <c r="E107" s="12">
        <f t="shared" si="10"/>
        <v>15279.437637591463</v>
      </c>
      <c r="F107" s="12">
        <f t="shared" si="16"/>
        <v>4734.4614023602744</v>
      </c>
      <c r="G107" s="12">
        <f t="shared" si="16"/>
        <v>585.15815085351755</v>
      </c>
      <c r="H107" s="9"/>
      <c r="I107" s="12">
        <f t="shared" si="12"/>
        <v>1767.2282619186274</v>
      </c>
      <c r="J107" s="12">
        <f t="shared" si="13"/>
        <v>414.68504635685593</v>
      </c>
      <c r="K107" s="12">
        <f t="shared" si="14"/>
        <v>51.253207976690106</v>
      </c>
    </row>
    <row r="108" spans="2:11" x14ac:dyDescent="0.25">
      <c r="B108" s="10">
        <v>104</v>
      </c>
      <c r="C108" s="11">
        <v>43995</v>
      </c>
      <c r="D108" s="12">
        <f t="shared" si="9"/>
        <v>411481.19038975128</v>
      </c>
      <c r="E108" s="12">
        <f t="shared" si="10"/>
        <v>16693.875469115308</v>
      </c>
      <c r="F108" s="12">
        <f t="shared" si="16"/>
        <v>5187.7513856088208</v>
      </c>
      <c r="G108" s="12">
        <f t="shared" si="16"/>
        <v>641.18275552468629</v>
      </c>
      <c r="H108" s="9"/>
      <c r="I108" s="12">
        <f t="shared" si="12"/>
        <v>1923.7524194435591</v>
      </c>
      <c r="J108" s="12">
        <f t="shared" si="13"/>
        <v>453.28998324854666</v>
      </c>
      <c r="K108" s="12">
        <f t="shared" si="14"/>
        <v>56.024604671168746</v>
      </c>
    </row>
    <row r="109" spans="2:11" x14ac:dyDescent="0.25">
      <c r="B109" s="10">
        <v>105</v>
      </c>
      <c r="C109" s="11">
        <v>43996</v>
      </c>
      <c r="D109" s="12">
        <f t="shared" si="9"/>
        <v>409388.86395344452</v>
      </c>
      <c r="E109" s="12">
        <f t="shared" si="10"/>
        <v>18229.739389784863</v>
      </c>
      <c r="F109" s="12">
        <f t="shared" si="16"/>
        <v>5683.0030245259086</v>
      </c>
      <c r="G109" s="12">
        <f t="shared" si="16"/>
        <v>702.39363224477586</v>
      </c>
      <c r="H109" s="9"/>
      <c r="I109" s="12">
        <f t="shared" si="12"/>
        <v>2092.3264363067306</v>
      </c>
      <c r="J109" s="12">
        <f t="shared" si="13"/>
        <v>495.25163891708746</v>
      </c>
      <c r="K109" s="12">
        <f t="shared" si="14"/>
        <v>61.210876720089523</v>
      </c>
    </row>
    <row r="110" spans="2:11" x14ac:dyDescent="0.25">
      <c r="B110" s="10">
        <v>106</v>
      </c>
      <c r="C110" s="11">
        <v>43997</v>
      </c>
      <c r="D110" s="12">
        <f t="shared" si="9"/>
        <v>407115.33694827231</v>
      </c>
      <c r="E110" s="12">
        <f t="shared" si="10"/>
        <v>19895.608415297564</v>
      </c>
      <c r="F110" s="12">
        <f t="shared" si="16"/>
        <v>6223.8186264228598</v>
      </c>
      <c r="G110" s="12">
        <f t="shared" si="16"/>
        <v>769.23601000732037</v>
      </c>
      <c r="H110" s="9"/>
      <c r="I110" s="12">
        <f t="shared" si="12"/>
        <v>2273.5270051721923</v>
      </c>
      <c r="J110" s="12">
        <f t="shared" si="13"/>
        <v>540.81560189695085</v>
      </c>
      <c r="K110" s="12">
        <f t="shared" si="14"/>
        <v>66.842377762544558</v>
      </c>
    </row>
    <row r="111" spans="2:11" x14ac:dyDescent="0.25">
      <c r="B111" s="10">
        <v>107</v>
      </c>
      <c r="C111" s="11">
        <v>43998</v>
      </c>
      <c r="D111" s="12">
        <f t="shared" si="9"/>
        <v>404647.44966034387</v>
      </c>
      <c r="E111" s="12">
        <f t="shared" si="10"/>
        <v>21700.308756049431</v>
      </c>
      <c r="F111" s="12">
        <f t="shared" si="16"/>
        <v>6814.0550094100208</v>
      </c>
      <c r="G111" s="12">
        <f t="shared" si="16"/>
        <v>842.1865741967448</v>
      </c>
      <c r="H111" s="9"/>
      <c r="I111" s="12">
        <f t="shared" si="12"/>
        <v>2467.887287928454</v>
      </c>
      <c r="J111" s="12">
        <f t="shared" si="13"/>
        <v>590.23638298716094</v>
      </c>
      <c r="K111" s="12">
        <f t="shared" si="14"/>
        <v>72.950564189424469</v>
      </c>
    </row>
    <row r="112" spans="2:11" x14ac:dyDescent="0.25">
      <c r="B112" s="10">
        <v>108</v>
      </c>
      <c r="C112" s="11">
        <v>43999</v>
      </c>
      <c r="D112" s="12">
        <f t="shared" si="9"/>
        <v>401971.57055324997</v>
      </c>
      <c r="E112" s="12">
        <f t="shared" si="10"/>
        <v>23652.844237941699</v>
      </c>
      <c r="F112" s="12">
        <f t="shared" si="16"/>
        <v>7457.830835839487</v>
      </c>
      <c r="G112" s="12">
        <f t="shared" si="16"/>
        <v>921.75437296892608</v>
      </c>
      <c r="H112" s="9"/>
      <c r="I112" s="12">
        <f t="shared" si="12"/>
        <v>2675.8791070939183</v>
      </c>
      <c r="J112" s="12">
        <f t="shared" si="13"/>
        <v>643.77582642946641</v>
      </c>
      <c r="K112" s="12">
        <f t="shared" si="14"/>
        <v>79.56779877218132</v>
      </c>
    </row>
    <row r="113" spans="2:11" x14ac:dyDescent="0.25">
      <c r="B113" s="10">
        <v>109</v>
      </c>
      <c r="C113" s="11">
        <v>44000</v>
      </c>
      <c r="D113" s="12">
        <f t="shared" si="9"/>
        <v>399073.67811458703</v>
      </c>
      <c r="E113" s="12">
        <f t="shared" si="10"/>
        <v>25762.308535339915</v>
      </c>
      <c r="F113" s="12">
        <f t="shared" si="16"/>
        <v>8159.5318815650908</v>
      </c>
      <c r="G113" s="12">
        <f t="shared" si="16"/>
        <v>1008.4814685080457</v>
      </c>
      <c r="H113" s="9"/>
      <c r="I113" s="12">
        <f t="shared" si="12"/>
        <v>2897.8924386629392</v>
      </c>
      <c r="J113" s="12">
        <f t="shared" si="13"/>
        <v>701.70104572560365</v>
      </c>
      <c r="K113" s="12">
        <f t="shared" si="14"/>
        <v>86.727095539119631</v>
      </c>
    </row>
    <row r="114" spans="2:11" x14ac:dyDescent="0.25">
      <c r="B114" s="10">
        <v>110</v>
      </c>
      <c r="C114" s="11">
        <v>44001</v>
      </c>
      <c r="D114" s="12">
        <f t="shared" si="9"/>
        <v>395939.46595885808</v>
      </c>
      <c r="E114" s="12">
        <f t="shared" si="10"/>
        <v>28037.777073224199</v>
      </c>
      <c r="F114" s="12">
        <f t="shared" si="16"/>
        <v>8923.8137014468412</v>
      </c>
      <c r="G114" s="12">
        <f t="shared" si="16"/>
        <v>1102.9432664709589</v>
      </c>
      <c r="H114" s="9"/>
      <c r="I114" s="12">
        <f t="shared" si="12"/>
        <v>3134.2121557289483</v>
      </c>
      <c r="J114" s="12">
        <f t="shared" si="13"/>
        <v>764.28181988175072</v>
      </c>
      <c r="K114" s="12">
        <f t="shared" si="14"/>
        <v>94.46179796291311</v>
      </c>
    </row>
    <row r="115" spans="2:11" x14ac:dyDescent="0.25">
      <c r="B115" s="10">
        <v>111</v>
      </c>
      <c r="C115" s="11">
        <v>44002</v>
      </c>
      <c r="D115" s="12">
        <f t="shared" si="9"/>
        <v>392554.47388109547</v>
      </c>
      <c r="E115" s="12">
        <f t="shared" si="10"/>
        <v>30488.176581879339</v>
      </c>
      <c r="F115" s="12">
        <f t="shared" si="16"/>
        <v>9755.6010879524929</v>
      </c>
      <c r="G115" s="12">
        <f t="shared" si="16"/>
        <v>1205.7484490727811</v>
      </c>
      <c r="H115" s="9"/>
      <c r="I115" s="12">
        <f t="shared" si="12"/>
        <v>3384.9920777626126</v>
      </c>
      <c r="J115" s="12">
        <f t="shared" si="13"/>
        <v>831.78738650565117</v>
      </c>
      <c r="K115" s="12">
        <f t="shared" si="14"/>
        <v>102.80518260182215</v>
      </c>
    </row>
    <row r="116" spans="2:11" x14ac:dyDescent="0.25">
      <c r="B116" s="10">
        <v>112</v>
      </c>
      <c r="C116" s="11">
        <v>44003</v>
      </c>
      <c r="D116" s="12">
        <f t="shared" si="9"/>
        <v>388904.24736129248</v>
      </c>
      <c r="E116" s="12">
        <f t="shared" si="10"/>
        <v>33122.130548952999</v>
      </c>
      <c r="F116" s="12">
        <f t="shared" si="16"/>
        <v>10660.08365988158</v>
      </c>
      <c r="G116" s="12">
        <f t="shared" si="16"/>
        <v>1317.5384298730055</v>
      </c>
      <c r="H116" s="9"/>
      <c r="I116" s="12">
        <f t="shared" si="12"/>
        <v>3650.2265198029727</v>
      </c>
      <c r="J116" s="12">
        <f t="shared" si="13"/>
        <v>904.48257192908704</v>
      </c>
      <c r="K116" s="12">
        <f t="shared" si="14"/>
        <v>111.78998080022434</v>
      </c>
    </row>
    <row r="117" spans="2:11" x14ac:dyDescent="0.25">
      <c r="B117" s="10">
        <v>113</v>
      </c>
      <c r="C117" s="11">
        <v>44004</v>
      </c>
      <c r="D117" s="12">
        <f t="shared" si="9"/>
        <v>384974.52764897997</v>
      </c>
      <c r="E117" s="12">
        <f t="shared" si="10"/>
        <v>35947.779242967081</v>
      </c>
      <c r="F117" s="12">
        <f t="shared" si="16"/>
        <v>11642.706866167186</v>
      </c>
      <c r="G117" s="12">
        <f t="shared" si="16"/>
        <v>1438.9862418858334</v>
      </c>
      <c r="H117" s="9"/>
      <c r="I117" s="12">
        <f t="shared" si="12"/>
        <v>3929.7197123125188</v>
      </c>
      <c r="J117" s="12">
        <f t="shared" si="13"/>
        <v>982.62320628560553</v>
      </c>
      <c r="K117" s="12">
        <f t="shared" si="14"/>
        <v>121.44781201282777</v>
      </c>
    </row>
    <row r="118" spans="2:11" x14ac:dyDescent="0.25">
      <c r="B118" s="10">
        <v>114</v>
      </c>
      <c r="C118" s="11">
        <v>44005</v>
      </c>
      <c r="D118" s="12">
        <f t="shared" si="9"/>
        <v>380751.47397150082</v>
      </c>
      <c r="E118" s="12">
        <f t="shared" si="10"/>
        <v>38972.573612347318</v>
      </c>
      <c r="F118" s="12">
        <f t="shared" ref="F118:G133" si="17">F117+J118</f>
        <v>12709.157650375209</v>
      </c>
      <c r="G118" s="12">
        <f t="shared" si="17"/>
        <v>1570.7947657767127</v>
      </c>
      <c r="H118" s="9"/>
      <c r="I118" s="12">
        <f t="shared" si="12"/>
        <v>4223.0536774791417</v>
      </c>
      <c r="J118" s="12">
        <f t="shared" si="13"/>
        <v>1066.4507842080232</v>
      </c>
      <c r="K118" s="12">
        <f t="shared" si="14"/>
        <v>131.80852389087943</v>
      </c>
    </row>
    <row r="119" spans="2:11" x14ac:dyDescent="0.25">
      <c r="B119" s="10">
        <v>115</v>
      </c>
      <c r="C119" s="11">
        <v>44006</v>
      </c>
      <c r="D119" s="12">
        <f t="shared" si="9"/>
        <v>376221.91857163014</v>
      </c>
      <c r="E119" s="12">
        <f t="shared" si="10"/>
        <v>42203.043225139743</v>
      </c>
      <c r="F119" s="12">
        <f t="shared" si="17"/>
        <v>13865.344000874846</v>
      </c>
      <c r="G119" s="12">
        <f t="shared" si="17"/>
        <v>1713.6942023553197</v>
      </c>
      <c r="H119" s="9"/>
      <c r="I119" s="12">
        <f t="shared" si="12"/>
        <v>4529.5553998706655</v>
      </c>
      <c r="J119" s="12">
        <f t="shared" si="13"/>
        <v>1156.186350499637</v>
      </c>
      <c r="K119" s="12">
        <f t="shared" si="14"/>
        <v>142.89943657860695</v>
      </c>
    </row>
    <row r="120" spans="2:11" x14ac:dyDescent="0.25">
      <c r="B120" s="10">
        <v>116</v>
      </c>
      <c r="C120" s="11">
        <v>44007</v>
      </c>
      <c r="D120" s="12">
        <f t="shared" si="9"/>
        <v>371373.65415857488</v>
      </c>
      <c r="E120" s="12">
        <f t="shared" si="10"/>
        <v>45644.539530690367</v>
      </c>
      <c r="F120" s="12">
        <f t="shared" si="17"/>
        <v>15117.367616553991</v>
      </c>
      <c r="G120" s="12">
        <f t="shared" si="17"/>
        <v>1868.4386941808323</v>
      </c>
      <c r="H120" s="9"/>
      <c r="I120" s="12">
        <f t="shared" si="12"/>
        <v>4848.2644130552762</v>
      </c>
      <c r="J120" s="12">
        <f t="shared" si="13"/>
        <v>1252.0236156791457</v>
      </c>
      <c r="K120" s="12">
        <f t="shared" si="14"/>
        <v>154.74449182551251</v>
      </c>
    </row>
    <row r="121" spans="2:11" x14ac:dyDescent="0.25">
      <c r="B121" s="10">
        <v>117</v>
      </c>
      <c r="C121" s="11">
        <v>44008</v>
      </c>
      <c r="D121" s="12">
        <f t="shared" si="9"/>
        <v>366195.75193029927</v>
      </c>
      <c r="E121" s="12">
        <f t="shared" si="10"/>
        <v>49300.957107942973</v>
      </c>
      <c r="F121" s="12">
        <f t="shared" si="17"/>
        <v>16471.488955964473</v>
      </c>
      <c r="G121" s="12">
        <f t="shared" si="17"/>
        <v>2035.8020057933638</v>
      </c>
      <c r="H121" s="9"/>
      <c r="I121" s="12">
        <f t="shared" si="12"/>
        <v>5177.9022282756196</v>
      </c>
      <c r="J121" s="12">
        <f t="shared" si="13"/>
        <v>1354.1213394104807</v>
      </c>
      <c r="K121" s="12">
        <f t="shared" si="14"/>
        <v>167.3633116125315</v>
      </c>
    </row>
    <row r="122" spans="2:11" x14ac:dyDescent="0.25">
      <c r="B122" s="10">
        <v>118</v>
      </c>
      <c r="C122" s="11">
        <v>44009</v>
      </c>
      <c r="D122" s="12">
        <f t="shared" si="9"/>
        <v>360678.90659108874</v>
      </c>
      <c r="E122" s="12">
        <f t="shared" si="10"/>
        <v>53174.43721022208</v>
      </c>
      <c r="F122" s="12">
        <f t="shared" si="17"/>
        <v>17934.084016833447</v>
      </c>
      <c r="G122" s="12">
        <f t="shared" si="17"/>
        <v>2216.5721818558213</v>
      </c>
      <c r="H122" s="9"/>
      <c r="I122" s="12">
        <f t="shared" si="12"/>
        <v>5516.8453392105348</v>
      </c>
      <c r="J122" s="12">
        <f t="shared" si="13"/>
        <v>1462.5950608689748</v>
      </c>
      <c r="K122" s="12">
        <f t="shared" si="14"/>
        <v>180.77017606245772</v>
      </c>
    </row>
    <row r="123" spans="2:11" x14ac:dyDescent="0.25">
      <c r="B123" s="10">
        <v>119</v>
      </c>
      <c r="C123" s="11">
        <v>44010</v>
      </c>
      <c r="D123" s="12">
        <f t="shared" si="9"/>
        <v>354815.80276742968</v>
      </c>
      <c r="E123" s="12">
        <f t="shared" si="10"/>
        <v>57265.059793540429</v>
      </c>
      <c r="F123" s="12">
        <f t="shared" si="17"/>
        <v>19511.592320736701</v>
      </c>
      <c r="G123" s="12">
        <f t="shared" si="17"/>
        <v>2411.5451182933025</v>
      </c>
      <c r="H123" s="9"/>
      <c r="I123" s="12">
        <f t="shared" si="12"/>
        <v>5863.1038236590812</v>
      </c>
      <c r="J123" s="12">
        <f t="shared" si="13"/>
        <v>1577.508303903255</v>
      </c>
      <c r="K123" s="12">
        <f t="shared" si="14"/>
        <v>194.97293643748114</v>
      </c>
    </row>
    <row r="124" spans="2:11" x14ac:dyDescent="0.25">
      <c r="B124" s="10">
        <v>120</v>
      </c>
      <c r="C124" s="11">
        <v>44011</v>
      </c>
      <c r="D124" s="12">
        <f t="shared" si="9"/>
        <v>348601.49497094715</v>
      </c>
      <c r="E124" s="12">
        <f t="shared" si="10"/>
        <v>61570.532263571622</v>
      </c>
      <c r="F124" s="12">
        <f t="shared" si="17"/>
        <v>21210.455761278401</v>
      </c>
      <c r="G124" s="12">
        <f t="shared" si="17"/>
        <v>2621.5170042029508</v>
      </c>
      <c r="H124" s="9"/>
      <c r="I124" s="12">
        <f t="shared" si="12"/>
        <v>6214.3077964825352</v>
      </c>
      <c r="J124" s="12">
        <f t="shared" si="13"/>
        <v>1698.8634405416992</v>
      </c>
      <c r="K124" s="12">
        <f t="shared" si="14"/>
        <v>209.97188590964842</v>
      </c>
    </row>
    <row r="125" spans="2:11" x14ac:dyDescent="0.25">
      <c r="B125" s="10">
        <v>121</v>
      </c>
      <c r="C125" s="13">
        <v>44012</v>
      </c>
      <c r="D125" s="12">
        <f t="shared" si="9"/>
        <v>342033.7908615176</v>
      </c>
      <c r="E125" s="12">
        <f t="shared" si="10"/>
        <v>66085.885297548768</v>
      </c>
      <c r="F125" s="12">
        <f t="shared" si="17"/>
        <v>23037.048218431024</v>
      </c>
      <c r="G125" s="12">
        <f t="shared" si="17"/>
        <v>2847.2756225027138</v>
      </c>
      <c r="H125" s="9"/>
      <c r="I125" s="12">
        <f t="shared" si="12"/>
        <v>6567.7041094295419</v>
      </c>
      <c r="J125" s="12">
        <f t="shared" si="13"/>
        <v>1826.5924571526245</v>
      </c>
      <c r="K125" s="12">
        <f t="shared" si="14"/>
        <v>225.75861829976282</v>
      </c>
    </row>
    <row r="126" spans="2:11" x14ac:dyDescent="0.25">
      <c r="B126" s="10">
        <v>122</v>
      </c>
      <c r="C126" s="11">
        <v>44013</v>
      </c>
      <c r="D126" s="12">
        <f t="shared" si="9"/>
        <v>335113.62516249449</v>
      </c>
      <c r="E126" s="12">
        <f t="shared" si="10"/>
        <v>70803.188153320269</v>
      </c>
      <c r="F126" s="12">
        <f t="shared" si="17"/>
        <v>24997.596148924971</v>
      </c>
      <c r="G126" s="12">
        <f t="shared" si="17"/>
        <v>3089.5905352603927</v>
      </c>
      <c r="H126" s="9"/>
      <c r="I126" s="12">
        <f t="shared" si="12"/>
        <v>6920.1656990231249</v>
      </c>
      <c r="J126" s="12">
        <f t="shared" si="13"/>
        <v>1960.5479304939465</v>
      </c>
      <c r="K126" s="12">
        <f t="shared" si="14"/>
        <v>242.31491275767902</v>
      </c>
    </row>
    <row r="127" spans="2:11" x14ac:dyDescent="0.25">
      <c r="B127" s="10">
        <v>123</v>
      </c>
      <c r="C127" s="11">
        <v>44014</v>
      </c>
      <c r="D127" s="12">
        <f t="shared" si="9"/>
        <v>327845.40935331234</v>
      </c>
      <c r="E127" s="12">
        <f t="shared" si="10"/>
        <v>75711.297690725085</v>
      </c>
      <c r="F127" s="12">
        <f t="shared" si="17"/>
        <v>27098.090730806805</v>
      </c>
      <c r="G127" s="12">
        <f t="shared" si="17"/>
        <v>3349.2022251559006</v>
      </c>
      <c r="H127" s="9"/>
      <c r="I127" s="12">
        <f t="shared" si="12"/>
        <v>7268.215809182162</v>
      </c>
      <c r="J127" s="12">
        <f t="shared" si="13"/>
        <v>2100.4945818818346</v>
      </c>
      <c r="K127" s="12">
        <f t="shared" si="14"/>
        <v>259.61168989550788</v>
      </c>
    </row>
    <row r="128" spans="2:11" x14ac:dyDescent="0.25">
      <c r="B128" s="10">
        <v>124</v>
      </c>
      <c r="C128" s="11">
        <v>44015</v>
      </c>
      <c r="D128" s="12">
        <f t="shared" si="9"/>
        <v>320237.34043215198</v>
      </c>
      <c r="E128" s="12">
        <f t="shared" si="10"/>
        <v>80795.656688861258</v>
      </c>
      <c r="F128" s="12">
        <f t="shared" si="17"/>
        <v>29344.192562298318</v>
      </c>
      <c r="G128" s="12">
        <f t="shared" si="17"/>
        <v>3626.8103166885594</v>
      </c>
      <c r="H128" s="9"/>
      <c r="I128" s="12">
        <f t="shared" si="12"/>
        <v>7608.0689211603458</v>
      </c>
      <c r="J128" s="12">
        <f t="shared" si="13"/>
        <v>2246.1018314915109</v>
      </c>
      <c r="K128" s="12">
        <f t="shared" si="14"/>
        <v>277.60809153265893</v>
      </c>
    </row>
    <row r="129" spans="2:11" x14ac:dyDescent="0.25">
      <c r="B129" s="10">
        <v>125</v>
      </c>
      <c r="C129" s="11">
        <v>44016</v>
      </c>
      <c r="D129" s="12">
        <f t="shared" si="9"/>
        <v>312301.65084996831</v>
      </c>
      <c r="E129" s="12">
        <f t="shared" si="10"/>
        <v>86038.157714749555</v>
      </c>
      <c r="F129" s="12">
        <f t="shared" si="17"/>
        <v>31741.130377401201</v>
      </c>
      <c r="G129" s="12">
        <f t="shared" si="17"/>
        <v>3923.0610578810511</v>
      </c>
      <c r="H129" s="9"/>
      <c r="I129" s="12">
        <f t="shared" si="12"/>
        <v>7935.6895821836652</v>
      </c>
      <c r="J129" s="12">
        <f t="shared" si="13"/>
        <v>2396.9378151028841</v>
      </c>
      <c r="K129" s="12">
        <f t="shared" si="14"/>
        <v>296.25074119249155</v>
      </c>
    </row>
    <row r="130" spans="2:11" x14ac:dyDescent="0.25">
      <c r="B130" s="10">
        <v>126</v>
      </c>
      <c r="C130" s="11">
        <v>44017</v>
      </c>
      <c r="D130" s="12">
        <f t="shared" si="9"/>
        <v>304054.78142148856</v>
      </c>
      <c r="E130" s="12">
        <f t="shared" si="10"/>
        <v>91417.088552737652</v>
      </c>
      <c r="F130" s="12">
        <f t="shared" si="17"/>
        <v>34293.595722938771</v>
      </c>
      <c r="G130" s="12">
        <f t="shared" si="17"/>
        <v>4238.5343028351326</v>
      </c>
      <c r="H130" s="9"/>
      <c r="I130" s="12">
        <f t="shared" si="12"/>
        <v>8246.8694284797366</v>
      </c>
      <c r="J130" s="12">
        <f t="shared" si="13"/>
        <v>2552.4653455375696</v>
      </c>
      <c r="K130" s="12">
        <f t="shared" si="14"/>
        <v>315.47324495408196</v>
      </c>
    </row>
    <row r="131" spans="2:11" x14ac:dyDescent="0.25">
      <c r="B131" s="10">
        <v>127</v>
      </c>
      <c r="C131" s="11">
        <v>44018</v>
      </c>
      <c r="D131" s="12">
        <f t="shared" si="9"/>
        <v>295517.45985248778</v>
      </c>
      <c r="E131" s="12">
        <f t="shared" si="10"/>
        <v>96907.173836647184</v>
      </c>
      <c r="F131" s="12">
        <f t="shared" si="17"/>
        <v>37005.636016669989</v>
      </c>
      <c r="G131" s="12">
        <f t="shared" si="17"/>
        <v>4573.7302941951712</v>
      </c>
      <c r="H131" s="9"/>
      <c r="I131" s="12">
        <f t="shared" si="12"/>
        <v>8537.3215690007983</v>
      </c>
      <c r="J131" s="12">
        <f t="shared" si="13"/>
        <v>2712.0402937312169</v>
      </c>
      <c r="K131" s="12">
        <f t="shared" si="14"/>
        <v>335.19599136003836</v>
      </c>
    </row>
    <row r="132" spans="2:11" x14ac:dyDescent="0.25">
      <c r="B132" s="10">
        <v>128</v>
      </c>
      <c r="C132" s="11">
        <v>44019</v>
      </c>
      <c r="D132" s="12">
        <f t="shared" si="9"/>
        <v>286714.66966427694</v>
      </c>
      <c r="E132" s="12">
        <f t="shared" si="10"/>
        <v>102479.72489696981</v>
      </c>
      <c r="F132" s="12">
        <f t="shared" si="17"/>
        <v>39880.548840490519</v>
      </c>
      <c r="G132" s="12">
        <f t="shared" si="17"/>
        <v>4929.0565982628777</v>
      </c>
      <c r="H132" s="9"/>
      <c r="I132" s="12">
        <f t="shared" si="12"/>
        <v>8802.7901882108672</v>
      </c>
      <c r="J132" s="12">
        <f t="shared" si="13"/>
        <v>2874.9128238205326</v>
      </c>
      <c r="K132" s="12">
        <f t="shared" si="14"/>
        <v>355.32630406770664</v>
      </c>
    </row>
    <row r="133" spans="2:11" x14ac:dyDescent="0.25">
      <c r="B133" s="10">
        <v>129</v>
      </c>
      <c r="C133" s="11">
        <v>44020</v>
      </c>
      <c r="D133" s="12">
        <f t="shared" si="9"/>
        <v>277675.49783233763</v>
      </c>
      <c r="E133" s="12">
        <f t="shared" si="10"/>
        <v>108102.9058990101</v>
      </c>
      <c r="F133" s="12">
        <f t="shared" si="17"/>
        <v>42920.780679100622</v>
      </c>
      <c r="G133" s="12">
        <f t="shared" si="17"/>
        <v>5304.8155895517675</v>
      </c>
      <c r="H133" s="9"/>
      <c r="I133" s="12">
        <f t="shared" si="12"/>
        <v>9039.171831939293</v>
      </c>
      <c r="J133" s="12">
        <f t="shared" si="13"/>
        <v>3040.2318386101042</v>
      </c>
      <c r="K133" s="12">
        <f t="shared" si="14"/>
        <v>375.75899128888966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268432.85434675188</v>
      </c>
      <c r="E134" s="12">
        <f t="shared" ref="E134:E197" si="19">E133+I134-J134-K134</f>
        <v>113742.11918796219</v>
      </c>
      <c r="F134" s="12">
        <f t="shared" ref="F134:G149" si="20">F133+J134</f>
        <v>46127.833554104589</v>
      </c>
      <c r="G134" s="12">
        <f t="shared" si="20"/>
        <v>5701.1929111814716</v>
      </c>
      <c r="H134" s="9"/>
      <c r="I134" s="12">
        <f t="shared" ref="I134:I197" si="21">E133*N$6*D133/SUM(D133:F133)*N$7</f>
        <v>9242.6434855857569</v>
      </c>
      <c r="J134" s="12">
        <f t="shared" ref="J134:J197" si="22">E133*N$8/N$5</f>
        <v>3207.0528750039662</v>
      </c>
      <c r="K134" s="12">
        <f t="shared" ref="K134:K197" si="23">E133*N$9/N$5</f>
        <v>396.37732162970406</v>
      </c>
    </row>
    <row r="135" spans="2:11" x14ac:dyDescent="0.25">
      <c r="B135" s="10">
        <v>131</v>
      </c>
      <c r="C135" s="11">
        <v>44022</v>
      </c>
      <c r="D135" s="12">
        <f t="shared" si="18"/>
        <v>259023.06295752595</v>
      </c>
      <c r="E135" s="12">
        <f t="shared" si="19"/>
        <v>119360.50660425605</v>
      </c>
      <c r="F135" s="12">
        <f t="shared" si="20"/>
        <v>49502.183090014136</v>
      </c>
      <c r="G135" s="12">
        <f t="shared" si="20"/>
        <v>6118.2473482039995</v>
      </c>
      <c r="H135" s="9"/>
      <c r="I135" s="12">
        <f t="shared" si="21"/>
        <v>9409.7913892259185</v>
      </c>
      <c r="J135" s="12">
        <f t="shared" si="22"/>
        <v>3374.3495359095446</v>
      </c>
      <c r="K135" s="12">
        <f t="shared" si="23"/>
        <v>417.05443702252836</v>
      </c>
    </row>
    <row r="136" spans="2:11" x14ac:dyDescent="0.25">
      <c r="B136" s="10">
        <v>132</v>
      </c>
      <c r="C136" s="11">
        <v>44023</v>
      </c>
      <c r="D136" s="12">
        <f t="shared" si="18"/>
        <v>249485.32924023108</v>
      </c>
      <c r="E136" s="12">
        <f t="shared" si="19"/>
        <v>124919.55676807571</v>
      </c>
      <c r="F136" s="12">
        <f t="shared" si="20"/>
        <v>53043.211452607065</v>
      </c>
      <c r="G136" s="12">
        <f t="shared" si="20"/>
        <v>6555.9025390862726</v>
      </c>
      <c r="H136" s="9"/>
      <c r="I136" s="12">
        <f t="shared" si="21"/>
        <v>9537.733717294861</v>
      </c>
      <c r="J136" s="12">
        <f t="shared" si="22"/>
        <v>3541.0283625929292</v>
      </c>
      <c r="K136" s="12">
        <f t="shared" si="23"/>
        <v>437.65519088227262</v>
      </c>
    </row>
    <row r="137" spans="2:11" x14ac:dyDescent="0.25">
      <c r="B137" s="10">
        <v>133</v>
      </c>
      <c r="C137" s="11">
        <v>44024</v>
      </c>
      <c r="D137" s="12">
        <f t="shared" si="18"/>
        <v>239861.09931551758</v>
      </c>
      <c r="E137" s="12">
        <f t="shared" si="19"/>
        <v>130379.80146718668</v>
      </c>
      <c r="F137" s="12">
        <f t="shared" si="20"/>
        <v>56749.158303393313</v>
      </c>
      <c r="G137" s="12">
        <f t="shared" si="20"/>
        <v>7013.9409139025502</v>
      </c>
      <c r="H137" s="9"/>
      <c r="I137" s="12">
        <f t="shared" si="21"/>
        <v>9624.2299247134961</v>
      </c>
      <c r="J137" s="12">
        <f t="shared" si="22"/>
        <v>3705.9468507862457</v>
      </c>
      <c r="K137" s="12">
        <f t="shared" si="23"/>
        <v>458.03837481627801</v>
      </c>
    </row>
    <row r="138" spans="2:11" x14ac:dyDescent="0.25">
      <c r="B138" s="10">
        <v>134</v>
      </c>
      <c r="C138" s="11">
        <v>44025</v>
      </c>
      <c r="D138" s="12">
        <f t="shared" si="18"/>
        <v>230193.32948511007</v>
      </c>
      <c r="E138" s="12">
        <f t="shared" si="19"/>
        <v>135701.57791535466</v>
      </c>
      <c r="F138" s="12">
        <f t="shared" si="20"/>
        <v>60617.092413586521</v>
      </c>
      <c r="G138" s="12">
        <f t="shared" si="20"/>
        <v>7492.0001859489021</v>
      </c>
      <c r="H138" s="9"/>
      <c r="I138" s="12">
        <f t="shared" si="21"/>
        <v>9667.7698304075238</v>
      </c>
      <c r="J138" s="12">
        <f t="shared" si="22"/>
        <v>3867.9341101932046</v>
      </c>
      <c r="K138" s="12">
        <f t="shared" si="23"/>
        <v>478.05927204635162</v>
      </c>
    </row>
    <row r="139" spans="2:11" x14ac:dyDescent="0.25">
      <c r="B139" s="10">
        <v>135</v>
      </c>
      <c r="C139" s="11">
        <v>44026</v>
      </c>
      <c r="D139" s="12">
        <f t="shared" si="18"/>
        <v>220525.69307008648</v>
      </c>
      <c r="E139" s="12">
        <f t="shared" si="19"/>
        <v>140845.82839986641</v>
      </c>
      <c r="F139" s="12">
        <f t="shared" si="20"/>
        <v>64642.905891742041</v>
      </c>
      <c r="G139" s="12">
        <f t="shared" si="20"/>
        <v>7989.5726383052033</v>
      </c>
      <c r="H139" s="9"/>
      <c r="I139" s="12">
        <f t="shared" si="21"/>
        <v>9667.6364150235768</v>
      </c>
      <c r="J139" s="12">
        <f t="shared" si="22"/>
        <v>4025.8134781555209</v>
      </c>
      <c r="K139" s="12">
        <f t="shared" si="23"/>
        <v>497.57245235630091</v>
      </c>
    </row>
    <row r="140" spans="2:11" x14ac:dyDescent="0.25">
      <c r="B140" s="10">
        <v>136</v>
      </c>
      <c r="C140" s="11">
        <v>44027</v>
      </c>
      <c r="D140" s="12">
        <f t="shared" si="18"/>
        <v>210901.75525336244</v>
      </c>
      <c r="E140" s="12">
        <f t="shared" si="19"/>
        <v>145774.90526992825</v>
      </c>
      <c r="F140" s="12">
        <f t="shared" si="20"/>
        <v>68821.332134271404</v>
      </c>
      <c r="G140" s="12">
        <f t="shared" si="20"/>
        <v>8506.007342438048</v>
      </c>
      <c r="H140" s="9"/>
      <c r="I140" s="12">
        <f t="shared" si="21"/>
        <v>9623.9378167240429</v>
      </c>
      <c r="J140" s="12">
        <f t="shared" si="22"/>
        <v>4178.42624252937</v>
      </c>
      <c r="K140" s="12">
        <f t="shared" si="23"/>
        <v>516.43470413284399</v>
      </c>
    </row>
    <row r="141" spans="2:11" x14ac:dyDescent="0.25">
      <c r="B141" s="10">
        <v>137</v>
      </c>
      <c r="C141" s="11">
        <v>44028</v>
      </c>
      <c r="D141" s="12">
        <f t="shared" si="18"/>
        <v>201364.14925298738</v>
      </c>
      <c r="E141" s="12">
        <f t="shared" si="19"/>
        <v>150453.34776130569</v>
      </c>
      <c r="F141" s="12">
        <f t="shared" si="20"/>
        <v>73145.987657279271</v>
      </c>
      <c r="G141" s="12">
        <f t="shared" si="20"/>
        <v>9040.5153284277858</v>
      </c>
      <c r="H141" s="9"/>
      <c r="I141" s="12">
        <f t="shared" si="21"/>
        <v>9537.606000375059</v>
      </c>
      <c r="J141" s="12">
        <f t="shared" si="22"/>
        <v>4324.6555230078711</v>
      </c>
      <c r="K141" s="12">
        <f t="shared" si="23"/>
        <v>534.50798598973734</v>
      </c>
    </row>
    <row r="142" spans="2:11" x14ac:dyDescent="0.25">
      <c r="B142" s="10">
        <v>138</v>
      </c>
      <c r="C142" s="11">
        <v>44029</v>
      </c>
      <c r="D142" s="12">
        <f t="shared" si="18"/>
        <v>191953.7873898086</v>
      </c>
      <c r="E142" s="12">
        <f t="shared" si="19"/>
        <v>154848.59803244096</v>
      </c>
      <c r="F142" s="12">
        <f t="shared" si="20"/>
        <v>77609.436974198004</v>
      </c>
      <c r="G142" s="12">
        <f t="shared" si="20"/>
        <v>9592.1776035525745</v>
      </c>
      <c r="H142" s="9"/>
      <c r="I142" s="12">
        <f t="shared" si="21"/>
        <v>9410.3618631787958</v>
      </c>
      <c r="J142" s="12">
        <f t="shared" si="22"/>
        <v>4463.4493169187344</v>
      </c>
      <c r="K142" s="12">
        <f t="shared" si="23"/>
        <v>551.66227512478804</v>
      </c>
    </row>
    <row r="143" spans="2:11" x14ac:dyDescent="0.25">
      <c r="B143" s="10">
        <v>139</v>
      </c>
      <c r="C143" s="11">
        <v>44030</v>
      </c>
      <c r="D143" s="12">
        <f t="shared" si="18"/>
        <v>182709.13850152568</v>
      </c>
      <c r="E143" s="12">
        <f t="shared" si="19"/>
        <v>158931.62698630916</v>
      </c>
      <c r="F143" s="12">
        <f t="shared" si="20"/>
        <v>82203.27871582708</v>
      </c>
      <c r="G143" s="12">
        <f t="shared" si="20"/>
        <v>10159.955796338192</v>
      </c>
      <c r="H143" s="9"/>
      <c r="I143" s="12">
        <f t="shared" si="21"/>
        <v>9244.648888282909</v>
      </c>
      <c r="J143" s="12">
        <f t="shared" si="22"/>
        <v>4593.8417416290813</v>
      </c>
      <c r="K143" s="12">
        <f t="shared" si="23"/>
        <v>567.77819278561742</v>
      </c>
    </row>
    <row r="144" spans="2:11" x14ac:dyDescent="0.25">
      <c r="B144" s="10">
        <v>140</v>
      </c>
      <c r="C144" s="11">
        <v>44031</v>
      </c>
      <c r="D144" s="12">
        <f t="shared" si="18"/>
        <v>173665.59888391182</v>
      </c>
      <c r="E144" s="12">
        <f t="shared" si="19"/>
        <v>162677.44570437938</v>
      </c>
      <c r="F144" s="12">
        <f t="shared" si="20"/>
        <v>86918.250316420919</v>
      </c>
      <c r="G144" s="12">
        <f t="shared" si="20"/>
        <v>10742.705095287993</v>
      </c>
      <c r="H144" s="9"/>
      <c r="I144" s="12">
        <f t="shared" si="21"/>
        <v>9043.5396176138638</v>
      </c>
      <c r="J144" s="12">
        <f t="shared" si="22"/>
        <v>4714.971600593838</v>
      </c>
      <c r="K144" s="12">
        <f t="shared" si="23"/>
        <v>582.74929894980073</v>
      </c>
    </row>
    <row r="145" spans="2:11" x14ac:dyDescent="0.25">
      <c r="B145" s="10">
        <v>141</v>
      </c>
      <c r="C145" s="11">
        <v>44032</v>
      </c>
      <c r="D145" s="12">
        <f t="shared" si="18"/>
        <v>164854.97792407151</v>
      </c>
      <c r="E145" s="12">
        <f t="shared" si="19"/>
        <v>166065.48514074038</v>
      </c>
      <c r="F145" s="12">
        <f t="shared" si="20"/>
        <v>91744.347872317507</v>
      </c>
      <c r="G145" s="12">
        <f t="shared" si="20"/>
        <v>11339.189062870717</v>
      </c>
      <c r="H145" s="9"/>
      <c r="I145" s="12">
        <f t="shared" si="21"/>
        <v>8810.6209598403038</v>
      </c>
      <c r="J145" s="12">
        <f t="shared" si="22"/>
        <v>4826.0975558965874</v>
      </c>
      <c r="K145" s="12">
        <f t="shared" si="23"/>
        <v>596.48396758272486</v>
      </c>
    </row>
    <row r="146" spans="2:11" x14ac:dyDescent="0.25">
      <c r="B146" s="10">
        <v>142</v>
      </c>
      <c r="C146" s="11">
        <v>44033</v>
      </c>
      <c r="D146" s="12">
        <f t="shared" si="18"/>
        <v>156305.11241468872</v>
      </c>
      <c r="E146" s="12">
        <f t="shared" si="19"/>
        <v>169079.83447876517</v>
      </c>
      <c r="F146" s="12">
        <f t="shared" si="20"/>
        <v>96670.957264826138</v>
      </c>
      <c r="G146" s="12">
        <f t="shared" si="20"/>
        <v>11948.095841720098</v>
      </c>
      <c r="H146" s="9"/>
      <c r="I146" s="12">
        <f t="shared" si="21"/>
        <v>8549.8655093827929</v>
      </c>
      <c r="J146" s="12">
        <f t="shared" si="22"/>
        <v>4926.6093925086307</v>
      </c>
      <c r="K146" s="12">
        <f t="shared" si="23"/>
        <v>608.90677884938191</v>
      </c>
    </row>
    <row r="147" spans="2:11" x14ac:dyDescent="0.25">
      <c r="B147" s="10">
        <v>143</v>
      </c>
      <c r="C147" s="11">
        <v>44034</v>
      </c>
      <c r="D147" s="12">
        <f t="shared" si="18"/>
        <v>148039.61587670853</v>
      </c>
      <c r="E147" s="12">
        <f t="shared" si="19"/>
        <v>171709.33653411988</v>
      </c>
      <c r="F147" s="12">
        <f t="shared" si="20"/>
        <v>101686.99235436284</v>
      </c>
      <c r="G147" s="12">
        <f t="shared" si="20"/>
        <v>12568.055234808904</v>
      </c>
      <c r="H147" s="9"/>
      <c r="I147" s="12">
        <f t="shared" si="21"/>
        <v>8265.4965379802015</v>
      </c>
      <c r="J147" s="12">
        <f t="shared" si="22"/>
        <v>5016.0350895367001</v>
      </c>
      <c r="K147" s="12">
        <f t="shared" si="23"/>
        <v>619.95939308880622</v>
      </c>
    </row>
    <row r="148" spans="2:11" x14ac:dyDescent="0.25">
      <c r="B148" s="10">
        <v>144</v>
      </c>
      <c r="C148" s="11">
        <v>44035</v>
      </c>
      <c r="D148" s="12">
        <f t="shared" si="18"/>
        <v>140077.76174654017</v>
      </c>
      <c r="E148" s="12">
        <f t="shared" si="19"/>
        <v>173947.54611315089</v>
      </c>
      <c r="F148" s="12">
        <f t="shared" si="20"/>
        <v>106781.03600487506</v>
      </c>
      <c r="G148" s="12">
        <f t="shared" si="20"/>
        <v>13197.65613543401</v>
      </c>
      <c r="H148" s="9"/>
      <c r="I148" s="12">
        <f t="shared" si="21"/>
        <v>7961.8541301683454</v>
      </c>
      <c r="J148" s="12">
        <f t="shared" si="22"/>
        <v>5094.0436505122225</v>
      </c>
      <c r="K148" s="12">
        <f t="shared" si="23"/>
        <v>629.60090062510676</v>
      </c>
    </row>
    <row r="149" spans="2:11" x14ac:dyDescent="0.25">
      <c r="B149" s="10">
        <v>145</v>
      </c>
      <c r="C149" s="11">
        <v>44036</v>
      </c>
      <c r="D149" s="12">
        <f t="shared" si="18"/>
        <v>132434.4925980476</v>
      </c>
      <c r="E149" s="12">
        <f t="shared" si="19"/>
        <v>175792.56372453843</v>
      </c>
      <c r="F149" s="12">
        <f t="shared" si="20"/>
        <v>111941.47987289853</v>
      </c>
      <c r="G149" s="12">
        <f t="shared" si="20"/>
        <v>13835.463804515564</v>
      </c>
      <c r="H149" s="9"/>
      <c r="I149" s="12">
        <f t="shared" si="21"/>
        <v>7643.2691484925608</v>
      </c>
      <c r="J149" s="12">
        <f t="shared" si="22"/>
        <v>5160.4438680234762</v>
      </c>
      <c r="K149" s="12">
        <f t="shared" si="23"/>
        <v>637.80766908155385</v>
      </c>
    </row>
    <row r="150" spans="2:11" x14ac:dyDescent="0.25">
      <c r="B150" s="10">
        <v>146</v>
      </c>
      <c r="C150" s="11">
        <v>44037</v>
      </c>
      <c r="D150" s="12">
        <f t="shared" si="18"/>
        <v>125120.54212212008</v>
      </c>
      <c r="E150" s="12">
        <f t="shared" si="19"/>
        <v>177246.76207631466</v>
      </c>
      <c r="F150" s="12">
        <f t="shared" ref="F150:G165" si="24">F149+J150</f>
        <v>117156.65926339317</v>
      </c>
      <c r="G150" s="12">
        <f t="shared" si="24"/>
        <v>14480.036538172206</v>
      </c>
      <c r="H150" s="9"/>
      <c r="I150" s="12">
        <f t="shared" si="21"/>
        <v>7313.9504759275196</v>
      </c>
      <c r="J150" s="12">
        <f t="shared" si="22"/>
        <v>5215.1793904946398</v>
      </c>
      <c r="K150" s="12">
        <f t="shared" si="23"/>
        <v>644.5727336566415</v>
      </c>
    </row>
    <row r="151" spans="2:11" x14ac:dyDescent="0.25">
      <c r="B151" s="10">
        <v>147</v>
      </c>
      <c r="C151" s="11">
        <v>44038</v>
      </c>
      <c r="D151" s="12">
        <f t="shared" si="18"/>
        <v>118142.6526527945</v>
      </c>
      <c r="E151" s="12">
        <f t="shared" si="19"/>
        <v>178316.42614309638</v>
      </c>
      <c r="F151" s="12">
        <f t="shared" si="24"/>
        <v>122414.97987165717</v>
      </c>
      <c r="G151" s="12">
        <f t="shared" si="24"/>
        <v>15129.941332452026</v>
      </c>
      <c r="H151" s="9"/>
      <c r="I151" s="12">
        <f t="shared" si="21"/>
        <v>6977.8894693255788</v>
      </c>
      <c r="J151" s="12">
        <f t="shared" si="22"/>
        <v>5258.3206082640008</v>
      </c>
      <c r="K151" s="12">
        <f t="shared" si="23"/>
        <v>649.90479427982098</v>
      </c>
    </row>
    <row r="152" spans="2:11" x14ac:dyDescent="0.25">
      <c r="B152" s="10">
        <v>148</v>
      </c>
      <c r="C152" s="11">
        <v>44039</v>
      </c>
      <c r="D152" s="12">
        <f t="shared" si="18"/>
        <v>111503.86870056651</v>
      </c>
      <c r="E152" s="12">
        <f t="shared" si="19"/>
        <v>179011.32922388785</v>
      </c>
      <c r="F152" s="12">
        <f t="shared" si="24"/>
        <v>127705.0338472357</v>
      </c>
      <c r="G152" s="12">
        <f t="shared" si="24"/>
        <v>15783.768228310048</v>
      </c>
      <c r="H152" s="9"/>
      <c r="I152" s="12">
        <f t="shared" si="21"/>
        <v>6638.7839522279828</v>
      </c>
      <c r="J152" s="12">
        <f t="shared" si="22"/>
        <v>5290.0539755785258</v>
      </c>
      <c r="K152" s="12">
        <f t="shared" si="23"/>
        <v>653.82689585802063</v>
      </c>
    </row>
    <row r="153" spans="2:11" x14ac:dyDescent="0.25">
      <c r="B153" s="10">
        <v>149</v>
      </c>
      <c r="C153" s="11">
        <v>44040</v>
      </c>
      <c r="D153" s="12">
        <f t="shared" si="18"/>
        <v>105203.88615835896</v>
      </c>
      <c r="E153" s="12">
        <f t="shared" si="19"/>
        <v>179344.26745863247</v>
      </c>
      <c r="F153" s="12">
        <f t="shared" si="24"/>
        <v>133015.7032808777</v>
      </c>
      <c r="G153" s="12">
        <f t="shared" si="24"/>
        <v>16440.143102130969</v>
      </c>
      <c r="H153" s="9"/>
      <c r="I153" s="12">
        <f t="shared" si="21"/>
        <v>6299.9825422075546</v>
      </c>
      <c r="J153" s="12">
        <f t="shared" si="22"/>
        <v>5310.669433642006</v>
      </c>
      <c r="K153" s="12">
        <f t="shared" si="23"/>
        <v>656.37487382092274</v>
      </c>
    </row>
    <row r="154" spans="2:11" x14ac:dyDescent="0.25">
      <c r="B154" s="10">
        <v>150</v>
      </c>
      <c r="C154" s="11">
        <v>44041</v>
      </c>
      <c r="D154" s="12">
        <f t="shared" si="18"/>
        <v>99239.437384248959</v>
      </c>
      <c r="E154" s="12">
        <f t="shared" si="19"/>
        <v>179330.57398412138</v>
      </c>
      <c r="F154" s="12">
        <f t="shared" si="24"/>
        <v>138336.24988215047</v>
      </c>
      <c r="G154" s="12">
        <f t="shared" si="24"/>
        <v>17097.738749479289</v>
      </c>
      <c r="H154" s="9"/>
      <c r="I154" s="12">
        <f t="shared" si="21"/>
        <v>5964.4487741099965</v>
      </c>
      <c r="J154" s="12">
        <f t="shared" si="22"/>
        <v>5320.546601272762</v>
      </c>
      <c r="K154" s="12">
        <f t="shared" si="23"/>
        <v>657.59564734831963</v>
      </c>
    </row>
    <row r="155" spans="2:11" x14ac:dyDescent="0.25">
      <c r="B155" s="10">
        <v>151</v>
      </c>
      <c r="C155" s="11">
        <v>44042</v>
      </c>
      <c r="D155" s="12">
        <f t="shared" si="18"/>
        <v>93604.693956969131</v>
      </c>
      <c r="E155" s="12">
        <f t="shared" si="19"/>
        <v>178987.6316119305</v>
      </c>
      <c r="F155" s="12">
        <f t="shared" si="24"/>
        <v>143656.3902436794</v>
      </c>
      <c r="G155" s="12">
        <f t="shared" si="24"/>
        <v>17755.284187421068</v>
      </c>
      <c r="H155" s="9"/>
      <c r="I155" s="12">
        <f t="shared" si="21"/>
        <v>5634.74342727983</v>
      </c>
      <c r="J155" s="12">
        <f t="shared" si="22"/>
        <v>5320.1403615289337</v>
      </c>
      <c r="K155" s="12">
        <f t="shared" si="23"/>
        <v>657.54543794177891</v>
      </c>
    </row>
    <row r="156" spans="2:11" x14ac:dyDescent="0.25">
      <c r="B156" s="10">
        <v>152</v>
      </c>
      <c r="C156" s="13">
        <v>44043</v>
      </c>
      <c r="D156" s="12">
        <f t="shared" si="18"/>
        <v>88291.671229856904</v>
      </c>
      <c r="E156" s="12">
        <f t="shared" si="19"/>
        <v>178334.39995197838</v>
      </c>
      <c r="F156" s="12">
        <f t="shared" si="24"/>
        <v>148966.35664816666</v>
      </c>
      <c r="G156" s="12">
        <f t="shared" si="24"/>
        <v>18411.572169998148</v>
      </c>
      <c r="H156" s="9"/>
      <c r="I156" s="12">
        <f t="shared" si="21"/>
        <v>5313.0227271122203</v>
      </c>
      <c r="J156" s="12">
        <f t="shared" si="22"/>
        <v>5309.9664044872716</v>
      </c>
      <c r="K156" s="12">
        <f t="shared" si="23"/>
        <v>656.28798257707911</v>
      </c>
    </row>
    <row r="157" spans="2:11" x14ac:dyDescent="0.25">
      <c r="B157" s="10">
        <v>153</v>
      </c>
      <c r="C157" s="21">
        <v>44044</v>
      </c>
      <c r="D157" s="12">
        <f t="shared" si="18"/>
        <v>83290.621565620386</v>
      </c>
      <c r="E157" s="12">
        <f t="shared" si="19"/>
        <v>177390.96961781563</v>
      </c>
      <c r="F157" s="12">
        <f t="shared" si="24"/>
        <v>154256.94384674201</v>
      </c>
      <c r="G157" s="12">
        <f t="shared" si="24"/>
        <v>19065.464969822067</v>
      </c>
      <c r="H157" s="9"/>
      <c r="I157" s="12">
        <f t="shared" si="21"/>
        <v>5001.0496642365233</v>
      </c>
      <c r="J157" s="12">
        <f t="shared" si="22"/>
        <v>5290.5871985753583</v>
      </c>
      <c r="K157" s="12">
        <f t="shared" si="23"/>
        <v>653.89279982392134</v>
      </c>
    </row>
    <row r="158" spans="2:11" x14ac:dyDescent="0.25">
      <c r="B158" s="10">
        <v>154</v>
      </c>
      <c r="C158" s="21">
        <v>44045</v>
      </c>
      <c r="D158" s="12">
        <f t="shared" si="18"/>
        <v>78590.406041784256</v>
      </c>
      <c r="E158" s="12">
        <f t="shared" si="19"/>
        <v>176178.15282105791</v>
      </c>
      <c r="F158" s="12">
        <f t="shared" si="24"/>
        <v>159519.54261207054</v>
      </c>
      <c r="G158" s="12">
        <f t="shared" si="24"/>
        <v>19715.898525087392</v>
      </c>
      <c r="H158" s="9"/>
      <c r="I158" s="12">
        <f t="shared" si="21"/>
        <v>4700.2155238361311</v>
      </c>
      <c r="J158" s="12">
        <f t="shared" si="22"/>
        <v>5262.5987653285292</v>
      </c>
      <c r="K158" s="12">
        <f t="shared" si="23"/>
        <v>650.43355526532457</v>
      </c>
    </row>
    <row r="159" spans="2:11" x14ac:dyDescent="0.25">
      <c r="B159" s="10">
        <v>155</v>
      </c>
      <c r="C159" s="21">
        <v>44046</v>
      </c>
      <c r="D159" s="12">
        <f t="shared" si="18"/>
        <v>74178.837251389559</v>
      </c>
      <c r="E159" s="12">
        <f t="shared" si="19"/>
        <v>174717.11651741734</v>
      </c>
      <c r="F159" s="12">
        <f t="shared" si="24"/>
        <v>164746.16114576193</v>
      </c>
      <c r="G159" s="12">
        <f t="shared" si="24"/>
        <v>20361.885085431273</v>
      </c>
      <c r="H159" s="9"/>
      <c r="I159" s="12">
        <f t="shared" si="21"/>
        <v>4411.5687903946982</v>
      </c>
      <c r="J159" s="12">
        <f t="shared" si="22"/>
        <v>5226.618533691385</v>
      </c>
      <c r="K159" s="12">
        <f t="shared" si="23"/>
        <v>645.98656034387955</v>
      </c>
    </row>
    <row r="160" spans="2:11" x14ac:dyDescent="0.25">
      <c r="B160" s="10">
        <v>156</v>
      </c>
      <c r="C160" s="21">
        <v>44047</v>
      </c>
      <c r="D160" s="12">
        <f t="shared" si="18"/>
        <v>70042.98842200049</v>
      </c>
      <c r="E160" s="12">
        <f t="shared" si="19"/>
        <v>173029.06146289251</v>
      </c>
      <c r="F160" s="12">
        <f t="shared" si="24"/>
        <v>169929.4356024453</v>
      </c>
      <c r="G160" s="12">
        <f t="shared" si="24"/>
        <v>21002.514512661804</v>
      </c>
      <c r="H160" s="9"/>
      <c r="I160" s="12">
        <f t="shared" si="21"/>
        <v>4135.8488293890705</v>
      </c>
      <c r="J160" s="12">
        <f t="shared" si="22"/>
        <v>5183.2744566833808</v>
      </c>
      <c r="K160" s="12">
        <f t="shared" si="23"/>
        <v>640.62942723053084</v>
      </c>
    </row>
    <row r="161" spans="2:11" x14ac:dyDescent="0.25">
      <c r="B161" s="10">
        <v>157</v>
      </c>
      <c r="C161" s="21">
        <v>44048</v>
      </c>
      <c r="D161" s="12">
        <f t="shared" si="18"/>
        <v>66169.466333956021</v>
      </c>
      <c r="E161" s="12">
        <f t="shared" si="19"/>
        <v>171134.94816884055</v>
      </c>
      <c r="F161" s="12">
        <f t="shared" si="24"/>
        <v>175062.63109251112</v>
      </c>
      <c r="G161" s="12">
        <f t="shared" si="24"/>
        <v>21636.954404692409</v>
      </c>
      <c r="H161" s="9"/>
      <c r="I161" s="12">
        <f t="shared" si="21"/>
        <v>3873.5220880444613</v>
      </c>
      <c r="J161" s="12">
        <f t="shared" si="22"/>
        <v>5133.1954900658111</v>
      </c>
      <c r="K161" s="12">
        <f t="shared" si="23"/>
        <v>634.43989203060642</v>
      </c>
    </row>
    <row r="162" spans="2:11" x14ac:dyDescent="0.25">
      <c r="B162" s="10">
        <v>158</v>
      </c>
      <c r="C162" s="21">
        <v>44049</v>
      </c>
      <c r="D162" s="12">
        <f t="shared" si="18"/>
        <v>62544.647383863288</v>
      </c>
      <c r="E162" s="12">
        <f t="shared" si="19"/>
        <v>169055.26884663859</v>
      </c>
      <c r="F162" s="12">
        <f t="shared" si="24"/>
        <v>180139.63455485337</v>
      </c>
      <c r="G162" s="12">
        <f t="shared" si="24"/>
        <v>22264.449214644825</v>
      </c>
      <c r="H162" s="9"/>
      <c r="I162" s="12">
        <f t="shared" si="21"/>
        <v>3624.8189500927328</v>
      </c>
      <c r="J162" s="12">
        <f t="shared" si="22"/>
        <v>5077.0034623422689</v>
      </c>
      <c r="K162" s="12">
        <f t="shared" si="23"/>
        <v>627.49480995241584</v>
      </c>
    </row>
    <row r="163" spans="2:11" x14ac:dyDescent="0.25">
      <c r="B163" s="10">
        <v>159</v>
      </c>
      <c r="C163" s="21">
        <v>44050</v>
      </c>
      <c r="D163" s="12">
        <f t="shared" si="18"/>
        <v>59154.877601275584</v>
      </c>
      <c r="E163" s="12">
        <f t="shared" si="19"/>
        <v>166809.86300100503</v>
      </c>
      <c r="F163" s="12">
        <f t="shared" si="24"/>
        <v>185154.94086397032</v>
      </c>
      <c r="G163" s="12">
        <f t="shared" si="24"/>
        <v>22884.318533749167</v>
      </c>
      <c r="H163" s="9"/>
      <c r="I163" s="12">
        <f t="shared" si="21"/>
        <v>3389.7697825877049</v>
      </c>
      <c r="J163" s="12">
        <f t="shared" si="22"/>
        <v>5015.3063091169442</v>
      </c>
      <c r="K163" s="12">
        <f t="shared" si="23"/>
        <v>619.86931910434203</v>
      </c>
    </row>
    <row r="164" spans="2:11" x14ac:dyDescent="0.25">
      <c r="B164" s="10">
        <v>160</v>
      </c>
      <c r="C164" s="21">
        <v>44051</v>
      </c>
      <c r="D164" s="12">
        <f t="shared" si="18"/>
        <v>55986.63850574533</v>
      </c>
      <c r="E164" s="12">
        <f t="shared" si="19"/>
        <v>164417.77332983509</v>
      </c>
      <c r="F164" s="12">
        <f t="shared" si="24"/>
        <v>190103.63346633347</v>
      </c>
      <c r="G164" s="12">
        <f t="shared" si="24"/>
        <v>23495.954698086185</v>
      </c>
      <c r="H164" s="9"/>
      <c r="I164" s="12">
        <f t="shared" si="21"/>
        <v>3168.2390955302521</v>
      </c>
      <c r="J164" s="12">
        <f t="shared" si="22"/>
        <v>4948.6926023631486</v>
      </c>
      <c r="K164" s="12">
        <f t="shared" si="23"/>
        <v>611.63616433701895</v>
      </c>
    </row>
    <row r="165" spans="2:11" x14ac:dyDescent="0.25">
      <c r="B165" s="10">
        <v>161</v>
      </c>
      <c r="C165" s="21">
        <v>44052</v>
      </c>
      <c r="D165" s="12">
        <f t="shared" si="18"/>
        <v>53026.681428414871</v>
      </c>
      <c r="E165" s="12">
        <f t="shared" si="19"/>
        <v>161897.1379628377</v>
      </c>
      <c r="F165" s="12">
        <f t="shared" si="24"/>
        <v>194981.36074178523</v>
      </c>
      <c r="G165" s="12">
        <f t="shared" si="24"/>
        <v>24098.819866962247</v>
      </c>
      <c r="H165" s="9"/>
      <c r="I165" s="12">
        <f t="shared" si="21"/>
        <v>2959.9570773304554</v>
      </c>
      <c r="J165" s="12">
        <f t="shared" si="22"/>
        <v>4877.7272754517744</v>
      </c>
      <c r="K165" s="12">
        <f t="shared" si="23"/>
        <v>602.86516887606251</v>
      </c>
    </row>
    <row r="166" spans="2:11" x14ac:dyDescent="0.25">
      <c r="B166" s="10">
        <v>162</v>
      </c>
      <c r="C166" s="21">
        <v>44053</v>
      </c>
      <c r="D166" s="12">
        <f t="shared" si="18"/>
        <v>50262.133368274124</v>
      </c>
      <c r="E166" s="12">
        <f t="shared" si="19"/>
        <v>159265.11475755053</v>
      </c>
      <c r="F166" s="12">
        <f t="shared" ref="F166:G181" si="25">F165+J166</f>
        <v>199784.30916801607</v>
      </c>
      <c r="G166" s="12">
        <f t="shared" si="25"/>
        <v>24692.44270615932</v>
      </c>
      <c r="H166" s="9"/>
      <c r="I166" s="12">
        <f t="shared" si="21"/>
        <v>2764.548060140748</v>
      </c>
      <c r="J166" s="12">
        <f t="shared" si="22"/>
        <v>4802.9484262308515</v>
      </c>
      <c r="K166" s="12">
        <f t="shared" si="23"/>
        <v>593.62283919707215</v>
      </c>
    </row>
    <row r="167" spans="2:11" x14ac:dyDescent="0.25">
      <c r="B167" s="10">
        <v>163</v>
      </c>
      <c r="C167" s="21">
        <v>44054</v>
      </c>
      <c r="D167" s="12">
        <f t="shared" si="18"/>
        <v>47680.577663091281</v>
      </c>
      <c r="E167" s="12">
        <f t="shared" si="19"/>
        <v>156537.83330414834</v>
      </c>
      <c r="F167" s="12">
        <f t="shared" si="25"/>
        <v>204509.17423915674</v>
      </c>
      <c r="G167" s="12">
        <f t="shared" si="25"/>
        <v>25276.414793603672</v>
      </c>
      <c r="H167" s="9"/>
      <c r="I167" s="12">
        <f t="shared" si="21"/>
        <v>2581.5557051828428</v>
      </c>
      <c r="J167" s="12">
        <f t="shared" si="22"/>
        <v>4724.8650711406653</v>
      </c>
      <c r="K167" s="12">
        <f t="shared" si="23"/>
        <v>583.97208744435238</v>
      </c>
    </row>
    <row r="168" spans="2:11" x14ac:dyDescent="0.25">
      <c r="B168" s="10">
        <v>164</v>
      </c>
      <c r="C168" s="21">
        <v>44055</v>
      </c>
      <c r="D168" s="12">
        <f t="shared" si="18"/>
        <v>45270.112782215205</v>
      </c>
      <c r="E168" s="12">
        <f t="shared" si="19"/>
        <v>153730.37040821946</v>
      </c>
      <c r="F168" s="12">
        <f t="shared" si="25"/>
        <v>209153.12996051315</v>
      </c>
      <c r="G168" s="12">
        <f t="shared" si="25"/>
        <v>25850.386849052215</v>
      </c>
      <c r="H168" s="9"/>
      <c r="I168" s="12">
        <f t="shared" si="21"/>
        <v>2410.464880876079</v>
      </c>
      <c r="J168" s="12">
        <f t="shared" si="22"/>
        <v>4643.9557213564003</v>
      </c>
      <c r="K168" s="12">
        <f t="shared" si="23"/>
        <v>573.97205544854444</v>
      </c>
    </row>
    <row r="169" spans="2:11" x14ac:dyDescent="0.25">
      <c r="B169" s="10">
        <v>165</v>
      </c>
      <c r="C169" s="21">
        <v>44056</v>
      </c>
      <c r="D169" s="12">
        <f t="shared" si="18"/>
        <v>43019.392441515294</v>
      </c>
      <c r="E169" s="12">
        <f t="shared" si="19"/>
        <v>150856.7450686454</v>
      </c>
      <c r="F169" s="12">
        <f t="shared" si="25"/>
        <v>213713.79761595698</v>
      </c>
      <c r="G169" s="12">
        <f t="shared" si="25"/>
        <v>26414.064873882355</v>
      </c>
      <c r="H169" s="9"/>
      <c r="I169" s="12">
        <f t="shared" si="21"/>
        <v>2250.7203406999074</v>
      </c>
      <c r="J169" s="12">
        <f t="shared" si="22"/>
        <v>4560.6676554438436</v>
      </c>
      <c r="K169" s="12">
        <f t="shared" si="23"/>
        <v>563.6780248301385</v>
      </c>
    </row>
    <row r="170" spans="2:11" x14ac:dyDescent="0.25">
      <c r="B170" s="10">
        <v>166</v>
      </c>
      <c r="C170" s="21">
        <v>44057</v>
      </c>
      <c r="D170" s="12">
        <f t="shared" si="18"/>
        <v>40917.650041559937</v>
      </c>
      <c r="E170" s="12">
        <f t="shared" si="19"/>
        <v>147929.92929964591</v>
      </c>
      <c r="F170" s="12">
        <f t="shared" si="25"/>
        <v>218189.21438632678</v>
      </c>
      <c r="G170" s="12">
        <f t="shared" si="25"/>
        <v>26967.206272467389</v>
      </c>
      <c r="H170" s="9"/>
      <c r="I170" s="12">
        <f t="shared" si="21"/>
        <v>2101.7423999553557</v>
      </c>
      <c r="J170" s="12">
        <f t="shared" si="22"/>
        <v>4475.4167703698131</v>
      </c>
      <c r="K170" s="12">
        <f t="shared" si="23"/>
        <v>553.14139858503358</v>
      </c>
    </row>
    <row r="171" spans="2:11" x14ac:dyDescent="0.25">
      <c r="B171" s="10">
        <v>167</v>
      </c>
      <c r="C171" s="21">
        <v>44058</v>
      </c>
      <c r="D171" s="12">
        <f t="shared" si="18"/>
        <v>38954.710173282139</v>
      </c>
      <c r="E171" s="12">
        <f t="shared" si="19"/>
        <v>144961.87152460217</v>
      </c>
      <c r="F171" s="12">
        <f t="shared" si="25"/>
        <v>222577.80228888296</v>
      </c>
      <c r="G171" s="12">
        <f t="shared" si="25"/>
        <v>27509.616013232757</v>
      </c>
      <c r="H171" s="9"/>
      <c r="I171" s="12">
        <f t="shared" si="21"/>
        <v>1962.9398682778008</v>
      </c>
      <c r="J171" s="12">
        <f t="shared" si="22"/>
        <v>4388.5879025561617</v>
      </c>
      <c r="K171" s="12">
        <f t="shared" si="23"/>
        <v>542.40974076536884</v>
      </c>
    </row>
    <row r="172" spans="2:11" x14ac:dyDescent="0.25">
      <c r="B172" s="10">
        <v>168</v>
      </c>
      <c r="C172" s="21">
        <v>44059</v>
      </c>
      <c r="D172" s="12">
        <f t="shared" si="18"/>
        <v>37120.989648150928</v>
      </c>
      <c r="E172" s="12">
        <f t="shared" si="19"/>
        <v>141963.52966557999</v>
      </c>
      <c r="F172" s="12">
        <f t="shared" si="25"/>
        <v>226878.33781077949</v>
      </c>
      <c r="G172" s="12">
        <f t="shared" si="25"/>
        <v>28041.142875489633</v>
      </c>
      <c r="H172" s="9"/>
      <c r="I172" s="12">
        <f t="shared" si="21"/>
        <v>1833.7205251312084</v>
      </c>
      <c r="J172" s="12">
        <f t="shared" si="22"/>
        <v>4300.5355218965306</v>
      </c>
      <c r="K172" s="12">
        <f t="shared" si="23"/>
        <v>531.52686225687512</v>
      </c>
    </row>
    <row r="173" spans="2:11" x14ac:dyDescent="0.25">
      <c r="B173" s="10">
        <v>169</v>
      </c>
      <c r="C173" s="21">
        <v>44060</v>
      </c>
      <c r="D173" s="12">
        <f t="shared" si="18"/>
        <v>35407.490212945362</v>
      </c>
      <c r="E173" s="12">
        <f t="shared" si="19"/>
        <v>138944.91144526622</v>
      </c>
      <c r="F173" s="12">
        <f t="shared" si="25"/>
        <v>231089.9225241917</v>
      </c>
      <c r="G173" s="12">
        <f t="shared" si="25"/>
        <v>28561.675817596759</v>
      </c>
      <c r="H173" s="9"/>
      <c r="I173" s="12">
        <f t="shared" si="21"/>
        <v>1713.4994352055676</v>
      </c>
      <c r="J173" s="12">
        <f t="shared" si="22"/>
        <v>4211.5847134122059</v>
      </c>
      <c r="K173" s="12">
        <f t="shared" si="23"/>
        <v>520.53294210712704</v>
      </c>
    </row>
    <row r="174" spans="2:11" x14ac:dyDescent="0.25">
      <c r="B174" s="10">
        <v>170</v>
      </c>
      <c r="C174" s="21">
        <v>44061</v>
      </c>
      <c r="D174" s="12">
        <f t="shared" si="18"/>
        <v>33805.784817556239</v>
      </c>
      <c r="E174" s="12">
        <f t="shared" si="19"/>
        <v>135915.11979247979</v>
      </c>
      <c r="F174" s="12">
        <f t="shared" si="25"/>
        <v>235211.95489706792</v>
      </c>
      <c r="G174" s="12">
        <f t="shared" si="25"/>
        <v>29071.140492896069</v>
      </c>
      <c r="H174" s="9"/>
      <c r="I174" s="12">
        <f t="shared" si="21"/>
        <v>1601.7053953891218</v>
      </c>
      <c r="J174" s="12">
        <f t="shared" si="22"/>
        <v>4122.0323728762305</v>
      </c>
      <c r="K174" s="12">
        <f t="shared" si="23"/>
        <v>509.46467529930993</v>
      </c>
    </row>
    <row r="175" spans="2:11" x14ac:dyDescent="0.25">
      <c r="B175" s="10">
        <v>171</v>
      </c>
      <c r="C175" s="21">
        <v>44062</v>
      </c>
      <c r="D175" s="12">
        <f t="shared" si="18"/>
        <v>32307.99902799357</v>
      </c>
      <c r="E175" s="12">
        <f t="shared" si="19"/>
        <v>132882.40158895979</v>
      </c>
      <c r="F175" s="12">
        <f t="shared" si="25"/>
        <v>239244.1034509115</v>
      </c>
      <c r="G175" s="12">
        <f t="shared" si="25"/>
        <v>29569.495932135163</v>
      </c>
      <c r="H175" s="9"/>
      <c r="I175" s="12">
        <f t="shared" si="21"/>
        <v>1497.7857895626703</v>
      </c>
      <c r="J175" s="12">
        <f t="shared" si="22"/>
        <v>4032.1485538435668</v>
      </c>
      <c r="K175" s="12">
        <f t="shared" si="23"/>
        <v>498.35543923909302</v>
      </c>
    </row>
    <row r="176" spans="2:11" x14ac:dyDescent="0.25">
      <c r="B176" s="10">
        <v>172</v>
      </c>
      <c r="C176" s="21">
        <v>44063</v>
      </c>
      <c r="D176" s="12">
        <f t="shared" si="18"/>
        <v>30906.788922324107</v>
      </c>
      <c r="E176" s="12">
        <f t="shared" si="19"/>
        <v>129854.19830833058</v>
      </c>
      <c r="F176" s="12">
        <f t="shared" si="25"/>
        <v>243186.28136471732</v>
      </c>
      <c r="G176" s="12">
        <f t="shared" si="25"/>
        <v>30056.731404628015</v>
      </c>
      <c r="H176" s="9"/>
      <c r="I176" s="12">
        <f t="shared" si="21"/>
        <v>1401.2101056694646</v>
      </c>
      <c r="J176" s="12">
        <f t="shared" si="22"/>
        <v>3942.1779138058068</v>
      </c>
      <c r="K176" s="12">
        <f t="shared" si="23"/>
        <v>487.23547249285298</v>
      </c>
    </row>
    <row r="177" spans="2:11" x14ac:dyDescent="0.25">
      <c r="B177" s="10">
        <v>173</v>
      </c>
      <c r="C177" s="21">
        <v>44064</v>
      </c>
      <c r="D177" s="12">
        <f t="shared" si="18"/>
        <v>29595.316578048005</v>
      </c>
      <c r="E177" s="12">
        <f t="shared" si="19"/>
        <v>126837.19737566235</v>
      </c>
      <c r="F177" s="12">
        <f t="shared" si="25"/>
        <v>247038.62258119779</v>
      </c>
      <c r="G177" s="12">
        <f t="shared" si="25"/>
        <v>30532.863465091894</v>
      </c>
      <c r="H177" s="9"/>
      <c r="I177" s="12">
        <f t="shared" si="21"/>
        <v>1311.4723442761026</v>
      </c>
      <c r="J177" s="12">
        <f t="shared" si="22"/>
        <v>3852.3412164804736</v>
      </c>
      <c r="K177" s="12">
        <f t="shared" si="23"/>
        <v>476.13206046387921</v>
      </c>
    </row>
    <row r="178" spans="2:11" x14ac:dyDescent="0.25">
      <c r="B178" s="10">
        <v>174</v>
      </c>
      <c r="C178" s="21">
        <v>44065</v>
      </c>
      <c r="D178" s="12">
        <f t="shared" si="18"/>
        <v>28367.224056727831</v>
      </c>
      <c r="E178" s="12">
        <f t="shared" si="19"/>
        <v>123837.38331779376</v>
      </c>
      <c r="F178" s="12">
        <f t="shared" si="25"/>
        <v>250801.45943667577</v>
      </c>
      <c r="G178" s="12">
        <f t="shared" si="25"/>
        <v>30997.933188802657</v>
      </c>
      <c r="H178" s="9"/>
      <c r="I178" s="12">
        <f t="shared" si="21"/>
        <v>1228.092521320174</v>
      </c>
      <c r="J178" s="12">
        <f t="shared" si="22"/>
        <v>3762.8368554779827</v>
      </c>
      <c r="K178" s="12">
        <f t="shared" si="23"/>
        <v>465.06972371076239</v>
      </c>
    </row>
    <row r="179" spans="2:11" x14ac:dyDescent="0.25">
      <c r="B179" s="10">
        <v>175</v>
      </c>
      <c r="C179" s="21">
        <v>44066</v>
      </c>
      <c r="D179" s="12">
        <f t="shared" si="18"/>
        <v>27216.606615258133</v>
      </c>
      <c r="E179" s="12">
        <f t="shared" si="19"/>
        <v>120860.08798200366</v>
      </c>
      <c r="F179" s="12">
        <f t="shared" si="25"/>
        <v>254475.30180843698</v>
      </c>
      <c r="G179" s="12">
        <f t="shared" si="25"/>
        <v>31452.003594301234</v>
      </c>
      <c r="H179" s="9"/>
      <c r="I179" s="12">
        <f t="shared" si="21"/>
        <v>1150.6174414696989</v>
      </c>
      <c r="J179" s="12">
        <f t="shared" si="22"/>
        <v>3673.8423717612145</v>
      </c>
      <c r="K179" s="12">
        <f t="shared" si="23"/>
        <v>454.07040549857749</v>
      </c>
    </row>
    <row r="180" spans="2:11" x14ac:dyDescent="0.25">
      <c r="B180" s="10">
        <v>176</v>
      </c>
      <c r="C180" s="21">
        <v>44067</v>
      </c>
      <c r="D180" s="12">
        <f t="shared" si="18"/>
        <v>26137.985721736328</v>
      </c>
      <c r="E180" s="12">
        <f t="shared" si="19"/>
        <v>117910.03927612535</v>
      </c>
      <c r="F180" s="12">
        <f t="shared" si="25"/>
        <v>258060.81775190309</v>
      </c>
      <c r="G180" s="12">
        <f t="shared" si="25"/>
        <v>31895.157250235246</v>
      </c>
      <c r="H180" s="9"/>
      <c r="I180" s="12">
        <f t="shared" si="21"/>
        <v>1078.6208935218067</v>
      </c>
      <c r="J180" s="12">
        <f t="shared" si="22"/>
        <v>3585.5159434661086</v>
      </c>
      <c r="K180" s="12">
        <f t="shared" si="23"/>
        <v>443.15365593401384</v>
      </c>
    </row>
    <row r="181" spans="2:11" x14ac:dyDescent="0.25">
      <c r="B181" s="10">
        <v>177</v>
      </c>
      <c r="C181" s="21">
        <v>44068</v>
      </c>
      <c r="D181" s="12">
        <f t="shared" si="18"/>
        <v>25126.282325560092</v>
      </c>
      <c r="E181" s="12">
        <f t="shared" si="19"/>
        <v>114991.40802976406</v>
      </c>
      <c r="F181" s="12">
        <f t="shared" si="25"/>
        <v>261558.81558376146</v>
      </c>
      <c r="G181" s="12">
        <f t="shared" si="25"/>
        <v>32327.494060914374</v>
      </c>
      <c r="H181" s="9"/>
      <c r="I181" s="12">
        <f t="shared" si="21"/>
        <v>1011.7033961762355</v>
      </c>
      <c r="J181" s="12">
        <f t="shared" si="22"/>
        <v>3497.9978318583849</v>
      </c>
      <c r="K181" s="12">
        <f t="shared" si="23"/>
        <v>432.33681067912664</v>
      </c>
    </row>
    <row r="182" spans="2:11" x14ac:dyDescent="0.25">
      <c r="B182" s="10">
        <v>178</v>
      </c>
      <c r="C182" s="21">
        <v>44069</v>
      </c>
      <c r="D182" s="12">
        <f t="shared" si="18"/>
        <v>24176.79072388744</v>
      </c>
      <c r="E182" s="12">
        <f t="shared" si="19"/>
        <v>112107.85269711124</v>
      </c>
      <c r="F182" s="12">
        <f t="shared" ref="F182:G197" si="26">F181+J182</f>
        <v>264970.2273553111</v>
      </c>
      <c r="G182" s="12">
        <f t="shared" si="26"/>
        <v>32749.129223690175</v>
      </c>
      <c r="H182" s="9"/>
      <c r="I182" s="12">
        <f t="shared" si="21"/>
        <v>949.4916016726545</v>
      </c>
      <c r="J182" s="12">
        <f t="shared" si="22"/>
        <v>3411.4117715496668</v>
      </c>
      <c r="K182" s="12">
        <f t="shared" si="23"/>
        <v>421.63516277580197</v>
      </c>
    </row>
    <row r="183" spans="2:11" x14ac:dyDescent="0.25">
      <c r="B183" s="10">
        <v>179</v>
      </c>
      <c r="C183" s="21">
        <v>44070</v>
      </c>
      <c r="D183" s="12">
        <f t="shared" si="18"/>
        <v>23285.153277579917</v>
      </c>
      <c r="E183" s="12">
        <f t="shared" si="19"/>
        <v>109262.56172018172</v>
      </c>
      <c r="F183" s="12">
        <f t="shared" si="26"/>
        <v>268296.09365199209</v>
      </c>
      <c r="G183" s="12">
        <f t="shared" si="26"/>
        <v>33160.191350246248</v>
      </c>
      <c r="H183" s="9"/>
      <c r="I183" s="12">
        <f t="shared" si="21"/>
        <v>891.63744630752433</v>
      </c>
      <c r="J183" s="12">
        <f t="shared" si="22"/>
        <v>3325.8662966809666</v>
      </c>
      <c r="K183" s="12">
        <f t="shared" si="23"/>
        <v>411.06212655607493</v>
      </c>
    </row>
    <row r="184" spans="2:11" x14ac:dyDescent="0.25">
      <c r="B184" s="10">
        <v>180</v>
      </c>
      <c r="C184" s="21">
        <v>44071</v>
      </c>
      <c r="D184" s="12">
        <f t="shared" si="18"/>
        <v>22447.336156852067</v>
      </c>
      <c r="E184" s="12">
        <f t="shared" si="19"/>
        <v>106458.29345023684</v>
      </c>
      <c r="F184" s="12">
        <f t="shared" si="26"/>
        <v>271537.5496496908</v>
      </c>
      <c r="G184" s="12">
        <f t="shared" si="26"/>
        <v>33560.820743220247</v>
      </c>
      <c r="H184" s="9"/>
      <c r="I184" s="12">
        <f t="shared" si="21"/>
        <v>837.81712072784944</v>
      </c>
      <c r="J184" s="12">
        <f t="shared" si="22"/>
        <v>3241.4559976987239</v>
      </c>
      <c r="K184" s="12">
        <f t="shared" si="23"/>
        <v>400.62939297400004</v>
      </c>
    </row>
    <row r="185" spans="2:11" x14ac:dyDescent="0.25">
      <c r="B185" s="10">
        <v>181</v>
      </c>
      <c r="C185" s="21">
        <v>44072</v>
      </c>
      <c r="D185" s="12">
        <f t="shared" si="18"/>
        <v>21659.606237830656</v>
      </c>
      <c r="E185" s="12">
        <f t="shared" si="19"/>
        <v>103697.41358758369</v>
      </c>
      <c r="F185" s="12">
        <f t="shared" si="26"/>
        <v>274695.81235538115</v>
      </c>
      <c r="G185" s="12">
        <f t="shared" si="26"/>
        <v>33951.167819204449</v>
      </c>
      <c r="H185" s="9"/>
      <c r="I185" s="12">
        <f t="shared" si="21"/>
        <v>787.72991902141121</v>
      </c>
      <c r="J185" s="12">
        <f t="shared" si="22"/>
        <v>3158.2627056903593</v>
      </c>
      <c r="K185" s="12">
        <f t="shared" si="23"/>
        <v>390.34707598420209</v>
      </c>
    </row>
    <row r="186" spans="2:11" x14ac:dyDescent="0.25">
      <c r="B186" s="10">
        <v>182</v>
      </c>
      <c r="C186" s="21">
        <v>44073</v>
      </c>
      <c r="D186" s="12">
        <f t="shared" si="18"/>
        <v>20918.509224016991</v>
      </c>
      <c r="E186" s="12">
        <f t="shared" si="19"/>
        <v>100981.9301484779</v>
      </c>
      <c r="F186" s="12">
        <f t="shared" si="26"/>
        <v>277772.16895847948</v>
      </c>
      <c r="G186" s="12">
        <f t="shared" si="26"/>
        <v>34331.391669025586</v>
      </c>
      <c r="H186" s="9"/>
      <c r="I186" s="12">
        <f t="shared" si="21"/>
        <v>741.09701381366403</v>
      </c>
      <c r="J186" s="12">
        <f t="shared" si="22"/>
        <v>3076.3566030983156</v>
      </c>
      <c r="K186" s="12">
        <f t="shared" si="23"/>
        <v>380.22384982114056</v>
      </c>
    </row>
    <row r="187" spans="2:11" x14ac:dyDescent="0.25">
      <c r="B187" s="10">
        <v>183</v>
      </c>
      <c r="C187" s="13">
        <v>44074</v>
      </c>
      <c r="D187" s="12">
        <f t="shared" si="18"/>
        <v>20220.84902937906</v>
      </c>
      <c r="E187" s="12">
        <f t="shared" si="19"/>
        <v>98313.526004833227</v>
      </c>
      <c r="F187" s="12">
        <f t="shared" si="26"/>
        <v>280767.96621955099</v>
      </c>
      <c r="G187" s="12">
        <f t="shared" si="26"/>
        <v>34701.658746236673</v>
      </c>
      <c r="H187" s="9"/>
      <c r="I187" s="12">
        <f t="shared" si="21"/>
        <v>697.66019463792975</v>
      </c>
      <c r="J187" s="12">
        <f t="shared" si="22"/>
        <v>2995.7972610715105</v>
      </c>
      <c r="K187" s="12">
        <f t="shared" si="23"/>
        <v>370.26707721108596</v>
      </c>
    </row>
    <row r="188" spans="2:11" x14ac:dyDescent="0.25">
      <c r="B188" s="10">
        <v>184</v>
      </c>
      <c r="C188" s="21">
        <v>44075</v>
      </c>
      <c r="D188" s="12">
        <f t="shared" si="18"/>
        <v>19563.668430824375</v>
      </c>
      <c r="E188" s="12">
        <f t="shared" si="19"/>
        <v>95693.589069893467</v>
      </c>
      <c r="F188" s="12">
        <f t="shared" si="26"/>
        <v>283684.60082436103</v>
      </c>
      <c r="G188" s="12">
        <f t="shared" si="26"/>
        <v>35062.141674921062</v>
      </c>
      <c r="H188" s="9"/>
      <c r="I188" s="12">
        <f t="shared" si="21"/>
        <v>657.1805985546863</v>
      </c>
      <c r="J188" s="12">
        <f t="shared" si="22"/>
        <v>2916.6346048100522</v>
      </c>
      <c r="K188" s="12">
        <f t="shared" si="23"/>
        <v>360.48292868438881</v>
      </c>
    </row>
    <row r="189" spans="2:11" x14ac:dyDescent="0.25">
      <c r="B189" s="10">
        <v>185</v>
      </c>
      <c r="C189" s="21">
        <v>44076</v>
      </c>
      <c r="D189" s="12">
        <f t="shared" si="18"/>
        <v>18944.230975677376</v>
      </c>
      <c r="E189" s="12">
        <f t="shared" si="19"/>
        <v>93123.24022271068</v>
      </c>
      <c r="F189" s="12">
        <f t="shared" si="26"/>
        <v>286523.51063343452</v>
      </c>
      <c r="G189" s="12">
        <f t="shared" si="26"/>
        <v>35413.018168177339</v>
      </c>
      <c r="H189" s="9"/>
      <c r="I189" s="12">
        <f t="shared" si="21"/>
        <v>619.43745514700061</v>
      </c>
      <c r="J189" s="12">
        <f t="shared" si="22"/>
        <v>2838.909809073506</v>
      </c>
      <c r="K189" s="12">
        <f t="shared" si="23"/>
        <v>350.87649325627638</v>
      </c>
    </row>
    <row r="190" spans="2:11" x14ac:dyDescent="0.25">
      <c r="B190" s="10">
        <v>186</v>
      </c>
      <c r="C190" s="21">
        <v>44077</v>
      </c>
      <c r="D190" s="12">
        <f t="shared" si="18"/>
        <v>18360.004113264451</v>
      </c>
      <c r="E190" s="12">
        <f t="shared" si="19"/>
        <v>90603.359077699919</v>
      </c>
      <c r="F190" s="12">
        <f t="shared" si="26"/>
        <v>289286.16676004161</v>
      </c>
      <c r="G190" s="12">
        <f t="shared" si="26"/>
        <v>35754.470048993942</v>
      </c>
      <c r="H190" s="9"/>
      <c r="I190" s="12">
        <f t="shared" si="21"/>
        <v>584.22686241292479</v>
      </c>
      <c r="J190" s="12">
        <f t="shared" si="22"/>
        <v>2762.6561266070835</v>
      </c>
      <c r="K190" s="12">
        <f t="shared" si="23"/>
        <v>341.45188081660609</v>
      </c>
    </row>
    <row r="191" spans="2:11" x14ac:dyDescent="0.25">
      <c r="B191" s="10">
        <v>187</v>
      </c>
      <c r="C191" s="21">
        <v>44078</v>
      </c>
      <c r="D191" s="12">
        <f t="shared" si="18"/>
        <v>17808.643507736109</v>
      </c>
      <c r="E191" s="12">
        <f t="shared" si="19"/>
        <v>88134.607713971607</v>
      </c>
      <c r="F191" s="12">
        <f t="shared" si="26"/>
        <v>291974.06641268003</v>
      </c>
      <c r="G191" s="12">
        <f t="shared" si="26"/>
        <v>36086.682365612178</v>
      </c>
      <c r="H191" s="9"/>
      <c r="I191" s="12">
        <f t="shared" si="21"/>
        <v>551.36060552833987</v>
      </c>
      <c r="J191" s="12">
        <f t="shared" si="22"/>
        <v>2687.8996526384303</v>
      </c>
      <c r="K191" s="12">
        <f t="shared" si="23"/>
        <v>332.21231661823333</v>
      </c>
    </row>
    <row r="192" spans="2:11" x14ac:dyDescent="0.25">
      <c r="B192" s="10">
        <v>188</v>
      </c>
      <c r="C192" s="21">
        <v>44079</v>
      </c>
      <c r="D192" s="12">
        <f t="shared" si="18"/>
        <v>17287.978480935984</v>
      </c>
      <c r="E192" s="12">
        <f t="shared" si="19"/>
        <v>85717.452483639354</v>
      </c>
      <c r="F192" s="12">
        <f t="shared" si="26"/>
        <v>294588.72644152783</v>
      </c>
      <c r="G192" s="12">
        <f t="shared" si="26"/>
        <v>36409.842593896741</v>
      </c>
      <c r="H192" s="9"/>
      <c r="I192" s="12">
        <f t="shared" si="21"/>
        <v>520.66502680012456</v>
      </c>
      <c r="J192" s="12">
        <f t="shared" si="22"/>
        <v>2614.6600288478239</v>
      </c>
      <c r="K192" s="12">
        <f t="shared" si="23"/>
        <v>323.16022828456283</v>
      </c>
    </row>
    <row r="193" spans="2:11" x14ac:dyDescent="0.25">
      <c r="B193" s="10">
        <v>189</v>
      </c>
      <c r="C193" s="21">
        <v>44080</v>
      </c>
      <c r="D193" s="12">
        <f t="shared" si="18"/>
        <v>16795.998528712298</v>
      </c>
      <c r="E193" s="12">
        <f t="shared" si="19"/>
        <v>83352.184019741733</v>
      </c>
      <c r="F193" s="12">
        <f t="shared" si="26"/>
        <v>297131.67753187579</v>
      </c>
      <c r="G193" s="12">
        <f t="shared" si="26"/>
        <v>36724.139919670088</v>
      </c>
      <c r="H193" s="9"/>
      <c r="I193" s="12">
        <f t="shared" si="21"/>
        <v>491.97995222368496</v>
      </c>
      <c r="J193" s="12">
        <f t="shared" si="22"/>
        <v>2542.9510903479672</v>
      </c>
      <c r="K193" s="12">
        <f t="shared" si="23"/>
        <v>314.2973257733446</v>
      </c>
    </row>
    <row r="194" spans="2:11" x14ac:dyDescent="0.25">
      <c r="B194" s="10">
        <v>190</v>
      </c>
      <c r="C194" s="21">
        <v>44081</v>
      </c>
      <c r="D194" s="12">
        <f t="shared" si="18"/>
        <v>16330.840850938688</v>
      </c>
      <c r="E194" s="12">
        <f t="shared" si="19"/>
        <v>81038.935563523948</v>
      </c>
      <c r="F194" s="12">
        <f t="shared" si="26"/>
        <v>299604.45899112814</v>
      </c>
      <c r="G194" s="12">
        <f t="shared" si="26"/>
        <v>37029.764594409142</v>
      </c>
      <c r="H194" s="9"/>
      <c r="I194" s="12">
        <f t="shared" si="21"/>
        <v>465.15767777361054</v>
      </c>
      <c r="J194" s="12">
        <f t="shared" si="22"/>
        <v>2472.7814592523378</v>
      </c>
      <c r="K194" s="12">
        <f t="shared" si="23"/>
        <v>305.62467473905332</v>
      </c>
    </row>
    <row r="195" spans="2:11" x14ac:dyDescent="0.25">
      <c r="B195" s="10">
        <v>191</v>
      </c>
      <c r="C195" s="21">
        <v>44082</v>
      </c>
      <c r="D195" s="12">
        <f t="shared" si="18"/>
        <v>15890.778834156643</v>
      </c>
      <c r="E195" s="12">
        <f t="shared" si="19"/>
        <v>78777.699728188527</v>
      </c>
      <c r="F195" s="12">
        <f t="shared" si="26"/>
        <v>302008.61407951266</v>
      </c>
      <c r="G195" s="12">
        <f t="shared" si="26"/>
        <v>37326.90735814206</v>
      </c>
      <c r="H195" s="9"/>
      <c r="I195" s="12">
        <f t="shared" si="21"/>
        <v>440.06201678204559</v>
      </c>
      <c r="J195" s="12">
        <f t="shared" si="22"/>
        <v>2404.1550883845434</v>
      </c>
      <c r="K195" s="12">
        <f t="shared" si="23"/>
        <v>297.14276373292142</v>
      </c>
    </row>
    <row r="196" spans="2:11" x14ac:dyDescent="0.25">
      <c r="B196" s="10">
        <v>192</v>
      </c>
      <c r="C196" s="21">
        <v>44083</v>
      </c>
      <c r="D196" s="12">
        <f t="shared" si="18"/>
        <v>15474.211425753681</v>
      </c>
      <c r="E196" s="12">
        <f t="shared" si="19"/>
        <v>76568.343812318548</v>
      </c>
      <c r="F196" s="12">
        <f t="shared" si="26"/>
        <v>304345.68583811558</v>
      </c>
      <c r="G196" s="12">
        <f t="shared" si="26"/>
        <v>37615.758923812085</v>
      </c>
      <c r="H196" s="9"/>
      <c r="I196" s="12">
        <f t="shared" si="21"/>
        <v>416.56740840296226</v>
      </c>
      <c r="J196" s="12">
        <f t="shared" si="22"/>
        <v>2337.0717586029264</v>
      </c>
      <c r="K196" s="12">
        <f t="shared" si="23"/>
        <v>288.85156567002485</v>
      </c>
    </row>
    <row r="197" spans="2:11" x14ac:dyDescent="0.25">
      <c r="B197" s="10">
        <v>193</v>
      </c>
      <c r="C197" s="21">
        <v>44084</v>
      </c>
      <c r="D197" s="12">
        <f t="shared" si="18"/>
        <v>15079.653339610573</v>
      </c>
      <c r="E197" s="12">
        <f t="shared" si="19"/>
        <v>74410.623771384373</v>
      </c>
      <c r="F197" s="12">
        <f t="shared" si="26"/>
        <v>306617.21337121434</v>
      </c>
      <c r="G197" s="12">
        <f t="shared" si="26"/>
        <v>37896.50951779059</v>
      </c>
      <c r="H197" s="9"/>
      <c r="I197" s="12">
        <f t="shared" si="21"/>
        <v>394.55808614310729</v>
      </c>
      <c r="J197" s="12">
        <f t="shared" si="22"/>
        <v>2271.5275330987834</v>
      </c>
      <c r="K197" s="12">
        <f t="shared" si="23"/>
        <v>280.75059397850157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14705.726034914647</v>
      </c>
      <c r="E198" s="12">
        <f t="shared" ref="E198:E204" si="28">E197+I198-J198-K198</f>
        <v>72304.196950367492</v>
      </c>
      <c r="F198" s="12">
        <f t="shared" ref="F198:G204" si="29">F197+J198</f>
        <v>308824.72854309872</v>
      </c>
      <c r="G198" s="12">
        <f t="shared" si="29"/>
        <v>38169.348471619</v>
      </c>
      <c r="H198" s="9"/>
      <c r="I198" s="12">
        <f t="shared" ref="I198:I204" si="30">E197*N$6*D197/SUM(D197:F197)*N$7</f>
        <v>373.92730469592544</v>
      </c>
      <c r="J198" s="12">
        <f t="shared" ref="J198:J204" si="31">E197*N$8/N$5</f>
        <v>2207.5151718844031</v>
      </c>
      <c r="K198" s="12">
        <f t="shared" ref="K198:K204" si="32">E197*N$9/N$5</f>
        <v>272.83895382840961</v>
      </c>
    </row>
    <row r="199" spans="2:11" x14ac:dyDescent="0.25">
      <c r="B199" s="10">
        <v>195</v>
      </c>
      <c r="C199" s="21">
        <v>44086</v>
      </c>
      <c r="D199" s="12">
        <f t="shared" si="27"/>
        <v>14351.149412126357</v>
      </c>
      <c r="E199" s="12">
        <f t="shared" si="28"/>
        <v>70248.633674810189</v>
      </c>
      <c r="F199" s="12">
        <f t="shared" si="29"/>
        <v>310969.75305262627</v>
      </c>
      <c r="G199" s="12">
        <f t="shared" si="29"/>
        <v>38434.463860437012</v>
      </c>
      <c r="H199" s="9"/>
      <c r="I199" s="12">
        <f t="shared" si="30"/>
        <v>354.57662278829082</v>
      </c>
      <c r="J199" s="12">
        <f t="shared" si="31"/>
        <v>2145.0245095275686</v>
      </c>
      <c r="K199" s="12">
        <f t="shared" si="32"/>
        <v>265.11538881801437</v>
      </c>
    </row>
    <row r="200" spans="2:11" x14ac:dyDescent="0.25">
      <c r="B200" s="10">
        <v>196</v>
      </c>
      <c r="C200" s="21">
        <v>44087</v>
      </c>
      <c r="D200" s="12">
        <f t="shared" si="27"/>
        <v>14014.734172730317</v>
      </c>
      <c r="E200" s="12">
        <f t="shared" si="28"/>
        <v>68243.427791712558</v>
      </c>
      <c r="F200" s="12">
        <f t="shared" si="29"/>
        <v>313053.79585164564</v>
      </c>
      <c r="G200" s="12">
        <f t="shared" si="29"/>
        <v>38692.042183911319</v>
      </c>
      <c r="H200" s="9"/>
      <c r="I200" s="12">
        <f t="shared" si="30"/>
        <v>336.41523939603877</v>
      </c>
      <c r="J200" s="12">
        <f t="shared" si="31"/>
        <v>2084.0427990193689</v>
      </c>
      <c r="K200" s="12">
        <f t="shared" si="32"/>
        <v>257.57832347430423</v>
      </c>
    </row>
    <row r="201" spans="2:11" x14ac:dyDescent="0.25">
      <c r="B201" s="10">
        <v>197</v>
      </c>
      <c r="C201" s="21">
        <v>44088</v>
      </c>
      <c r="D201" s="12">
        <f t="shared" si="27"/>
        <v>13695.374792264556</v>
      </c>
      <c r="E201" s="12">
        <f t="shared" si="28"/>
        <v>66288.006245787896</v>
      </c>
      <c r="F201" s="12">
        <f t="shared" si="29"/>
        <v>315078.35087613313</v>
      </c>
      <c r="G201" s="12">
        <f t="shared" si="29"/>
        <v>38942.268085814263</v>
      </c>
      <c r="H201" s="9"/>
      <c r="I201" s="12">
        <f t="shared" si="30"/>
        <v>319.35938046576172</v>
      </c>
      <c r="J201" s="12">
        <f t="shared" si="31"/>
        <v>2024.5550244874723</v>
      </c>
      <c r="K201" s="12">
        <f t="shared" si="32"/>
        <v>250.22590190294625</v>
      </c>
    </row>
    <row r="202" spans="2:11" x14ac:dyDescent="0.25">
      <c r="B202" s="10">
        <v>198</v>
      </c>
      <c r="C202" s="21">
        <v>44089</v>
      </c>
      <c r="D202" s="12">
        <f t="shared" si="27"/>
        <v>13392.043059097823</v>
      </c>
      <c r="E202" s="12">
        <f t="shared" si="28"/>
        <v>64381.737770761705</v>
      </c>
      <c r="F202" s="12">
        <f t="shared" si="29"/>
        <v>317044.89506142482</v>
      </c>
      <c r="G202" s="12">
        <f t="shared" si="29"/>
        <v>39185.324108715482</v>
      </c>
      <c r="H202" s="9"/>
      <c r="I202" s="12">
        <f t="shared" si="30"/>
        <v>303.33173316673299</v>
      </c>
      <c r="J202" s="12">
        <f t="shared" si="31"/>
        <v>1966.5441852917072</v>
      </c>
      <c r="K202" s="12">
        <f t="shared" si="32"/>
        <v>243.05602290122252</v>
      </c>
    </row>
    <row r="203" spans="2:11" x14ac:dyDescent="0.25">
      <c r="B203" s="10">
        <v>199</v>
      </c>
      <c r="C203" s="21">
        <v>44090</v>
      </c>
      <c r="D203" s="12">
        <f t="shared" si="27"/>
        <v>13103.782134434381</v>
      </c>
      <c r="E203" s="12">
        <f t="shared" si="28"/>
        <v>62523.940769733083</v>
      </c>
      <c r="F203" s="12">
        <f t="shared" si="29"/>
        <v>318954.88661529077</v>
      </c>
      <c r="G203" s="12">
        <f t="shared" si="29"/>
        <v>39421.39048054161</v>
      </c>
      <c r="H203" s="9"/>
      <c r="I203" s="12">
        <f t="shared" si="30"/>
        <v>288.26092466344159</v>
      </c>
      <c r="J203" s="12">
        <f t="shared" si="31"/>
        <v>1909.9915538659304</v>
      </c>
      <c r="K203" s="12">
        <f t="shared" si="32"/>
        <v>236.06637182612647</v>
      </c>
    </row>
    <row r="204" spans="2:11" x14ac:dyDescent="0.25">
      <c r="B204" s="20">
        <v>200</v>
      </c>
      <c r="C204" s="21">
        <v>44091</v>
      </c>
      <c r="D204" s="12">
        <f t="shared" si="27"/>
        <v>12829.701092008196</v>
      </c>
      <c r="E204" s="12">
        <f t="shared" si="28"/>
        <v>60713.890453168162</v>
      </c>
      <c r="F204" s="12">
        <f t="shared" si="29"/>
        <v>320809.76352479286</v>
      </c>
      <c r="G204" s="12">
        <f t="shared" si="29"/>
        <v>39650.644930030634</v>
      </c>
      <c r="H204" s="9"/>
      <c r="I204" s="12">
        <f t="shared" si="30"/>
        <v>274.08104242618589</v>
      </c>
      <c r="J204" s="12">
        <f t="shared" si="31"/>
        <v>1854.8769095020812</v>
      </c>
      <c r="K204" s="12">
        <f t="shared" si="32"/>
        <v>229.25444948902151</v>
      </c>
    </row>
    <row r="205" spans="2:11" x14ac:dyDescent="0.25">
      <c r="B205" s="19"/>
      <c r="C205" s="1"/>
      <c r="E205" s="12">
        <f>MAX(E4:E204)</f>
        <v>179344.26745863247</v>
      </c>
      <c r="I205" s="12">
        <f>MAX(I4:I204)</f>
        <v>9667.7698304075238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EA6A9-BB94-4D9D-9FC1-CA36C4982F36}">
  <sheetPr codeName="Hoja14"/>
  <dimension ref="B2:N762"/>
  <sheetViews>
    <sheetView showGridLines="0" workbookViewId="0">
      <selection activeCell="A104" sqref="A104:XFD104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4" t="s">
        <v>26</v>
      </c>
      <c r="E2" s="35"/>
      <c r="F2" s="35"/>
      <c r="G2" s="36"/>
      <c r="I2" s="34" t="s">
        <v>27</v>
      </c>
      <c r="J2" s="35"/>
      <c r="K2" s="36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174426</v>
      </c>
    </row>
    <row r="4" spans="2:14" x14ac:dyDescent="0.25">
      <c r="B4" s="10">
        <v>0</v>
      </c>
      <c r="C4" s="11">
        <v>43891</v>
      </c>
      <c r="D4" s="12">
        <f>N3</f>
        <v>174426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174425.86800075677</v>
      </c>
      <c r="E5" s="12">
        <f>E4+I5-J5-K5</f>
        <v>1.0986659099030922</v>
      </c>
      <c r="F5" s="12">
        <f>F4+J5</f>
        <v>2.9666666666666664E-2</v>
      </c>
      <c r="G5" s="12">
        <f>G4+K5</f>
        <v>3.6666666666666701E-3</v>
      </c>
      <c r="H5" s="9"/>
      <c r="I5" s="12">
        <f>E4*N$6*D4/SUM(D4:F4)*N$7</f>
        <v>0.13199924323642556</v>
      </c>
      <c r="J5" s="12">
        <f>E4*N$8/N$5</f>
        <v>2.9666666666666664E-2</v>
      </c>
      <c r="K5" s="12">
        <f>E4*N$9/N$5</f>
        <v>3.6666666666666701E-3</v>
      </c>
      <c r="M5" s="2" t="s">
        <v>7</v>
      </c>
      <c r="N5" s="18">
        <f>Datos!G3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174425.72297779479</v>
      </c>
      <c r="E6" s="12">
        <f t="shared" ref="E6:E69" si="1">E5+I6-J6-K6</f>
        <v>1.2070666748835717</v>
      </c>
      <c r="F6" s="12">
        <f t="shared" ref="F6:G21" si="2">F5+J6</f>
        <v>6.2260421993791726E-2</v>
      </c>
      <c r="G6" s="12">
        <f t="shared" si="2"/>
        <v>7.6951083363113459E-3</v>
      </c>
      <c r="H6" s="9"/>
      <c r="I6" s="12">
        <f t="shared" ref="I6:I69" si="3">E5*N$6*D5/SUM(D5:F5)*N$7</f>
        <v>0.14502296197724945</v>
      </c>
      <c r="J6" s="12">
        <f t="shared" ref="J6:J69" si="4">E5*N$8/N$5</f>
        <v>3.2593755327125065E-2</v>
      </c>
      <c r="K6" s="12">
        <f t="shared" ref="K6:K69" si="5">E5*N$9/N$5</f>
        <v>4.0284416696446754E-3</v>
      </c>
      <c r="M6" s="2" t="s">
        <v>8</v>
      </c>
      <c r="N6" s="3">
        <f>Datos!G4</f>
        <v>2</v>
      </c>
    </row>
    <row r="7" spans="2:14" x14ac:dyDescent="0.25">
      <c r="B7" s="10">
        <v>3</v>
      </c>
      <c r="C7" s="11">
        <v>43894</v>
      </c>
      <c r="D7" s="12">
        <f t="shared" si="0"/>
        <v>174425.5636461532</v>
      </c>
      <c r="E7" s="12">
        <f t="shared" si="1"/>
        <v>1.3261627606539763</v>
      </c>
      <c r="F7" s="12">
        <f t="shared" si="2"/>
        <v>9.8070066682004353E-2</v>
      </c>
      <c r="G7" s="12">
        <f t="shared" si="2"/>
        <v>1.2121019477551113E-2</v>
      </c>
      <c r="H7" s="9"/>
      <c r="I7" s="12">
        <f t="shared" si="3"/>
        <v>0.15933164159985699</v>
      </c>
      <c r="J7" s="12">
        <f t="shared" si="4"/>
        <v>3.580964468821262E-2</v>
      </c>
      <c r="K7" s="12">
        <f t="shared" si="5"/>
        <v>4.4259111412397667E-3</v>
      </c>
      <c r="M7" s="2" t="s">
        <v>9</v>
      </c>
      <c r="N7" s="4">
        <f>Datos!G5</f>
        <v>6.6000000000000003E-2</v>
      </c>
    </row>
    <row r="8" spans="2:14" x14ac:dyDescent="0.25">
      <c r="B8" s="10">
        <v>4</v>
      </c>
      <c r="C8" s="11">
        <v>43895</v>
      </c>
      <c r="D8" s="12">
        <f t="shared" si="0"/>
        <v>174425.38859409813</v>
      </c>
      <c r="E8" s="12">
        <f t="shared" si="1"/>
        <v>1.4570093903568662</v>
      </c>
      <c r="F8" s="12">
        <f t="shared" si="2"/>
        <v>0.13741289524807232</v>
      </c>
      <c r="G8" s="12">
        <f t="shared" si="2"/>
        <v>1.6983616266615698E-2</v>
      </c>
      <c r="H8" s="9"/>
      <c r="I8" s="12">
        <f t="shared" si="3"/>
        <v>0.1750520550580224</v>
      </c>
      <c r="J8" s="12">
        <f t="shared" si="4"/>
        <v>3.934282856606796E-2</v>
      </c>
      <c r="K8" s="12">
        <f t="shared" si="5"/>
        <v>4.8625967890645848E-3</v>
      </c>
      <c r="M8" s="2" t="s">
        <v>10</v>
      </c>
      <c r="N8" s="5">
        <f>Datos!G6</f>
        <v>0.8899999999999999</v>
      </c>
    </row>
    <row r="9" spans="2:14" x14ac:dyDescent="0.25">
      <c r="B9" s="10">
        <v>5</v>
      </c>
      <c r="C9" s="11">
        <v>43896</v>
      </c>
      <c r="D9" s="12">
        <f t="shared" si="0"/>
        <v>174425.19627061664</v>
      </c>
      <c r="E9" s="12">
        <f t="shared" si="1"/>
        <v>1.6007658921766772</v>
      </c>
      <c r="F9" s="12">
        <f t="shared" si="2"/>
        <v>0.18063750716199267</v>
      </c>
      <c r="G9" s="12">
        <f t="shared" si="2"/>
        <v>2.2325984031257545E-2</v>
      </c>
      <c r="H9" s="9"/>
      <c r="I9" s="12">
        <f t="shared" si="3"/>
        <v>0.19232348149837317</v>
      </c>
      <c r="J9" s="12">
        <f t="shared" si="4"/>
        <v>4.3224611913920359E-2</v>
      </c>
      <c r="K9" s="12">
        <f t="shared" si="5"/>
        <v>5.3423677646418479E-3</v>
      </c>
      <c r="M9" s="2" t="s">
        <v>11</v>
      </c>
      <c r="N9" s="5">
        <f>Datos!G7</f>
        <v>0.1100000000000001</v>
      </c>
    </row>
    <row r="10" spans="2:14" x14ac:dyDescent="0.25">
      <c r="B10" s="10">
        <v>6</v>
      </c>
      <c r="C10" s="11">
        <v>43897</v>
      </c>
      <c r="D10" s="12">
        <f t="shared" si="0"/>
        <v>174424.98497167687</v>
      </c>
      <c r="E10" s="12">
        <f t="shared" si="1"/>
        <v>1.7587059688767399</v>
      </c>
      <c r="F10" s="12">
        <f t="shared" si="2"/>
        <v>0.22812689529656743</v>
      </c>
      <c r="G10" s="12">
        <f t="shared" si="2"/>
        <v>2.8195458969238699E-2</v>
      </c>
      <c r="H10" s="9"/>
      <c r="I10" s="12">
        <f t="shared" si="3"/>
        <v>0.21129893977261857</v>
      </c>
      <c r="J10" s="12">
        <f t="shared" si="4"/>
        <v>4.7489388134574748E-2</v>
      </c>
      <c r="K10" s="12">
        <f t="shared" si="5"/>
        <v>5.8694749379811549E-3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174424.7528251333</v>
      </c>
      <c r="E11" s="12">
        <f t="shared" si="1"/>
        <v>1.9322289801473853</v>
      </c>
      <c r="F11" s="12">
        <f t="shared" si="2"/>
        <v>0.28030183903991068</v>
      </c>
      <c r="G11" s="12">
        <f t="shared" si="2"/>
        <v>3.464404752178675E-2</v>
      </c>
      <c r="H11" s="9"/>
      <c r="I11" s="12">
        <f t="shared" si="3"/>
        <v>0.23214654356653658</v>
      </c>
      <c r="J11" s="12">
        <f t="shared" si="4"/>
        <v>5.2174943743343277E-2</v>
      </c>
      <c r="K11" s="12">
        <f t="shared" si="5"/>
        <v>6.4485885525480523E-3</v>
      </c>
      <c r="M11" s="2" t="s">
        <v>12</v>
      </c>
      <c r="N11" s="7">
        <v>231480</v>
      </c>
    </row>
    <row r="12" spans="2:14" x14ac:dyDescent="0.25">
      <c r="B12" s="10">
        <v>8</v>
      </c>
      <c r="C12" s="11">
        <v>43899</v>
      </c>
      <c r="D12" s="12">
        <f t="shared" si="0"/>
        <v>174424.49777414318</v>
      </c>
      <c r="E12" s="12">
        <f t="shared" si="1"/>
        <v>2.1228723376024252</v>
      </c>
      <c r="F12" s="12">
        <f t="shared" si="2"/>
        <v>0.33762463211761645</v>
      </c>
      <c r="G12" s="12">
        <f t="shared" si="2"/>
        <v>4.1728887115660501E-2</v>
      </c>
      <c r="H12" s="9"/>
      <c r="I12" s="12">
        <f t="shared" si="3"/>
        <v>0.25505099012661958</v>
      </c>
      <c r="J12" s="12">
        <f t="shared" si="4"/>
        <v>5.7322793077705755E-2</v>
      </c>
      <c r="K12" s="12">
        <f t="shared" si="5"/>
        <v>7.0848395938737522E-3</v>
      </c>
      <c r="M12" s="2" t="s">
        <v>13</v>
      </c>
      <c r="N12" s="7">
        <f>SUM(J5:J204)</f>
        <v>135119.78942011134</v>
      </c>
    </row>
    <row r="13" spans="2:14" x14ac:dyDescent="0.25">
      <c r="B13" s="10">
        <v>9</v>
      </c>
      <c r="C13" s="11">
        <v>43900</v>
      </c>
      <c r="D13" s="12">
        <f t="shared" si="0"/>
        <v>174424.21755894745</v>
      </c>
      <c r="E13" s="12">
        <f t="shared" si="1"/>
        <v>2.3323251220925498</v>
      </c>
      <c r="F13" s="12">
        <f t="shared" si="2"/>
        <v>0.40060317813315505</v>
      </c>
      <c r="G13" s="12">
        <f t="shared" si="2"/>
        <v>4.9512752353536069E-2</v>
      </c>
      <c r="H13" s="9"/>
      <c r="I13" s="12">
        <f t="shared" si="3"/>
        <v>0.28021519574353904</v>
      </c>
      <c r="J13" s="12">
        <f t="shared" si="4"/>
        <v>6.2978546015538608E-2</v>
      </c>
      <c r="K13" s="12">
        <f t="shared" si="5"/>
        <v>7.7838652378755665E-3</v>
      </c>
      <c r="M13" s="2" t="s">
        <v>14</v>
      </c>
      <c r="N13" s="7">
        <f>SUM(K5:K204)</f>
        <v>16700.198692373331</v>
      </c>
    </row>
    <row r="14" spans="2:14" x14ac:dyDescent="0.25">
      <c r="B14" s="10">
        <v>10</v>
      </c>
      <c r="C14" s="11">
        <v>43901</v>
      </c>
      <c r="D14" s="12">
        <f t="shared" si="0"/>
        <v>174423.909696855</v>
      </c>
      <c r="E14" s="12">
        <f t="shared" si="1"/>
        <v>2.5624430438014336</v>
      </c>
      <c r="F14" s="12">
        <f t="shared" si="2"/>
        <v>0.46979549008856736</v>
      </c>
      <c r="G14" s="12">
        <f t="shared" si="2"/>
        <v>5.8064611134542095E-2</v>
      </c>
      <c r="H14" s="9"/>
      <c r="I14" s="12">
        <f t="shared" si="3"/>
        <v>0.30786209244530216</v>
      </c>
      <c r="J14" s="12">
        <f t="shared" si="4"/>
        <v>6.9192311955412311E-2</v>
      </c>
      <c r="K14" s="12">
        <f t="shared" si="5"/>
        <v>8.5518587810060245E-3</v>
      </c>
      <c r="M14" s="2" t="s">
        <v>15</v>
      </c>
      <c r="N14" s="7">
        <f>SUM(D4:G4)-N11</f>
        <v>-57053</v>
      </c>
    </row>
    <row r="15" spans="2:14" x14ac:dyDescent="0.25">
      <c r="B15" s="10">
        <v>11</v>
      </c>
      <c r="C15" s="11">
        <v>43902</v>
      </c>
      <c r="D15" s="12">
        <f t="shared" si="0"/>
        <v>174423.57146025324</v>
      </c>
      <c r="E15" s="12">
        <f t="shared" si="1"/>
        <v>2.8152648774480897</v>
      </c>
      <c r="F15" s="12">
        <f t="shared" si="2"/>
        <v>0.5458146337213432</v>
      </c>
      <c r="G15" s="12">
        <f t="shared" si="2"/>
        <v>6.7460235628480691E-2</v>
      </c>
      <c r="H15" s="9"/>
      <c r="I15" s="12">
        <f t="shared" si="3"/>
        <v>0.33823660177337034</v>
      </c>
      <c r="J15" s="12">
        <f t="shared" si="4"/>
        <v>7.6019143632775857E-2</v>
      </c>
      <c r="K15" s="12">
        <f t="shared" si="5"/>
        <v>9.3956244939385983E-3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174423.19985245017</v>
      </c>
      <c r="E16" s="12">
        <f t="shared" si="1"/>
        <v>3.0930305179408744</v>
      </c>
      <c r="F16" s="12">
        <f t="shared" si="2"/>
        <v>0.62933415841896989</v>
      </c>
      <c r="G16" s="12">
        <f t="shared" si="2"/>
        <v>7.7782873512457024E-2</v>
      </c>
      <c r="H16" s="9"/>
      <c r="I16" s="12">
        <f t="shared" si="3"/>
        <v>0.37160780307438757</v>
      </c>
      <c r="J16" s="12">
        <f t="shared" si="4"/>
        <v>8.3519524697626649E-2</v>
      </c>
      <c r="K16" s="12">
        <f t="shared" si="5"/>
        <v>1.0322637883976337E-2</v>
      </c>
      <c r="M16" s="2" t="s">
        <v>16</v>
      </c>
      <c r="N16" s="7">
        <f>MAX(E4:E204)</f>
        <v>72089.710998955896</v>
      </c>
    </row>
    <row r="17" spans="2:14" x14ac:dyDescent="0.25">
      <c r="B17" s="10">
        <v>13</v>
      </c>
      <c r="C17" s="11">
        <v>43904</v>
      </c>
      <c r="D17" s="12">
        <f t="shared" si="0"/>
        <v>174422.79158113472</v>
      </c>
      <c r="E17" s="12">
        <f t="shared" si="1"/>
        <v>3.398200816128178</v>
      </c>
      <c r="F17" s="12">
        <f t="shared" si="2"/>
        <v>0.7210940637845491</v>
      </c>
      <c r="G17" s="12">
        <f t="shared" si="2"/>
        <v>8.912398541157357E-2</v>
      </c>
      <c r="H17" s="9"/>
      <c r="I17" s="12">
        <f t="shared" si="3"/>
        <v>0.40827131545199907</v>
      </c>
      <c r="J17" s="12">
        <f t="shared" si="4"/>
        <v>9.1759905365579264E-2</v>
      </c>
      <c r="K17" s="12">
        <f t="shared" si="5"/>
        <v>1.134111189911655E-2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174422.34302922033</v>
      </c>
      <c r="E18" s="12">
        <f t="shared" si="1"/>
        <v>3.7334793699928532</v>
      </c>
      <c r="F18" s="12">
        <f t="shared" si="2"/>
        <v>0.82190735466301834</v>
      </c>
      <c r="G18" s="12">
        <f t="shared" si="2"/>
        <v>0.10158405507071024</v>
      </c>
      <c r="H18" s="9"/>
      <c r="I18" s="12">
        <f t="shared" si="3"/>
        <v>0.44855191440228132</v>
      </c>
      <c r="J18" s="12">
        <f t="shared" si="4"/>
        <v>0.10081329087846927</v>
      </c>
      <c r="K18" s="12">
        <f t="shared" si="5"/>
        <v>1.2460069659136663E-2</v>
      </c>
      <c r="M18" s="2" t="s">
        <v>17</v>
      </c>
      <c r="N18" s="7">
        <f>MAX(I5:I204)</f>
        <v>3887.3575877719068</v>
      </c>
    </row>
    <row r="19" spans="2:14" x14ac:dyDescent="0.25">
      <c r="B19" s="10">
        <v>15</v>
      </c>
      <c r="C19" s="11">
        <v>43906</v>
      </c>
      <c r="D19" s="12">
        <f t="shared" si="0"/>
        <v>174421.8502228141</v>
      </c>
      <c r="E19" s="12">
        <f t="shared" si="1"/>
        <v>4.1018364638784472</v>
      </c>
      <c r="F19" s="12">
        <f t="shared" si="2"/>
        <v>0.93266724263947298</v>
      </c>
      <c r="G19" s="12">
        <f t="shared" si="2"/>
        <v>0.11527347942735071</v>
      </c>
      <c r="H19" s="9"/>
      <c r="I19" s="12">
        <f t="shared" si="3"/>
        <v>0.49280640621868932</v>
      </c>
      <c r="J19" s="12">
        <f t="shared" si="4"/>
        <v>0.11075988797645464</v>
      </c>
      <c r="K19" s="12">
        <f t="shared" si="5"/>
        <v>1.3689424356640474E-2</v>
      </c>
      <c r="M19" s="2" t="s">
        <v>18</v>
      </c>
      <c r="N19" s="7">
        <f>MAX(J5:J204)</f>
        <v>2138.661426302358</v>
      </c>
    </row>
    <row r="20" spans="2:14" x14ac:dyDescent="0.25">
      <c r="B20" s="10">
        <v>16</v>
      </c>
      <c r="C20" s="11">
        <v>43907</v>
      </c>
      <c r="D20" s="12">
        <f t="shared" si="0"/>
        <v>174421.30879602858</v>
      </c>
      <c r="E20" s="12">
        <f t="shared" si="1"/>
        <v>4.5065353672650126</v>
      </c>
      <c r="F20" s="12">
        <f t="shared" si="2"/>
        <v>1.0543550577345335</v>
      </c>
      <c r="G20" s="12">
        <f t="shared" si="2"/>
        <v>0.1303135464615717</v>
      </c>
      <c r="H20" s="9"/>
      <c r="I20" s="12">
        <f t="shared" si="3"/>
        <v>0.54142678551584622</v>
      </c>
      <c r="J20" s="12">
        <f t="shared" si="4"/>
        <v>0.12168781509506059</v>
      </c>
      <c r="K20" s="12">
        <f t="shared" si="5"/>
        <v>1.5040067034220986E-2</v>
      </c>
      <c r="M20" s="2" t="s">
        <v>19</v>
      </c>
      <c r="N20" s="7">
        <f>MAX(K5:K204)</f>
        <v>264.3289403295052</v>
      </c>
    </row>
    <row r="21" spans="2:14" x14ac:dyDescent="0.25">
      <c r="B21" s="10">
        <v>17</v>
      </c>
      <c r="C21" s="11">
        <v>43908</v>
      </c>
      <c r="D21" s="12">
        <f t="shared" si="0"/>
        <v>174420.71395232488</v>
      </c>
      <c r="E21" s="12">
        <f t="shared" si="1"/>
        <v>4.951161225394757</v>
      </c>
      <c r="F21" s="12">
        <f t="shared" si="2"/>
        <v>1.1880489402967289</v>
      </c>
      <c r="G21" s="12">
        <f t="shared" si="2"/>
        <v>0.14683750947487675</v>
      </c>
      <c r="H21" s="9"/>
      <c r="I21" s="12">
        <f t="shared" si="3"/>
        <v>0.59484370370524431</v>
      </c>
      <c r="J21" s="12">
        <f t="shared" si="4"/>
        <v>0.13369388256219536</v>
      </c>
      <c r="K21" s="12">
        <f t="shared" si="5"/>
        <v>1.6523963013305061E-2</v>
      </c>
    </row>
    <row r="22" spans="2:14" x14ac:dyDescent="0.25">
      <c r="B22" s="10">
        <v>18</v>
      </c>
      <c r="C22" s="11">
        <v>43909</v>
      </c>
      <c r="D22" s="12">
        <f t="shared" si="0"/>
        <v>174420.06042204591</v>
      </c>
      <c r="E22" s="12">
        <f t="shared" si="1"/>
        <v>5.439652796862755</v>
      </c>
      <c r="F22" s="12">
        <f t="shared" ref="F22:G37" si="6">F21+J22</f>
        <v>1.3349333899834401</v>
      </c>
      <c r="G22" s="12">
        <f t="shared" si="6"/>
        <v>0.1649917673013242</v>
      </c>
      <c r="H22" s="9"/>
      <c r="I22" s="12">
        <f t="shared" si="3"/>
        <v>0.65353027898115612</v>
      </c>
      <c r="J22" s="12">
        <f t="shared" si="4"/>
        <v>0.1468844496867111</v>
      </c>
      <c r="K22" s="12">
        <f t="shared" si="5"/>
        <v>1.8154257826447459E-2</v>
      </c>
    </row>
    <row r="23" spans="2:14" x14ac:dyDescent="0.25">
      <c r="B23" s="10">
        <v>19</v>
      </c>
      <c r="C23" s="11">
        <v>43910</v>
      </c>
      <c r="D23" s="12">
        <f t="shared" si="0"/>
        <v>174419.34241576455</v>
      </c>
      <c r="E23" s="12">
        <f t="shared" si="1"/>
        <v>5.9763373183321447</v>
      </c>
      <c r="F23" s="12">
        <f t="shared" si="6"/>
        <v>1.4963097562903684</v>
      </c>
      <c r="G23" s="12">
        <f t="shared" si="6"/>
        <v>0.18493716088982098</v>
      </c>
      <c r="H23" s="9"/>
      <c r="I23" s="12">
        <f t="shared" si="3"/>
        <v>0.71800628136481515</v>
      </c>
      <c r="J23" s="12">
        <f t="shared" si="4"/>
        <v>0.16137636630692839</v>
      </c>
      <c r="K23" s="12">
        <f t="shared" si="5"/>
        <v>1.9945393588496785E-2</v>
      </c>
    </row>
    <row r="24" spans="2:14" x14ac:dyDescent="0.25">
      <c r="B24" s="10">
        <v>20</v>
      </c>
      <c r="C24" s="11">
        <v>43911</v>
      </c>
      <c r="D24" s="12">
        <f t="shared" si="0"/>
        <v>174418.55357303491</v>
      </c>
      <c r="E24" s="12">
        <f t="shared" si="1"/>
        <v>6.5659688040221917</v>
      </c>
      <c r="F24" s="12">
        <f t="shared" si="6"/>
        <v>1.6736077634008888</v>
      </c>
      <c r="G24" s="12">
        <f t="shared" si="6"/>
        <v>0.20685039772370553</v>
      </c>
      <c r="H24" s="9"/>
      <c r="I24" s="12">
        <f t="shared" si="3"/>
        <v>0.7888427296344519</v>
      </c>
      <c r="J24" s="12">
        <f t="shared" si="4"/>
        <v>0.17729800711052027</v>
      </c>
      <c r="K24" s="12">
        <f t="shared" si="5"/>
        <v>2.1913236833884551E-2</v>
      </c>
    </row>
    <row r="25" spans="2:14" x14ac:dyDescent="0.25">
      <c r="B25" s="10">
        <v>21</v>
      </c>
      <c r="C25" s="11">
        <v>43912</v>
      </c>
      <c r="D25" s="12">
        <f t="shared" si="0"/>
        <v>174417.68690609434</v>
      </c>
      <c r="E25" s="12">
        <f t="shared" si="1"/>
        <v>7.2137701177869973</v>
      </c>
      <c r="F25" s="12">
        <f t="shared" si="6"/>
        <v>1.8683981712535471</v>
      </c>
      <c r="G25" s="12">
        <f t="shared" si="6"/>
        <v>0.23092561667178693</v>
      </c>
      <c r="H25" s="9"/>
      <c r="I25" s="12">
        <f t="shared" si="3"/>
        <v>0.86666694056554561</v>
      </c>
      <c r="J25" s="12">
        <f t="shared" si="4"/>
        <v>0.19479040785265836</v>
      </c>
      <c r="K25" s="12">
        <f t="shared" si="5"/>
        <v>2.407521894808139E-2</v>
      </c>
    </row>
    <row r="26" spans="2:14" x14ac:dyDescent="0.25">
      <c r="B26" s="10">
        <v>22</v>
      </c>
      <c r="C26" s="11">
        <v>43913</v>
      </c>
      <c r="D26" s="12">
        <f t="shared" si="0"/>
        <v>174416.7347380195</v>
      </c>
      <c r="E26" s="12">
        <f t="shared" si="1"/>
        <v>7.9254791887104474</v>
      </c>
      <c r="F26" s="12">
        <f t="shared" si="6"/>
        <v>2.0824066847478946</v>
      </c>
      <c r="G26" s="12">
        <f t="shared" si="6"/>
        <v>0.25737610710367259</v>
      </c>
      <c r="H26" s="9"/>
      <c r="I26" s="12">
        <f t="shared" si="3"/>
        <v>0.95216807484968358</v>
      </c>
      <c r="J26" s="12">
        <f t="shared" si="4"/>
        <v>0.21400851349434757</v>
      </c>
      <c r="K26" s="12">
        <f t="shared" si="5"/>
        <v>2.645049043188568E-2</v>
      </c>
    </row>
    <row r="27" spans="2:14" x14ac:dyDescent="0.25">
      <c r="B27" s="10">
        <v>23</v>
      </c>
      <c r="C27" s="11">
        <v>43914</v>
      </c>
      <c r="D27" s="12">
        <f t="shared" si="0"/>
        <v>174415.68863479112</v>
      </c>
      <c r="E27" s="12">
        <f t="shared" si="1"/>
        <v>8.7073997774711618</v>
      </c>
      <c r="F27" s="12">
        <f t="shared" si="6"/>
        <v>2.3175292340129712</v>
      </c>
      <c r="G27" s="12">
        <f t="shared" si="6"/>
        <v>0.28643619746227761</v>
      </c>
      <c r="H27" s="9"/>
      <c r="I27" s="12">
        <f t="shared" si="3"/>
        <v>1.0461032283843958</v>
      </c>
      <c r="J27" s="12">
        <f t="shared" si="4"/>
        <v>0.23512254926507659</v>
      </c>
      <c r="K27" s="12">
        <f t="shared" si="5"/>
        <v>2.9060090358605E-2</v>
      </c>
    </row>
    <row r="28" spans="2:14" x14ac:dyDescent="0.25">
      <c r="B28" s="10">
        <v>24</v>
      </c>
      <c r="C28" s="11">
        <v>43915</v>
      </c>
      <c r="D28" s="12">
        <f t="shared" si="0"/>
        <v>174414.53933066875</v>
      </c>
      <c r="E28" s="12">
        <f t="shared" si="1"/>
        <v>9.5664572405879404</v>
      </c>
      <c r="F28" s="12">
        <f t="shared" si="6"/>
        <v>2.5758487607446154</v>
      </c>
      <c r="G28" s="12">
        <f t="shared" si="6"/>
        <v>0.31836332997967187</v>
      </c>
      <c r="H28" s="9"/>
      <c r="I28" s="12">
        <f t="shared" si="3"/>
        <v>1.1493041223658169</v>
      </c>
      <c r="J28" s="12">
        <f t="shared" si="4"/>
        <v>0.25831952673164443</v>
      </c>
      <c r="K28" s="12">
        <f t="shared" si="5"/>
        <v>3.1927132517394291E-2</v>
      </c>
    </row>
    <row r="29" spans="2:14" x14ac:dyDescent="0.25">
      <c r="B29" s="10">
        <v>25</v>
      </c>
      <c r="C29" s="11">
        <v>43916</v>
      </c>
      <c r="D29" s="12">
        <f t="shared" si="0"/>
        <v>174413.27664621794</v>
      </c>
      <c r="E29" s="12">
        <f t="shared" si="1"/>
        <v>10.510259783378096</v>
      </c>
      <c r="F29" s="12">
        <f t="shared" si="6"/>
        <v>2.8596536588820576</v>
      </c>
      <c r="G29" s="12">
        <f t="shared" si="6"/>
        <v>0.35344033986182766</v>
      </c>
      <c r="H29" s="9"/>
      <c r="I29" s="12">
        <f t="shared" si="3"/>
        <v>1.2626844508097543</v>
      </c>
      <c r="J29" s="12">
        <f t="shared" si="4"/>
        <v>0.28380489813744225</v>
      </c>
      <c r="K29" s="12">
        <f t="shared" si="5"/>
        <v>3.5077009882155813E-2</v>
      </c>
    </row>
    <row r="30" spans="2:14" x14ac:dyDescent="0.25">
      <c r="B30" s="10">
        <v>26</v>
      </c>
      <c r="C30" s="11">
        <v>43917</v>
      </c>
      <c r="D30" s="12">
        <f t="shared" si="0"/>
        <v>174411.88939826813</v>
      </c>
      <c r="E30" s="12">
        <f t="shared" si="1"/>
        <v>11.54716574041556</v>
      </c>
      <c r="F30" s="12">
        <f t="shared" si="6"/>
        <v>3.1714580324556079</v>
      </c>
      <c r="G30" s="12">
        <f t="shared" si="6"/>
        <v>0.3919779590675474</v>
      </c>
      <c r="H30" s="9"/>
      <c r="I30" s="12">
        <f t="shared" si="3"/>
        <v>1.3872479498167325</v>
      </c>
      <c r="J30" s="12">
        <f t="shared" si="4"/>
        <v>0.31180437357355018</v>
      </c>
      <c r="K30" s="12">
        <f t="shared" si="5"/>
        <v>3.8537619205719721E-2</v>
      </c>
    </row>
    <row r="31" spans="2:14" x14ac:dyDescent="0.25">
      <c r="B31" s="10">
        <v>27</v>
      </c>
      <c r="C31" s="11">
        <v>43918</v>
      </c>
      <c r="D31" s="12">
        <f t="shared" si="0"/>
        <v>174410.36530100901</v>
      </c>
      <c r="E31" s="12">
        <f t="shared" si="1"/>
        <v>12.686357474863517</v>
      </c>
      <c r="F31" s="12">
        <f t="shared" si="6"/>
        <v>3.5140239494212695</v>
      </c>
      <c r="G31" s="12">
        <f t="shared" si="6"/>
        <v>0.43431756678240452</v>
      </c>
      <c r="H31" s="9"/>
      <c r="I31" s="12">
        <f t="shared" si="3"/>
        <v>1.5240972591284749</v>
      </c>
      <c r="J31" s="12">
        <f t="shared" si="4"/>
        <v>0.34256591696566152</v>
      </c>
      <c r="K31" s="12">
        <f t="shared" si="5"/>
        <v>4.2339607714857092E-2</v>
      </c>
    </row>
    <row r="32" spans="2:14" x14ac:dyDescent="0.25">
      <c r="B32" s="10">
        <v>28</v>
      </c>
      <c r="C32" s="11">
        <v>43919</v>
      </c>
      <c r="D32" s="12">
        <f t="shared" si="0"/>
        <v>174408.69085735566</v>
      </c>
      <c r="E32" s="12">
        <f t="shared" si="1"/>
        <v>13.937922545714571</v>
      </c>
      <c r="F32" s="12">
        <f t="shared" si="6"/>
        <v>3.8903858878422204</v>
      </c>
      <c r="G32" s="12">
        <f t="shared" si="6"/>
        <v>0.48083421085690414</v>
      </c>
      <c r="H32" s="9"/>
      <c r="I32" s="12">
        <f t="shared" si="3"/>
        <v>1.6744436533465035</v>
      </c>
      <c r="J32" s="12">
        <f t="shared" si="4"/>
        <v>0.37636193842095095</v>
      </c>
      <c r="K32" s="12">
        <f t="shared" si="5"/>
        <v>4.6516644074499604E-2</v>
      </c>
    </row>
    <row r="33" spans="2:11" x14ac:dyDescent="0.25">
      <c r="B33" s="10">
        <v>29</v>
      </c>
      <c r="C33" s="11">
        <v>43920</v>
      </c>
      <c r="D33" s="12">
        <f t="shared" si="0"/>
        <v>174406.85123962801</v>
      </c>
      <c r="E33" s="12">
        <f t="shared" si="1"/>
        <v>15.312942855175686</v>
      </c>
      <c r="F33" s="12">
        <f t="shared" si="6"/>
        <v>4.3038775900317523</v>
      </c>
      <c r="G33" s="12">
        <f t="shared" si="6"/>
        <v>0.53193992685785763</v>
      </c>
      <c r="H33" s="9"/>
      <c r="I33" s="12">
        <f t="shared" si="3"/>
        <v>1.8396177276516013</v>
      </c>
      <c r="J33" s="12">
        <f t="shared" si="4"/>
        <v>0.41349170218953218</v>
      </c>
      <c r="K33" s="12">
        <f t="shared" si="5"/>
        <v>5.1105716000953469E-2</v>
      </c>
    </row>
    <row r="34" spans="2:11" x14ac:dyDescent="0.25">
      <c r="B34" s="10">
        <v>30</v>
      </c>
      <c r="C34" s="13">
        <v>43921</v>
      </c>
      <c r="D34" s="12">
        <f t="shared" si="0"/>
        <v>174404.83015849697</v>
      </c>
      <c r="E34" s="12">
        <f t="shared" si="1"/>
        <v>16.823592557703314</v>
      </c>
      <c r="F34" s="12">
        <f t="shared" si="6"/>
        <v>4.7581615614019643</v>
      </c>
      <c r="G34" s="12">
        <f t="shared" si="6"/>
        <v>0.58808738399350191</v>
      </c>
      <c r="H34" s="9"/>
      <c r="I34" s="12">
        <f t="shared" si="3"/>
        <v>2.0210811310334846</v>
      </c>
      <c r="J34" s="12">
        <f t="shared" si="4"/>
        <v>0.45428397137021198</v>
      </c>
      <c r="K34" s="12">
        <f t="shared" si="5"/>
        <v>5.6147457135644237E-2</v>
      </c>
    </row>
    <row r="35" spans="2:11" x14ac:dyDescent="0.25">
      <c r="B35" s="10">
        <v>31</v>
      </c>
      <c r="C35" s="11">
        <v>43922</v>
      </c>
      <c r="D35" s="12">
        <f t="shared" si="0"/>
        <v>174402.60971904799</v>
      </c>
      <c r="E35" s="12">
        <f t="shared" si="1"/>
        <v>18.483245588088714</v>
      </c>
      <c r="F35" s="12">
        <f t="shared" si="6"/>
        <v>5.257261473947163</v>
      </c>
      <c r="G35" s="12">
        <f t="shared" si="6"/>
        <v>0.64977389003841413</v>
      </c>
      <c r="H35" s="9"/>
      <c r="I35" s="12">
        <f t="shared" si="3"/>
        <v>2.2204394489755068</v>
      </c>
      <c r="J35" s="12">
        <f t="shared" si="4"/>
        <v>0.49909991254519831</v>
      </c>
      <c r="K35" s="12">
        <f t="shared" si="5"/>
        <v>6.1686506044912208E-2</v>
      </c>
    </row>
    <row r="36" spans="2:11" x14ac:dyDescent="0.25">
      <c r="B36" s="10">
        <v>32</v>
      </c>
      <c r="C36" s="11">
        <v>43923</v>
      </c>
      <c r="D36" s="12">
        <f t="shared" si="0"/>
        <v>174400.17026270067</v>
      </c>
      <c r="E36" s="12">
        <f t="shared" si="1"/>
        <v>20.306593749125526</v>
      </c>
      <c r="F36" s="12">
        <f t="shared" si="6"/>
        <v>5.805597759727128</v>
      </c>
      <c r="G36" s="12">
        <f t="shared" si="6"/>
        <v>0.71754579052807277</v>
      </c>
      <c r="H36" s="9"/>
      <c r="I36" s="12">
        <f t="shared" si="3"/>
        <v>2.4394563473064346</v>
      </c>
      <c r="J36" s="12">
        <f t="shared" si="4"/>
        <v>0.54833628577996518</v>
      </c>
      <c r="K36" s="12">
        <f t="shared" si="5"/>
        <v>6.7771900489658671E-2</v>
      </c>
    </row>
    <row r="37" spans="2:11" x14ac:dyDescent="0.25">
      <c r="B37" s="10">
        <v>33</v>
      </c>
      <c r="C37" s="11">
        <v>43924</v>
      </c>
      <c r="D37" s="12">
        <f t="shared" si="0"/>
        <v>174397.49019360109</v>
      </c>
      <c r="E37" s="12">
        <f t="shared" si="1"/>
        <v>22.309776390423437</v>
      </c>
      <c r="F37" s="12">
        <f t="shared" si="6"/>
        <v>6.4080267076178519</v>
      </c>
      <c r="G37" s="12">
        <f t="shared" si="6"/>
        <v>0.79200330094153304</v>
      </c>
      <c r="H37" s="9"/>
      <c r="I37" s="12">
        <f t="shared" si="3"/>
        <v>2.6800690996020951</v>
      </c>
      <c r="J37" s="12">
        <f t="shared" si="4"/>
        <v>0.60242894789072388</v>
      </c>
      <c r="K37" s="12">
        <f t="shared" si="5"/>
        <v>7.4457510413460326E-2</v>
      </c>
    </row>
    <row r="38" spans="2:11" x14ac:dyDescent="0.25">
      <c r="B38" s="10">
        <v>34</v>
      </c>
      <c r="C38" s="11">
        <v>43925</v>
      </c>
      <c r="D38" s="12">
        <f t="shared" si="0"/>
        <v>174394.54578796891</v>
      </c>
      <c r="E38" s="12">
        <f t="shared" si="1"/>
        <v>24.510522809580145</v>
      </c>
      <c r="F38" s="12">
        <f t="shared" ref="F38:G53" si="7">F37+J38</f>
        <v>7.0698834072004137</v>
      </c>
      <c r="G38" s="12">
        <f t="shared" si="7"/>
        <v>0.87380581437308569</v>
      </c>
      <c r="H38" s="9"/>
      <c r="I38" s="12">
        <f t="shared" si="3"/>
        <v>2.9444056321708216</v>
      </c>
      <c r="J38" s="12">
        <f t="shared" si="4"/>
        <v>0.66185669958256199</v>
      </c>
      <c r="K38" s="12">
        <f t="shared" si="5"/>
        <v>8.1802513431552676E-2</v>
      </c>
    </row>
    <row r="39" spans="2:11" x14ac:dyDescent="0.25">
      <c r="B39" s="10">
        <v>35</v>
      </c>
      <c r="C39" s="11">
        <v>43926</v>
      </c>
      <c r="D39" s="12">
        <f t="shared" si="0"/>
        <v>174391.31098473552</v>
      </c>
      <c r="E39" s="12">
        <f t="shared" si="1"/>
        <v>26.928308615963907</v>
      </c>
      <c r="F39" s="12">
        <f t="shared" si="7"/>
        <v>7.7970289172179577</v>
      </c>
      <c r="G39" s="12">
        <f t="shared" si="7"/>
        <v>0.96367773134154633</v>
      </c>
      <c r="H39" s="9"/>
      <c r="I39" s="12">
        <f t="shared" si="3"/>
        <v>3.2348032333697638</v>
      </c>
      <c r="J39" s="12">
        <f t="shared" si="4"/>
        <v>0.72714551001754424</v>
      </c>
      <c r="K39" s="12">
        <f t="shared" si="5"/>
        <v>8.9871916968460613E-2</v>
      </c>
    </row>
    <row r="40" spans="2:11" x14ac:dyDescent="0.25">
      <c r="B40" s="10">
        <v>36</v>
      </c>
      <c r="C40" s="11">
        <v>43927</v>
      </c>
      <c r="D40" s="12">
        <f t="shared" si="0"/>
        <v>174387.75715564768</v>
      </c>
      <c r="E40" s="12">
        <f t="shared" si="1"/>
        <v>29.584527416626312</v>
      </c>
      <c r="F40" s="12">
        <f t="shared" si="7"/>
        <v>8.5959020728248863</v>
      </c>
      <c r="G40" s="12">
        <f t="shared" si="7"/>
        <v>1.062414862933414</v>
      </c>
      <c r="H40" s="9"/>
      <c r="I40" s="12">
        <f t="shared" si="3"/>
        <v>3.5538290878612036</v>
      </c>
      <c r="J40" s="12">
        <f t="shared" si="4"/>
        <v>0.79887315560692906</v>
      </c>
      <c r="K40" s="12">
        <f t="shared" si="5"/>
        <v>9.8737131591867741E-2</v>
      </c>
    </row>
    <row r="41" spans="2:11" x14ac:dyDescent="0.25">
      <c r="B41" s="10">
        <v>37</v>
      </c>
      <c r="C41" s="11">
        <v>43928</v>
      </c>
      <c r="D41" s="12">
        <f t="shared" si="0"/>
        <v>174383.85285283616</v>
      </c>
      <c r="E41" s="12">
        <f t="shared" si="1"/>
        <v>32.502679314259389</v>
      </c>
      <c r="F41" s="12">
        <f t="shared" si="7"/>
        <v>9.4735763861847992</v>
      </c>
      <c r="G41" s="12">
        <f t="shared" si="7"/>
        <v>1.1708914634610439</v>
      </c>
      <c r="H41" s="9"/>
      <c r="I41" s="12">
        <f t="shared" si="3"/>
        <v>3.9043028115206164</v>
      </c>
      <c r="J41" s="12">
        <f t="shared" si="4"/>
        <v>0.87767431335991375</v>
      </c>
      <c r="K41" s="12">
        <f t="shared" si="5"/>
        <v>0.1084766005276299</v>
      </c>
    </row>
    <row r="42" spans="2:11" x14ac:dyDescent="0.25">
      <c r="B42" s="10">
        <v>38</v>
      </c>
      <c r="C42" s="11">
        <v>43929</v>
      </c>
      <c r="D42" s="12">
        <f t="shared" si="0"/>
        <v>174379.56353165701</v>
      </c>
      <c r="E42" s="12">
        <f t="shared" si="1"/>
        <v>35.708577849598285</v>
      </c>
      <c r="F42" s="12">
        <f t="shared" si="7"/>
        <v>10.437822539174494</v>
      </c>
      <c r="G42" s="12">
        <f t="shared" si="7"/>
        <v>1.2900679542799951</v>
      </c>
      <c r="H42" s="9"/>
      <c r="I42" s="12">
        <f t="shared" si="3"/>
        <v>4.289321179147545</v>
      </c>
      <c r="J42" s="12">
        <f t="shared" si="4"/>
        <v>0.96424615298969507</v>
      </c>
      <c r="K42" s="12">
        <f t="shared" si="5"/>
        <v>0.11917649081895119</v>
      </c>
    </row>
    <row r="43" spans="2:11" x14ac:dyDescent="0.25">
      <c r="B43" s="10">
        <v>39</v>
      </c>
      <c r="C43" s="11">
        <v>43930</v>
      </c>
      <c r="D43" s="12">
        <f t="shared" si="0"/>
        <v>174374.85124640202</v>
      </c>
      <c r="E43" s="12">
        <f t="shared" si="1"/>
        <v>39.23057717628523</v>
      </c>
      <c r="F43" s="12">
        <f t="shared" si="7"/>
        <v>11.497177015379243</v>
      </c>
      <c r="G43" s="12">
        <f t="shared" si="7"/>
        <v>1.420999406395189</v>
      </c>
      <c r="H43" s="9"/>
      <c r="I43" s="12">
        <f t="shared" si="3"/>
        <v>4.7122852550068837</v>
      </c>
      <c r="J43" s="12">
        <f t="shared" si="4"/>
        <v>1.0593544762047489</v>
      </c>
      <c r="K43" s="12">
        <f t="shared" si="5"/>
        <v>0.13093145211519383</v>
      </c>
    </row>
    <row r="44" spans="2:11" x14ac:dyDescent="0.25">
      <c r="B44" s="10">
        <v>40</v>
      </c>
      <c r="C44" s="11">
        <v>43931</v>
      </c>
      <c r="D44" s="12">
        <f t="shared" si="0"/>
        <v>174369.67431624638</v>
      </c>
      <c r="E44" s="12">
        <f t="shared" si="1"/>
        <v>43.099821426054739</v>
      </c>
      <c r="F44" s="12">
        <f t="shared" si="7"/>
        <v>12.661017471609039</v>
      </c>
      <c r="G44" s="12">
        <f t="shared" si="7"/>
        <v>1.5648448560415682</v>
      </c>
      <c r="H44" s="9"/>
      <c r="I44" s="12">
        <f t="shared" si="3"/>
        <v>5.1769301556456755</v>
      </c>
      <c r="J44" s="12">
        <f t="shared" si="4"/>
        <v>1.163840456229795</v>
      </c>
      <c r="K44" s="12">
        <f t="shared" si="5"/>
        <v>0.14384544964637933</v>
      </c>
    </row>
    <row r="45" spans="2:11" x14ac:dyDescent="0.25">
      <c r="B45" s="10">
        <v>41</v>
      </c>
      <c r="C45" s="11">
        <v>43932</v>
      </c>
      <c r="D45" s="12">
        <f t="shared" si="0"/>
        <v>174363.9869585509</v>
      </c>
      <c r="E45" s="12">
        <f t="shared" si="1"/>
        <v>47.350518407348304</v>
      </c>
      <c r="F45" s="12">
        <f t="shared" si="7"/>
        <v>13.939645507248663</v>
      </c>
      <c r="G45" s="12">
        <f t="shared" si="7"/>
        <v>1.722877534603769</v>
      </c>
      <c r="H45" s="9"/>
      <c r="I45" s="12">
        <f t="shared" si="3"/>
        <v>5.6873576954953844</v>
      </c>
      <c r="J45" s="12">
        <f t="shared" si="4"/>
        <v>1.2786280356396238</v>
      </c>
      <c r="K45" s="12">
        <f t="shared" si="5"/>
        <v>0.15803267856220085</v>
      </c>
    </row>
    <row r="46" spans="2:11" x14ac:dyDescent="0.25">
      <c r="B46" s="10">
        <v>42</v>
      </c>
      <c r="C46" s="11">
        <v>43933</v>
      </c>
      <c r="D46" s="12">
        <f t="shared" si="0"/>
        <v>174357.73888636232</v>
      </c>
      <c r="E46" s="12">
        <f t="shared" si="1"/>
        <v>52.0202399823593</v>
      </c>
      <c r="F46" s="12">
        <f t="shared" si="7"/>
        <v>15.344377553333329</v>
      </c>
      <c r="G46" s="12">
        <f t="shared" si="7"/>
        <v>1.8964961020973796</v>
      </c>
      <c r="H46" s="9"/>
      <c r="I46" s="12">
        <f t="shared" si="3"/>
        <v>6.2480721885892789</v>
      </c>
      <c r="J46" s="12">
        <f t="shared" si="4"/>
        <v>1.4047320460846662</v>
      </c>
      <c r="K46" s="12">
        <f t="shared" si="5"/>
        <v>0.1736185674936106</v>
      </c>
    </row>
    <row r="47" spans="2:11" x14ac:dyDescent="0.25">
      <c r="B47" s="10">
        <v>43</v>
      </c>
      <c r="C47" s="11">
        <v>43934</v>
      </c>
      <c r="D47" s="12">
        <f t="shared" si="0"/>
        <v>174350.87486665792</v>
      </c>
      <c r="E47" s="12">
        <f t="shared" si="1"/>
        <v>57.150251687353332</v>
      </c>
      <c r="F47" s="12">
        <f t="shared" si="7"/>
        <v>16.887644672809987</v>
      </c>
      <c r="G47" s="12">
        <f t="shared" si="7"/>
        <v>2.0872369820326973</v>
      </c>
      <c r="H47" s="9"/>
      <c r="I47" s="12">
        <f t="shared" si="3"/>
        <v>6.8640197044060134</v>
      </c>
      <c r="J47" s="12">
        <f t="shared" si="4"/>
        <v>1.5432671194766592</v>
      </c>
      <c r="K47" s="12">
        <f t="shared" si="5"/>
        <v>0.1907408799353176</v>
      </c>
    </row>
    <row r="48" spans="2:11" x14ac:dyDescent="0.25">
      <c r="B48" s="10">
        <v>44</v>
      </c>
      <c r="C48" s="11">
        <v>43935</v>
      </c>
      <c r="D48" s="12">
        <f t="shared" si="0"/>
        <v>174343.33423555543</v>
      </c>
      <c r="E48" s="12">
        <f t="shared" si="1"/>
        <v>62.785874400272498</v>
      </c>
      <c r="F48" s="12">
        <f t="shared" si="7"/>
        <v>18.583102139534802</v>
      </c>
      <c r="G48" s="12">
        <f t="shared" si="7"/>
        <v>2.2967879048863264</v>
      </c>
      <c r="H48" s="9"/>
      <c r="I48" s="12">
        <f t="shared" si="3"/>
        <v>7.5406311024976098</v>
      </c>
      <c r="J48" s="12">
        <f t="shared" si="4"/>
        <v>1.6954574667248152</v>
      </c>
      <c r="K48" s="12">
        <f t="shared" si="5"/>
        <v>0.20955092285362908</v>
      </c>
    </row>
    <row r="49" spans="2:11" x14ac:dyDescent="0.25">
      <c r="B49" s="10">
        <v>45</v>
      </c>
      <c r="C49" s="11">
        <v>43936</v>
      </c>
      <c r="D49" s="12">
        <f t="shared" si="0"/>
        <v>174335.05036635615</v>
      </c>
      <c r="E49" s="12">
        <f t="shared" si="1"/>
        <v>68.976881119534383</v>
      </c>
      <c r="F49" s="12">
        <f t="shared" si="7"/>
        <v>20.445749746742887</v>
      </c>
      <c r="G49" s="12">
        <f t="shared" si="7"/>
        <v>2.5270027776873256</v>
      </c>
      <c r="H49" s="9"/>
      <c r="I49" s="12">
        <f t="shared" si="3"/>
        <v>8.2838691992709776</v>
      </c>
      <c r="J49" s="12">
        <f t="shared" si="4"/>
        <v>1.862647607208084</v>
      </c>
      <c r="K49" s="12">
        <f t="shared" si="5"/>
        <v>0.23021487280099934</v>
      </c>
    </row>
    <row r="50" spans="2:11" x14ac:dyDescent="0.25">
      <c r="B50" s="10">
        <v>46</v>
      </c>
      <c r="C50" s="11">
        <v>43937</v>
      </c>
      <c r="D50" s="12">
        <f t="shared" si="0"/>
        <v>174325.950085905</v>
      </c>
      <c r="E50" s="12">
        <f t="shared" si="1"/>
        <v>75.777932200038279</v>
      </c>
      <c r="F50" s="12">
        <f t="shared" si="7"/>
        <v>22.492063886622407</v>
      </c>
      <c r="G50" s="12">
        <f t="shared" si="7"/>
        <v>2.7799180084589521</v>
      </c>
      <c r="H50" s="9"/>
      <c r="I50" s="12">
        <f t="shared" si="3"/>
        <v>9.1002804511550224</v>
      </c>
      <c r="J50" s="12">
        <f t="shared" si="4"/>
        <v>2.0463141398795197</v>
      </c>
      <c r="K50" s="12">
        <f t="shared" si="5"/>
        <v>0.25291523077162631</v>
      </c>
    </row>
    <row r="51" spans="2:11" x14ac:dyDescent="0.25">
      <c r="B51" s="10">
        <v>47</v>
      </c>
      <c r="C51" s="11">
        <v>43938</v>
      </c>
      <c r="D51" s="12">
        <f t="shared" si="0"/>
        <v>174315.95303433354</v>
      </c>
      <c r="E51" s="12">
        <f t="shared" si="1"/>
        <v>83.249052698177877</v>
      </c>
      <c r="F51" s="12">
        <f t="shared" si="7"/>
        <v>24.740142541890208</v>
      </c>
      <c r="G51" s="12">
        <f t="shared" si="7"/>
        <v>3.0577704265257593</v>
      </c>
      <c r="H51" s="9"/>
      <c r="I51" s="12">
        <f t="shared" si="3"/>
        <v>9.9970515714742181</v>
      </c>
      <c r="J51" s="12">
        <f t="shared" si="4"/>
        <v>2.2480786552678023</v>
      </c>
      <c r="K51" s="12">
        <f t="shared" si="5"/>
        <v>0.27785241806680727</v>
      </c>
    </row>
    <row r="52" spans="2:11" x14ac:dyDescent="0.25">
      <c r="B52" s="10">
        <v>48</v>
      </c>
      <c r="C52" s="11">
        <v>43939</v>
      </c>
      <c r="D52" s="12">
        <f t="shared" si="0"/>
        <v>174304.97096279982</v>
      </c>
      <c r="E52" s="12">
        <f t="shared" si="1"/>
        <v>91.456155808622057</v>
      </c>
      <c r="F52" s="12">
        <f t="shared" si="7"/>
        <v>27.209864438602818</v>
      </c>
      <c r="G52" s="12">
        <f t="shared" si="7"/>
        <v>3.363016953085745</v>
      </c>
      <c r="H52" s="9"/>
      <c r="I52" s="12">
        <f t="shared" si="3"/>
        <v>10.982071533716779</v>
      </c>
      <c r="J52" s="12">
        <f t="shared" si="4"/>
        <v>2.4697218967126102</v>
      </c>
      <c r="K52" s="12">
        <f t="shared" si="5"/>
        <v>0.30524652655998585</v>
      </c>
    </row>
    <row r="53" spans="2:11" x14ac:dyDescent="0.25">
      <c r="B53" s="10">
        <v>49</v>
      </c>
      <c r="C53" s="11">
        <v>43940</v>
      </c>
      <c r="D53" s="12">
        <f t="shared" si="0"/>
        <v>174292.90696334827</v>
      </c>
      <c r="E53" s="12">
        <f t="shared" si="1"/>
        <v>100.47161673322486</v>
      </c>
      <c r="F53" s="12">
        <f t="shared" si="7"/>
        <v>29.923063727591938</v>
      </c>
      <c r="G53" s="12">
        <f t="shared" si="7"/>
        <v>3.698356191050693</v>
      </c>
      <c r="H53" s="9"/>
      <c r="I53" s="12">
        <f t="shared" si="3"/>
        <v>12.063999451556869</v>
      </c>
      <c r="J53" s="12">
        <f t="shared" si="4"/>
        <v>2.713199288989121</v>
      </c>
      <c r="K53" s="12">
        <f t="shared" si="5"/>
        <v>0.3353392379649478</v>
      </c>
    </row>
    <row r="54" spans="2:11" x14ac:dyDescent="0.25">
      <c r="B54" s="10">
        <v>50</v>
      </c>
      <c r="C54" s="11">
        <v>43941</v>
      </c>
      <c r="D54" s="12">
        <f t="shared" si="0"/>
        <v>174279.65462448233</v>
      </c>
      <c r="E54" s="12">
        <f t="shared" si="1"/>
        <v>110.37490170806885</v>
      </c>
      <c r="F54" s="12">
        <f t="shared" ref="F54:G69" si="8">F53+J54</f>
        <v>32.903721690677607</v>
      </c>
      <c r="G54" s="12">
        <f t="shared" si="8"/>
        <v>4.0667521190725182</v>
      </c>
      <c r="H54" s="9"/>
      <c r="I54" s="12">
        <f t="shared" si="3"/>
        <v>13.252338865951486</v>
      </c>
      <c r="J54" s="12">
        <f t="shared" si="4"/>
        <v>2.9806579630856707</v>
      </c>
      <c r="K54" s="12">
        <f t="shared" si="5"/>
        <v>0.36839592802182486</v>
      </c>
    </row>
    <row r="55" spans="2:11" x14ac:dyDescent="0.25">
      <c r="B55" s="10">
        <v>51</v>
      </c>
      <c r="C55" s="11">
        <v>43942</v>
      </c>
      <c r="D55" s="12">
        <f t="shared" si="0"/>
        <v>174265.09710547052</v>
      </c>
      <c r="E55" s="12">
        <f t="shared" si="1"/>
        <v>121.2532573296227</v>
      </c>
      <c r="F55" s="12">
        <f t="shared" si="8"/>
        <v>36.178177108016982</v>
      </c>
      <c r="G55" s="12">
        <f t="shared" si="8"/>
        <v>4.4714600920021041</v>
      </c>
      <c r="H55" s="9"/>
      <c r="I55" s="12">
        <f t="shared" si="3"/>
        <v>14.557519011822825</v>
      </c>
      <c r="J55" s="12">
        <f t="shared" si="4"/>
        <v>3.2744554173393756</v>
      </c>
      <c r="K55" s="12">
        <f t="shared" si="5"/>
        <v>0.4047079729295861</v>
      </c>
    </row>
    <row r="56" spans="2:11" x14ac:dyDescent="0.25">
      <c r="B56" s="10">
        <v>52</v>
      </c>
      <c r="C56" s="11">
        <v>43943</v>
      </c>
      <c r="D56" s="12">
        <f t="shared" si="0"/>
        <v>174249.10612178937</v>
      </c>
      <c r="E56" s="12">
        <f t="shared" si="1"/>
        <v>133.2024657664312</v>
      </c>
      <c r="F56" s="12">
        <f t="shared" si="8"/>
        <v>39.775357075462452</v>
      </c>
      <c r="G56" s="12">
        <f t="shared" si="8"/>
        <v>4.9160553688773874</v>
      </c>
      <c r="H56" s="9"/>
      <c r="I56" s="12">
        <f t="shared" si="3"/>
        <v>15.990983681129249</v>
      </c>
      <c r="J56" s="12">
        <f t="shared" si="4"/>
        <v>3.5971799674454727</v>
      </c>
      <c r="K56" s="12">
        <f t="shared" si="5"/>
        <v>0.44459527687528361</v>
      </c>
    </row>
    <row r="57" spans="2:11" x14ac:dyDescent="0.25">
      <c r="B57" s="10">
        <v>53</v>
      </c>
      <c r="C57" s="11">
        <v>43944</v>
      </c>
      <c r="D57" s="12">
        <f t="shared" si="0"/>
        <v>174231.54083344404</v>
      </c>
      <c r="E57" s="12">
        <f t="shared" si="1"/>
        <v>146.3276719195336</v>
      </c>
      <c r="F57" s="12">
        <f t="shared" si="8"/>
        <v>43.727030226533245</v>
      </c>
      <c r="G57" s="12">
        <f t="shared" si="8"/>
        <v>5.4044644100209691</v>
      </c>
      <c r="H57" s="9"/>
      <c r="I57" s="12">
        <f t="shared" si="3"/>
        <v>17.565288345316759</v>
      </c>
      <c r="J57" s="12">
        <f t="shared" si="4"/>
        <v>3.9516731510707919</v>
      </c>
      <c r="K57" s="12">
        <f t="shared" si="5"/>
        <v>0.48840904114358152</v>
      </c>
    </row>
    <row r="58" spans="2:11" x14ac:dyDescent="0.25">
      <c r="B58" s="10">
        <v>54</v>
      </c>
      <c r="C58" s="11">
        <v>43945</v>
      </c>
      <c r="D58" s="12">
        <f t="shared" si="0"/>
        <v>174212.24662719612</v>
      </c>
      <c r="E58" s="12">
        <f t="shared" si="1"/>
        <v>160.74428910346739</v>
      </c>
      <c r="F58" s="12">
        <f t="shared" si="8"/>
        <v>48.068084493479404</v>
      </c>
      <c r="G58" s="12">
        <f t="shared" si="8"/>
        <v>5.9409992070592592</v>
      </c>
      <c r="H58" s="9"/>
      <c r="I58" s="12">
        <f t="shared" si="3"/>
        <v>19.294206247918265</v>
      </c>
      <c r="J58" s="12">
        <f t="shared" si="4"/>
        <v>4.3410542669461627</v>
      </c>
      <c r="K58" s="12">
        <f t="shared" si="5"/>
        <v>0.53653479703829043</v>
      </c>
    </row>
    <row r="59" spans="2:11" x14ac:dyDescent="0.25">
      <c r="B59" s="10">
        <v>55</v>
      </c>
      <c r="C59" s="11">
        <v>43946</v>
      </c>
      <c r="D59" s="12">
        <f t="shared" si="0"/>
        <v>174191.05378296913</v>
      </c>
      <c r="E59" s="12">
        <f t="shared" si="1"/>
        <v>176.57899036034655</v>
      </c>
      <c r="F59" s="12">
        <f t="shared" si="8"/>
        <v>52.836831736882267</v>
      </c>
      <c r="G59" s="12">
        <f t="shared" si="8"/>
        <v>6.5303949337719738</v>
      </c>
      <c r="H59" s="9"/>
      <c r="I59" s="12">
        <f t="shared" si="3"/>
        <v>21.192844226994751</v>
      </c>
      <c r="J59" s="12">
        <f t="shared" si="4"/>
        <v>4.7687472434028662</v>
      </c>
      <c r="K59" s="12">
        <f t="shared" si="5"/>
        <v>0.58939572671271434</v>
      </c>
    </row>
    <row r="60" spans="2:11" x14ac:dyDescent="0.25">
      <c r="B60" s="10">
        <v>56</v>
      </c>
      <c r="C60" s="11">
        <v>43947</v>
      </c>
      <c r="D60" s="12">
        <f t="shared" si="0"/>
        <v>174167.77601389255</v>
      </c>
      <c r="E60" s="12">
        <f t="shared" si="1"/>
        <v>193.97079309159557</v>
      </c>
      <c r="F60" s="12">
        <f t="shared" si="8"/>
        <v>58.075341784239214</v>
      </c>
      <c r="G60" s="12">
        <f t="shared" si="8"/>
        <v>7.1778512317599112</v>
      </c>
      <c r="H60" s="9"/>
      <c r="I60" s="12">
        <f t="shared" si="3"/>
        <v>23.277769076593902</v>
      </c>
      <c r="J60" s="12">
        <f t="shared" si="4"/>
        <v>5.2385100473569475</v>
      </c>
      <c r="K60" s="12">
        <f t="shared" si="5"/>
        <v>0.64745629798793791</v>
      </c>
    </row>
    <row r="61" spans="2:11" x14ac:dyDescent="0.25">
      <c r="B61" s="10">
        <v>57</v>
      </c>
      <c r="C61" s="11">
        <v>43948</v>
      </c>
      <c r="D61" s="12">
        <f t="shared" si="0"/>
        <v>174142.20886858689</v>
      </c>
      <c r="E61" s="12">
        <f t="shared" si="1"/>
        <v>213.07224529418934</v>
      </c>
      <c r="F61" s="12">
        <f t="shared" si="8"/>
        <v>63.829808645956547</v>
      </c>
      <c r="G61" s="12">
        <f t="shared" si="8"/>
        <v>7.889077473095762</v>
      </c>
      <c r="H61" s="9"/>
      <c r="I61" s="12">
        <f t="shared" si="3"/>
        <v>25.567145305646967</v>
      </c>
      <c r="J61" s="12">
        <f t="shared" si="4"/>
        <v>5.7544668617173347</v>
      </c>
      <c r="K61" s="12">
        <f t="shared" si="5"/>
        <v>0.71122624133585099</v>
      </c>
    </row>
    <row r="62" spans="2:11" x14ac:dyDescent="0.25">
      <c r="B62" s="10">
        <v>58</v>
      </c>
      <c r="C62" s="11">
        <v>43949</v>
      </c>
      <c r="D62" s="12">
        <f t="shared" si="0"/>
        <v>174114.12798338619</v>
      </c>
      <c r="E62" s="12">
        <f t="shared" si="1"/>
        <v>234.05072231841712</v>
      </c>
      <c r="F62" s="12">
        <f t="shared" si="8"/>
        <v>70.150951923017502</v>
      </c>
      <c r="G62" s="12">
        <f t="shared" si="8"/>
        <v>8.6703423725077897</v>
      </c>
      <c r="H62" s="9"/>
      <c r="I62" s="12">
        <f t="shared" si="3"/>
        <v>28.080885200700756</v>
      </c>
      <c r="J62" s="12">
        <f t="shared" si="4"/>
        <v>6.3211432770609504</v>
      </c>
      <c r="K62" s="12">
        <f t="shared" si="5"/>
        <v>0.78126489941202826</v>
      </c>
    </row>
    <row r="63" spans="2:11" x14ac:dyDescent="0.25">
      <c r="B63" s="10">
        <v>59</v>
      </c>
      <c r="C63" s="11">
        <v>43950</v>
      </c>
      <c r="D63" s="12">
        <f t="shared" si="0"/>
        <v>174083.28717124194</v>
      </c>
      <c r="E63" s="12">
        <f t="shared" si="1"/>
        <v>257.08984371873032</v>
      </c>
      <c r="F63" s="12">
        <f t="shared" si="8"/>
        <v>77.094456685130538</v>
      </c>
      <c r="G63" s="12">
        <f t="shared" si="8"/>
        <v>9.5285283543419865</v>
      </c>
      <c r="H63" s="9"/>
      <c r="I63" s="12">
        <f t="shared" si="3"/>
        <v>30.840812144260415</v>
      </c>
      <c r="J63" s="12">
        <f t="shared" si="4"/>
        <v>6.9435047621130401</v>
      </c>
      <c r="K63" s="12">
        <f t="shared" si="5"/>
        <v>0.85818598183419681</v>
      </c>
    </row>
    <row r="64" spans="2:11" x14ac:dyDescent="0.25">
      <c r="B64" s="10">
        <v>60</v>
      </c>
      <c r="C64" s="13">
        <v>43951</v>
      </c>
      <c r="D64" s="12">
        <f t="shared" si="0"/>
        <v>174049.41633306033</v>
      </c>
      <c r="E64" s="12">
        <f t="shared" si="1"/>
        <v>282.39102044305372</v>
      </c>
      <c r="F64" s="12">
        <f t="shared" si="8"/>
        <v>84.721455382119544</v>
      </c>
      <c r="G64" s="12">
        <f t="shared" si="8"/>
        <v>10.471191114643998</v>
      </c>
      <c r="H64" s="9"/>
      <c r="I64" s="12">
        <f t="shared" si="3"/>
        <v>33.87083818161441</v>
      </c>
      <c r="J64" s="12">
        <f t="shared" si="4"/>
        <v>7.6269986969889993</v>
      </c>
      <c r="K64" s="12">
        <f t="shared" si="5"/>
        <v>0.94266276030201201</v>
      </c>
    </row>
    <row r="65" spans="2:11" x14ac:dyDescent="0.25">
      <c r="B65" s="10">
        <v>61</v>
      </c>
      <c r="C65" s="11">
        <v>43952</v>
      </c>
      <c r="D65" s="12">
        <f t="shared" si="0"/>
        <v>174012.21917619664</v>
      </c>
      <c r="E65" s="12">
        <f t="shared" si="1"/>
        <v>310.1751432919902</v>
      </c>
      <c r="F65" s="12">
        <f t="shared" si="8"/>
        <v>93.09905565526347</v>
      </c>
      <c r="G65" s="12">
        <f t="shared" si="8"/>
        <v>11.50662485626853</v>
      </c>
      <c r="H65" s="9"/>
      <c r="I65" s="12">
        <f t="shared" si="3"/>
        <v>37.19715686370494</v>
      </c>
      <c r="J65" s="12">
        <f t="shared" si="4"/>
        <v>8.3776002731439263</v>
      </c>
      <c r="K65" s="12">
        <f t="shared" si="5"/>
        <v>1.0354337416245312</v>
      </c>
    </row>
    <row r="66" spans="2:11" x14ac:dyDescent="0.25">
      <c r="B66" s="10">
        <v>62</v>
      </c>
      <c r="C66" s="11">
        <v>43953</v>
      </c>
      <c r="D66" s="12">
        <f t="shared" si="0"/>
        <v>173971.37072377739</v>
      </c>
      <c r="E66" s="12">
        <f t="shared" si="1"/>
        <v>340.68442426817336</v>
      </c>
      <c r="F66" s="12">
        <f t="shared" si="8"/>
        <v>102.30091823959251</v>
      </c>
      <c r="G66" s="12">
        <f t="shared" si="8"/>
        <v>12.643933715005829</v>
      </c>
      <c r="H66" s="9"/>
      <c r="I66" s="12">
        <f t="shared" si="3"/>
        <v>40.848452419249476</v>
      </c>
      <c r="J66" s="12">
        <f t="shared" si="4"/>
        <v>9.2018625843290405</v>
      </c>
      <c r="K66" s="12">
        <f t="shared" si="5"/>
        <v>1.1373088587372984</v>
      </c>
    </row>
    <row r="67" spans="2:11" x14ac:dyDescent="0.25">
      <c r="B67" s="10">
        <v>63</v>
      </c>
      <c r="C67" s="11">
        <v>43954</v>
      </c>
      <c r="D67" s="12">
        <f t="shared" si="0"/>
        <v>173926.51459745475</v>
      </c>
      <c r="E67" s="12">
        <f t="shared" si="1"/>
        <v>374.18440311520703</v>
      </c>
      <c r="F67" s="12">
        <f t="shared" si="8"/>
        <v>112.40788949288165</v>
      </c>
      <c r="G67" s="12">
        <f t="shared" si="8"/>
        <v>13.893109937322466</v>
      </c>
      <c r="H67" s="9"/>
      <c r="I67" s="12">
        <f t="shared" si="3"/>
        <v>44.856126322639462</v>
      </c>
      <c r="J67" s="12">
        <f t="shared" si="4"/>
        <v>10.106971253289142</v>
      </c>
      <c r="K67" s="12">
        <f t="shared" si="5"/>
        <v>1.2491762223166369</v>
      </c>
    </row>
    <row r="68" spans="2:11" x14ac:dyDescent="0.25">
      <c r="B68" s="10">
        <v>64</v>
      </c>
      <c r="C68" s="11">
        <v>43955</v>
      </c>
      <c r="D68" s="12">
        <f t="shared" si="0"/>
        <v>173877.26005513364</v>
      </c>
      <c r="E68" s="12">
        <f t="shared" si="1"/>
        <v>410.96613199914714</v>
      </c>
      <c r="F68" s="12">
        <f t="shared" si="8"/>
        <v>123.50869345196612</v>
      </c>
      <c r="G68" s="12">
        <f t="shared" si="8"/>
        <v>15.26511941541156</v>
      </c>
      <c r="H68" s="9"/>
      <c r="I68" s="12">
        <f t="shared" si="3"/>
        <v>49.254542321113647</v>
      </c>
      <c r="J68" s="12">
        <f t="shared" si="4"/>
        <v>11.100803959084475</v>
      </c>
      <c r="K68" s="12">
        <f t="shared" si="5"/>
        <v>1.3720094780890937</v>
      </c>
    </row>
    <row r="69" spans="2:11" x14ac:dyDescent="0.25">
      <c r="B69" s="10">
        <v>65</v>
      </c>
      <c r="C69" s="11">
        <v>43956</v>
      </c>
      <c r="D69" s="12">
        <f t="shared" si="0"/>
        <v>173823.17876417324</v>
      </c>
      <c r="E69" s="12">
        <f t="shared" si="1"/>
        <v>451.34855189291312</v>
      </c>
      <c r="F69" s="12">
        <f t="shared" si="8"/>
        <v>135.70068870127415</v>
      </c>
      <c r="G69" s="12">
        <f t="shared" si="8"/>
        <v>16.771995232741766</v>
      </c>
      <c r="H69" s="9"/>
      <c r="I69" s="12">
        <f t="shared" si="3"/>
        <v>54.081290960404232</v>
      </c>
      <c r="J69" s="12">
        <f t="shared" si="4"/>
        <v>12.191995249308031</v>
      </c>
      <c r="K69" s="12">
        <f t="shared" si="5"/>
        <v>1.5068758173302075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173763.80128957675</v>
      </c>
      <c r="E70" s="12">
        <f t="shared" ref="E70:E133" si="10">E69+I70-J70-K70</f>
        <v>495.68107475965303</v>
      </c>
      <c r="F70" s="12">
        <f t="shared" ref="F70:G85" si="11">F69+J70</f>
        <v>149.09069574076389</v>
      </c>
      <c r="G70" s="12">
        <f t="shared" si="11"/>
        <v>18.426939923015784</v>
      </c>
      <c r="H70" s="9"/>
      <c r="I70" s="12">
        <f t="shared" ref="I70:I133" si="12">E69*N$6*D69/SUM(D69:F69)*N$7</f>
        <v>59.377474596503717</v>
      </c>
      <c r="J70" s="12">
        <f t="shared" ref="J70:J133" si="13">E69*N$8/N$5</f>
        <v>13.390007039489754</v>
      </c>
      <c r="K70" s="12">
        <f t="shared" ref="K70:K133" si="14">E69*N$9/N$5</f>
        <v>1.6549446902740164</v>
      </c>
    </row>
    <row r="71" spans="2:11" x14ac:dyDescent="0.25">
      <c r="B71" s="10">
        <v>67</v>
      </c>
      <c r="C71" s="11">
        <v>43958</v>
      </c>
      <c r="D71" s="12">
        <f t="shared" si="9"/>
        <v>173698.61327578159</v>
      </c>
      <c r="E71" s="12">
        <f t="shared" si="10"/>
        <v>544.34638606282931</v>
      </c>
      <c r="F71" s="12">
        <f t="shared" si="11"/>
        <v>163.79590095863361</v>
      </c>
      <c r="G71" s="12">
        <f t="shared" si="11"/>
        <v>20.244437197134513</v>
      </c>
      <c r="H71" s="9"/>
      <c r="I71" s="12">
        <f t="shared" si="12"/>
        <v>65.188013795164707</v>
      </c>
      <c r="J71" s="12">
        <f t="shared" si="13"/>
        <v>14.705205217869706</v>
      </c>
      <c r="K71" s="12">
        <f t="shared" si="14"/>
        <v>1.8174972741187294</v>
      </c>
    </row>
    <row r="72" spans="2:11" x14ac:dyDescent="0.25">
      <c r="B72" s="10">
        <v>68</v>
      </c>
      <c r="C72" s="11">
        <v>43959</v>
      </c>
      <c r="D72" s="12">
        <f t="shared" si="9"/>
        <v>173627.05129989007</v>
      </c>
      <c r="E72" s="12">
        <f t="shared" si="10"/>
        <v>597.76348241893106</v>
      </c>
      <c r="F72" s="12">
        <f t="shared" si="11"/>
        <v>179.94484374516421</v>
      </c>
      <c r="G72" s="12">
        <f t="shared" si="11"/>
        <v>22.240373946031557</v>
      </c>
      <c r="H72" s="9"/>
      <c r="I72" s="12">
        <f t="shared" si="12"/>
        <v>71.561975891529357</v>
      </c>
      <c r="J72" s="12">
        <f t="shared" si="13"/>
        <v>16.148942786530601</v>
      </c>
      <c r="K72" s="12">
        <f t="shared" si="14"/>
        <v>1.9959367488970428</v>
      </c>
    </row>
    <row r="73" spans="2:11" x14ac:dyDescent="0.25">
      <c r="B73" s="10">
        <v>69</v>
      </c>
      <c r="C73" s="11">
        <v>43960</v>
      </c>
      <c r="D73" s="12">
        <f t="shared" si="9"/>
        <v>173548.49837359058</v>
      </c>
      <c r="E73" s="12">
        <f t="shared" si="10"/>
        <v>656.39095930444785</v>
      </c>
      <c r="F73" s="12">
        <f t="shared" si="11"/>
        <v>197.67849372359248</v>
      </c>
      <c r="G73" s="12">
        <f t="shared" si="11"/>
        <v>24.43217338156764</v>
      </c>
      <c r="H73" s="9"/>
      <c r="I73" s="12">
        <f t="shared" si="12"/>
        <v>78.552926299481143</v>
      </c>
      <c r="J73" s="12">
        <f t="shared" si="13"/>
        <v>17.733649978428286</v>
      </c>
      <c r="K73" s="12">
        <f t="shared" si="14"/>
        <v>2.1917994355360824</v>
      </c>
    </row>
    <row r="74" spans="2:11" x14ac:dyDescent="0.25">
      <c r="B74" s="10">
        <v>70</v>
      </c>
      <c r="C74" s="11">
        <v>43961</v>
      </c>
      <c r="D74" s="12">
        <f t="shared" si="9"/>
        <v>173462.27907067904</v>
      </c>
      <c r="E74" s="12">
        <f t="shared" si="10"/>
        <v>720.730563572508</v>
      </c>
      <c r="F74" s="12">
        <f t="shared" si="11"/>
        <v>217.15142551629111</v>
      </c>
      <c r="G74" s="12">
        <f t="shared" si="11"/>
        <v>26.838940232350616</v>
      </c>
      <c r="H74" s="9"/>
      <c r="I74" s="12">
        <f t="shared" si="12"/>
        <v>86.21930291154186</v>
      </c>
      <c r="J74" s="12">
        <f t="shared" si="13"/>
        <v>19.472931792698617</v>
      </c>
      <c r="K74" s="12">
        <f t="shared" si="14"/>
        <v>2.4067668507829776</v>
      </c>
    </row>
    <row r="75" spans="2:11" x14ac:dyDescent="0.25">
      <c r="B75" s="10">
        <v>71</v>
      </c>
      <c r="C75" s="11">
        <v>43962</v>
      </c>
      <c r="D75" s="12">
        <f t="shared" si="9"/>
        <v>173367.65425707831</v>
      </c>
      <c r="E75" s="12">
        <f t="shared" si="10"/>
        <v>791.33102505416718</v>
      </c>
      <c r="F75" s="12">
        <f t="shared" si="11"/>
        <v>238.53309890227553</v>
      </c>
      <c r="G75" s="12">
        <f t="shared" si="11"/>
        <v>29.481618965449815</v>
      </c>
      <c r="H75" s="9"/>
      <c r="I75" s="12">
        <f t="shared" si="12"/>
        <v>94.624813600742741</v>
      </c>
      <c r="J75" s="12">
        <f t="shared" si="13"/>
        <v>21.381673385984403</v>
      </c>
      <c r="K75" s="12">
        <f t="shared" si="14"/>
        <v>2.6426787330991983</v>
      </c>
    </row>
    <row r="76" spans="2:11" x14ac:dyDescent="0.25">
      <c r="B76" s="10">
        <v>72</v>
      </c>
      <c r="C76" s="11">
        <v>43963</v>
      </c>
      <c r="D76" s="12">
        <f t="shared" si="9"/>
        <v>173263.81540066967</v>
      </c>
      <c r="E76" s="12">
        <f t="shared" si="10"/>
        <v>868.79218062767575</v>
      </c>
      <c r="F76" s="12">
        <f t="shared" si="11"/>
        <v>262.00925264554917</v>
      </c>
      <c r="G76" s="12">
        <f t="shared" si="11"/>
        <v>32.383166057315094</v>
      </c>
      <c r="H76" s="9"/>
      <c r="I76" s="12">
        <f t="shared" si="12"/>
        <v>103.83885640864742</v>
      </c>
      <c r="J76" s="12">
        <f t="shared" si="13"/>
        <v>23.476153743273624</v>
      </c>
      <c r="K76" s="12">
        <f t="shared" si="14"/>
        <v>2.9015470918652824</v>
      </c>
    </row>
    <row r="77" spans="2:11" x14ac:dyDescent="0.25">
      <c r="B77" s="10">
        <v>73</v>
      </c>
      <c r="C77" s="11">
        <v>43964</v>
      </c>
      <c r="D77" s="12">
        <f t="shared" si="9"/>
        <v>173149.87843921123</v>
      </c>
      <c r="E77" s="12">
        <f t="shared" si="10"/>
        <v>953.76940273185824</v>
      </c>
      <c r="F77" s="12">
        <f t="shared" si="11"/>
        <v>287.7834206708369</v>
      </c>
      <c r="G77" s="12">
        <f t="shared" si="11"/>
        <v>35.568737386283239</v>
      </c>
      <c r="H77" s="9"/>
      <c r="I77" s="12">
        <f t="shared" si="12"/>
        <v>113.93696145843846</v>
      </c>
      <c r="J77" s="12">
        <f t="shared" si="13"/>
        <v>25.774168025287711</v>
      </c>
      <c r="K77" s="12">
        <f t="shared" si="14"/>
        <v>3.1855713289681469</v>
      </c>
    </row>
    <row r="78" spans="2:11" x14ac:dyDescent="0.25">
      <c r="B78" s="10">
        <v>74</v>
      </c>
      <c r="C78" s="11">
        <v>43965</v>
      </c>
      <c r="D78" s="12">
        <f t="shared" si="9"/>
        <v>173024.87718626592</v>
      </c>
      <c r="E78" s="12">
        <f t="shared" si="10"/>
        <v>1046.9783422527689</v>
      </c>
      <c r="F78" s="12">
        <f t="shared" si="11"/>
        <v>316.0785796185487</v>
      </c>
      <c r="G78" s="12">
        <f t="shared" si="11"/>
        <v>39.065891862966723</v>
      </c>
      <c r="H78" s="9"/>
      <c r="I78" s="12">
        <f t="shared" si="12"/>
        <v>125.00125294530612</v>
      </c>
      <c r="J78" s="12">
        <f t="shared" si="13"/>
        <v>28.295158947711791</v>
      </c>
      <c r="K78" s="12">
        <f t="shared" si="14"/>
        <v>3.4971544766834834</v>
      </c>
    </row>
    <row r="79" spans="2:11" x14ac:dyDescent="0.25">
      <c r="B79" s="10">
        <v>75</v>
      </c>
      <c r="C79" s="11">
        <v>43966</v>
      </c>
      <c r="D79" s="12">
        <f t="shared" si="9"/>
        <v>172887.75625756459</v>
      </c>
      <c r="E79" s="12">
        <f t="shared" si="10"/>
        <v>1149.1999928790144</v>
      </c>
      <c r="F79" s="12">
        <f t="shared" si="11"/>
        <v>347.13893710538082</v>
      </c>
      <c r="G79" s="12">
        <f t="shared" si="11"/>
        <v>42.904812451226881</v>
      </c>
      <c r="H79" s="9"/>
      <c r="I79" s="12">
        <f t="shared" si="12"/>
        <v>137.1209287013377</v>
      </c>
      <c r="J79" s="12">
        <f t="shared" si="13"/>
        <v>31.060357486832139</v>
      </c>
      <c r="K79" s="12">
        <f t="shared" si="14"/>
        <v>3.8389205882601565</v>
      </c>
    </row>
    <row r="80" spans="2:11" x14ac:dyDescent="0.25">
      <c r="B80" s="10">
        <v>76</v>
      </c>
      <c r="C80" s="11">
        <v>43967</v>
      </c>
      <c r="D80" s="12">
        <f t="shared" si="9"/>
        <v>172737.36350378665</v>
      </c>
      <c r="E80" s="12">
        <f t="shared" si="10"/>
        <v>1261.2860802276441</v>
      </c>
      <c r="F80" s="12">
        <f t="shared" si="11"/>
        <v>381.23187022745822</v>
      </c>
      <c r="G80" s="12">
        <f t="shared" si="11"/>
        <v>47.11854575844994</v>
      </c>
      <c r="H80" s="9"/>
      <c r="I80" s="12">
        <f t="shared" si="12"/>
        <v>150.39275377793018</v>
      </c>
      <c r="J80" s="12">
        <f t="shared" si="13"/>
        <v>34.092933122077426</v>
      </c>
      <c r="K80" s="12">
        <f t="shared" si="14"/>
        <v>4.2137333072230563</v>
      </c>
    </row>
    <row r="81" spans="2:11" x14ac:dyDescent="0.25">
      <c r="B81" s="10">
        <v>77</v>
      </c>
      <c r="C81" s="11">
        <v>43968</v>
      </c>
      <c r="D81" s="12">
        <f t="shared" si="9"/>
        <v>172572.441940586</v>
      </c>
      <c r="E81" s="12">
        <f t="shared" si="10"/>
        <v>1384.1647740873661</v>
      </c>
      <c r="F81" s="12">
        <f t="shared" si="11"/>
        <v>418.65002394087833</v>
      </c>
      <c r="G81" s="12">
        <f t="shared" si="11"/>
        <v>51.743261385951307</v>
      </c>
      <c r="H81" s="9"/>
      <c r="I81" s="12">
        <f t="shared" si="12"/>
        <v>164.92156320064339</v>
      </c>
      <c r="J81" s="12">
        <f t="shared" si="13"/>
        <v>37.418153713420104</v>
      </c>
      <c r="K81" s="12">
        <f t="shared" si="14"/>
        <v>4.6247156275013657</v>
      </c>
    </row>
    <row r="82" spans="2:11" x14ac:dyDescent="0.25">
      <c r="B82" s="10">
        <v>78</v>
      </c>
      <c r="C82" s="11">
        <v>43969</v>
      </c>
      <c r="D82" s="12">
        <f t="shared" si="9"/>
        <v>172391.62117309545</v>
      </c>
      <c r="E82" s="12">
        <f t="shared" si="10"/>
        <v>1518.8467157749944</v>
      </c>
      <c r="F82" s="12">
        <f t="shared" si="11"/>
        <v>459.71357890547017</v>
      </c>
      <c r="G82" s="12">
        <f t="shared" si="11"/>
        <v>56.818532224271657</v>
      </c>
      <c r="H82" s="9"/>
      <c r="I82" s="12">
        <f t="shared" si="12"/>
        <v>180.82076749054076</v>
      </c>
      <c r="J82" s="12">
        <f t="shared" si="13"/>
        <v>41.063554964591859</v>
      </c>
      <c r="K82" s="12">
        <f t="shared" si="14"/>
        <v>5.0752708383203471</v>
      </c>
    </row>
    <row r="83" spans="2:11" x14ac:dyDescent="0.25">
      <c r="B83" s="10">
        <v>79</v>
      </c>
      <c r="C83" s="11">
        <v>43970</v>
      </c>
      <c r="D83" s="12">
        <f t="shared" si="9"/>
        <v>172193.40832042578</v>
      </c>
      <c r="E83" s="12">
        <f t="shared" si="10"/>
        <v>1666.4313445855018</v>
      </c>
      <c r="F83" s="12">
        <f t="shared" si="11"/>
        <v>504.77269814012834</v>
      </c>
      <c r="G83" s="12">
        <f t="shared" si="11"/>
        <v>62.387636848779977</v>
      </c>
      <c r="H83" s="9"/>
      <c r="I83" s="12">
        <f t="shared" si="12"/>
        <v>198.21285266967385</v>
      </c>
      <c r="J83" s="12">
        <f t="shared" si="13"/>
        <v>45.059119234658162</v>
      </c>
      <c r="K83" s="12">
        <f t="shared" si="14"/>
        <v>5.5691046245083173</v>
      </c>
    </row>
    <row r="84" spans="2:11" x14ac:dyDescent="0.25">
      <c r="B84" s="10">
        <v>80</v>
      </c>
      <c r="C84" s="11">
        <v>43971</v>
      </c>
      <c r="D84" s="12">
        <f t="shared" si="9"/>
        <v>171976.17845619548</v>
      </c>
      <c r="E84" s="12">
        <f t="shared" si="10"/>
        <v>1828.1134973296062</v>
      </c>
      <c r="F84" s="12">
        <f t="shared" si="11"/>
        <v>554.21016136283151</v>
      </c>
      <c r="G84" s="12">
        <f t="shared" si="11"/>
        <v>68.49788511226015</v>
      </c>
      <c r="H84" s="9"/>
      <c r="I84" s="12">
        <f t="shared" si="12"/>
        <v>217.2298642302876</v>
      </c>
      <c r="J84" s="12">
        <f t="shared" si="13"/>
        <v>49.437463222703215</v>
      </c>
      <c r="K84" s="12">
        <f t="shared" si="14"/>
        <v>6.1102482634801785</v>
      </c>
    </row>
    <row r="85" spans="2:11" x14ac:dyDescent="0.25">
      <c r="B85" s="10">
        <v>81</v>
      </c>
      <c r="C85" s="11">
        <v>43972</v>
      </c>
      <c r="D85" s="12">
        <f t="shared" si="9"/>
        <v>171738.16459429672</v>
      </c>
      <c r="E85" s="12">
        <f t="shared" si="10"/>
        <v>2005.1902426507352</v>
      </c>
      <c r="F85" s="12">
        <f t="shared" si="11"/>
        <v>608.44419511694321</v>
      </c>
      <c r="G85" s="12">
        <f t="shared" si="11"/>
        <v>75.200967935802041</v>
      </c>
      <c r="H85" s="9"/>
      <c r="I85" s="12">
        <f t="shared" si="12"/>
        <v>238.01386189878272</v>
      </c>
      <c r="J85" s="12">
        <f t="shared" si="13"/>
        <v>54.23403375411165</v>
      </c>
      <c r="K85" s="12">
        <f t="shared" si="14"/>
        <v>6.7030828235418953</v>
      </c>
    </row>
    <row r="86" spans="2:11" x14ac:dyDescent="0.25">
      <c r="B86" s="10">
        <v>82</v>
      </c>
      <c r="C86" s="11">
        <v>43973</v>
      </c>
      <c r="D86" s="12">
        <f t="shared" si="9"/>
        <v>171477.44726538009</v>
      </c>
      <c r="E86" s="12">
        <f t="shared" si="10"/>
        <v>2199.0678968123493</v>
      </c>
      <c r="F86" s="12">
        <f t="shared" ref="F86:G101" si="15">F85+J86</f>
        <v>667.93150564891505</v>
      </c>
      <c r="G86" s="12">
        <f t="shared" si="15"/>
        <v>82.553332158854744</v>
      </c>
      <c r="H86" s="9"/>
      <c r="I86" s="12">
        <f t="shared" si="12"/>
        <v>260.71732891663811</v>
      </c>
      <c r="J86" s="12">
        <f t="shared" si="13"/>
        <v>59.487310531971808</v>
      </c>
      <c r="K86" s="12">
        <f t="shared" si="14"/>
        <v>7.3523642230527022</v>
      </c>
    </row>
    <row r="87" spans="2:11" x14ac:dyDescent="0.25">
      <c r="B87" s="10">
        <v>83</v>
      </c>
      <c r="C87" s="11">
        <v>43974</v>
      </c>
      <c r="D87" s="12">
        <f t="shared" si="9"/>
        <v>171191.94374943746</v>
      </c>
      <c r="E87" s="12">
        <f t="shared" si="10"/>
        <v>2411.2691495278905</v>
      </c>
      <c r="F87" s="12">
        <f t="shared" si="15"/>
        <v>733.17051992101472</v>
      </c>
      <c r="G87" s="12">
        <f t="shared" si="15"/>
        <v>90.616581113833362</v>
      </c>
      <c r="H87" s="9"/>
      <c r="I87" s="12">
        <f t="shared" si="12"/>
        <v>285.50351594261912</v>
      </c>
      <c r="J87" s="12">
        <f t="shared" si="13"/>
        <v>65.239014272099695</v>
      </c>
      <c r="K87" s="12">
        <f t="shared" si="14"/>
        <v>8.0632489549786222</v>
      </c>
    </row>
    <row r="88" spans="2:11" x14ac:dyDescent="0.25">
      <c r="B88" s="10">
        <v>84</v>
      </c>
      <c r="C88" s="11">
        <v>43975</v>
      </c>
      <c r="D88" s="12">
        <f t="shared" si="9"/>
        <v>170879.39705392814</v>
      </c>
      <c r="E88" s="12">
        <f t="shared" si="10"/>
        <v>2643.4402067196029</v>
      </c>
      <c r="F88" s="12">
        <f t="shared" si="15"/>
        <v>804.70483802367551</v>
      </c>
      <c r="G88" s="12">
        <f t="shared" si="15"/>
        <v>99.457901328768969</v>
      </c>
      <c r="H88" s="9"/>
      <c r="I88" s="12">
        <f t="shared" si="12"/>
        <v>312.54669550930822</v>
      </c>
      <c r="J88" s="12">
        <f t="shared" si="13"/>
        <v>71.534318102660748</v>
      </c>
      <c r="K88" s="12">
        <f t="shared" si="14"/>
        <v>8.8413202149356049</v>
      </c>
    </row>
    <row r="89" spans="2:11" x14ac:dyDescent="0.25">
      <c r="B89" s="10">
        <v>85</v>
      </c>
      <c r="C89" s="11">
        <v>43976</v>
      </c>
      <c r="D89" s="12">
        <f t="shared" si="9"/>
        <v>170537.36475572136</v>
      </c>
      <c r="E89" s="12">
        <f t="shared" si="10"/>
        <v>2897.3578313690819</v>
      </c>
      <c r="F89" s="12">
        <f t="shared" si="15"/>
        <v>883.12689748969035</v>
      </c>
      <c r="G89" s="12">
        <f t="shared" si="15"/>
        <v>109.15051542007419</v>
      </c>
      <c r="H89" s="9"/>
      <c r="I89" s="12">
        <f t="shared" si="12"/>
        <v>342.03229820679917</v>
      </c>
      <c r="J89" s="12">
        <f t="shared" si="13"/>
        <v>78.422059466014872</v>
      </c>
      <c r="K89" s="12">
        <f t="shared" si="14"/>
        <v>9.6926140913052183</v>
      </c>
    </row>
    <row r="90" spans="2:11" x14ac:dyDescent="0.25">
      <c r="B90" s="10">
        <v>86</v>
      </c>
      <c r="C90" s="11">
        <v>43977</v>
      </c>
      <c r="D90" s="12">
        <f t="shared" si="9"/>
        <v>170163.20785932455</v>
      </c>
      <c r="E90" s="12">
        <f t="shared" si="10"/>
        <v>3174.936133386921</v>
      </c>
      <c r="F90" s="12">
        <f t="shared" si="15"/>
        <v>969.08184648697306</v>
      </c>
      <c r="G90" s="12">
        <f t="shared" si="15"/>
        <v>119.77416080176083</v>
      </c>
      <c r="H90" s="9"/>
      <c r="I90" s="12">
        <f t="shared" si="12"/>
        <v>374.15689639680909</v>
      </c>
      <c r="J90" s="12">
        <f t="shared" si="13"/>
        <v>85.954948997282756</v>
      </c>
      <c r="K90" s="12">
        <f t="shared" si="14"/>
        <v>10.623645381686641</v>
      </c>
    </row>
    <row r="91" spans="2:11" x14ac:dyDescent="0.25">
      <c r="B91" s="10">
        <v>87</v>
      </c>
      <c r="C91" s="11">
        <v>43978</v>
      </c>
      <c r="D91" s="12">
        <f t="shared" si="9"/>
        <v>169754.07986404037</v>
      </c>
      <c r="E91" s="12">
        <f t="shared" si="10"/>
        <v>3478.2329242248761</v>
      </c>
      <c r="F91" s="12">
        <f t="shared" si="15"/>
        <v>1063.2716184441183</v>
      </c>
      <c r="G91" s="12">
        <f t="shared" si="15"/>
        <v>131.4155932908462</v>
      </c>
      <c r="H91" s="9"/>
      <c r="I91" s="12">
        <f t="shared" si="12"/>
        <v>409.12799528418554</v>
      </c>
      <c r="J91" s="12">
        <f t="shared" si="13"/>
        <v>94.189771957145311</v>
      </c>
      <c r="K91" s="12">
        <f t="shared" si="14"/>
        <v>11.641432489085387</v>
      </c>
    </row>
    <row r="92" spans="2:11" x14ac:dyDescent="0.25">
      <c r="B92" s="10">
        <v>88</v>
      </c>
      <c r="C92" s="11">
        <v>43979</v>
      </c>
      <c r="D92" s="12">
        <f t="shared" si="9"/>
        <v>169306.91627941426</v>
      </c>
      <c r="E92" s="12">
        <f t="shared" si="10"/>
        <v>3809.4554113768286</v>
      </c>
      <c r="F92" s="12">
        <f t="shared" si="15"/>
        <v>1166.4591951961229</v>
      </c>
      <c r="G92" s="12">
        <f t="shared" si="15"/>
        <v>144.1691140130041</v>
      </c>
      <c r="H92" s="9"/>
      <c r="I92" s="12">
        <f t="shared" si="12"/>
        <v>447.1635846261151</v>
      </c>
      <c r="J92" s="12">
        <f t="shared" si="13"/>
        <v>103.18757675200465</v>
      </c>
      <c r="K92" s="12">
        <f t="shared" si="14"/>
        <v>12.753520722157891</v>
      </c>
    </row>
    <row r="93" spans="2:11" x14ac:dyDescent="0.25">
      <c r="B93" s="10">
        <v>89</v>
      </c>
      <c r="C93" s="11">
        <v>43980</v>
      </c>
      <c r="D93" s="12">
        <f t="shared" si="9"/>
        <v>168818.42488208873</v>
      </c>
      <c r="E93" s="12">
        <f t="shared" si="10"/>
        <v>4170.9649616564711</v>
      </c>
      <c r="F93" s="12">
        <f t="shared" si="15"/>
        <v>1279.4730390669688</v>
      </c>
      <c r="G93" s="12">
        <f t="shared" si="15"/>
        <v>158.13711718805249</v>
      </c>
      <c r="H93" s="9"/>
      <c r="I93" s="12">
        <f t="shared" si="12"/>
        <v>488.4913973255376</v>
      </c>
      <c r="J93" s="12">
        <f t="shared" si="13"/>
        <v>113.0138438708459</v>
      </c>
      <c r="K93" s="12">
        <f t="shared" si="14"/>
        <v>13.968003175048384</v>
      </c>
    </row>
    <row r="94" spans="2:11" x14ac:dyDescent="0.25">
      <c r="B94" s="10">
        <v>90</v>
      </c>
      <c r="C94" s="11">
        <v>43981</v>
      </c>
      <c r="D94" s="12">
        <f t="shared" si="9"/>
        <v>168285.07706830796</v>
      </c>
      <c r="E94" s="12">
        <f t="shared" si="10"/>
        <v>4565.2806100487005</v>
      </c>
      <c r="F94" s="12">
        <f t="shared" si="15"/>
        <v>1403.2116662627775</v>
      </c>
      <c r="G94" s="12">
        <f t="shared" si="15"/>
        <v>173.4306553807929</v>
      </c>
      <c r="H94" s="9"/>
      <c r="I94" s="12">
        <f t="shared" si="12"/>
        <v>533.34781378077753</v>
      </c>
      <c r="J94" s="12">
        <f t="shared" si="13"/>
        <v>123.73862719580863</v>
      </c>
      <c r="K94" s="12">
        <f t="shared" si="14"/>
        <v>15.293538192740408</v>
      </c>
    </row>
    <row r="95" spans="2:11" x14ac:dyDescent="0.25">
      <c r="B95" s="10">
        <v>91</v>
      </c>
      <c r="C95" s="13">
        <v>43982</v>
      </c>
      <c r="D95" s="12">
        <f t="shared" si="9"/>
        <v>167703.10072493044</v>
      </c>
      <c r="E95" s="12">
        <f t="shared" si="10"/>
        <v>4995.0809330912807</v>
      </c>
      <c r="F95" s="12">
        <f t="shared" si="15"/>
        <v>1538.6483243608889</v>
      </c>
      <c r="G95" s="12">
        <f t="shared" si="15"/>
        <v>190.17001761763814</v>
      </c>
      <c r="H95" s="9"/>
      <c r="I95" s="12">
        <f t="shared" si="12"/>
        <v>581.97634337753686</v>
      </c>
      <c r="J95" s="12">
        <f t="shared" si="13"/>
        <v>135.43665809811142</v>
      </c>
      <c r="K95" s="12">
        <f t="shared" si="14"/>
        <v>16.739362236845249</v>
      </c>
    </row>
    <row r="96" spans="2:11" x14ac:dyDescent="0.25">
      <c r="B96" s="10">
        <v>92</v>
      </c>
      <c r="C96" s="11">
        <v>43983</v>
      </c>
      <c r="D96" s="12">
        <f t="shared" si="9"/>
        <v>167068.47511768332</v>
      </c>
      <c r="E96" s="12">
        <f t="shared" si="10"/>
        <v>5463.2038425686924</v>
      </c>
      <c r="F96" s="12">
        <f t="shared" si="15"/>
        <v>1686.8357253759302</v>
      </c>
      <c r="G96" s="12">
        <f t="shared" si="15"/>
        <v>208.48531437230619</v>
      </c>
      <c r="H96" s="9"/>
      <c r="I96" s="12">
        <f t="shared" si="12"/>
        <v>634.62560724712137</v>
      </c>
      <c r="J96" s="12">
        <f t="shared" si="13"/>
        <v>148.1874010150413</v>
      </c>
      <c r="K96" s="12">
        <f t="shared" si="14"/>
        <v>18.315296754668047</v>
      </c>
    </row>
    <row r="97" spans="2:11" x14ac:dyDescent="0.25">
      <c r="B97" s="10">
        <v>93</v>
      </c>
      <c r="C97" s="11">
        <v>43984</v>
      </c>
      <c r="D97" s="12">
        <f t="shared" si="9"/>
        <v>166376.92837784096</v>
      </c>
      <c r="E97" s="12">
        <f t="shared" si="10"/>
        <v>5972.6437876587524</v>
      </c>
      <c r="F97" s="12">
        <f t="shared" si="15"/>
        <v>1848.9107727054682</v>
      </c>
      <c r="G97" s="12">
        <f t="shared" si="15"/>
        <v>228.51706179505808</v>
      </c>
      <c r="H97" s="9"/>
      <c r="I97" s="12">
        <f t="shared" si="12"/>
        <v>691.54673984234989</v>
      </c>
      <c r="J97" s="12">
        <f t="shared" si="13"/>
        <v>162.07504732953785</v>
      </c>
      <c r="K97" s="12">
        <f t="shared" si="14"/>
        <v>20.031747422751891</v>
      </c>
    </row>
    <row r="98" spans="2:11" x14ac:dyDescent="0.25">
      <c r="B98" s="10">
        <v>94</v>
      </c>
      <c r="C98" s="11">
        <v>43985</v>
      </c>
      <c r="D98" s="12">
        <f t="shared" si="9"/>
        <v>165623.93825621609</v>
      </c>
      <c r="E98" s="12">
        <f t="shared" si="10"/>
        <v>6526.5457830283303</v>
      </c>
      <c r="F98" s="12">
        <f t="shared" si="15"/>
        <v>2026.0992050726777</v>
      </c>
      <c r="G98" s="12">
        <f t="shared" si="15"/>
        <v>250.4167556831402</v>
      </c>
      <c r="H98" s="9"/>
      <c r="I98" s="12">
        <f t="shared" si="12"/>
        <v>752.99012162486872</v>
      </c>
      <c r="J98" s="12">
        <f t="shared" si="13"/>
        <v>177.18843236720966</v>
      </c>
      <c r="K98" s="12">
        <f t="shared" si="14"/>
        <v>21.899693888082108</v>
      </c>
    </row>
    <row r="99" spans="2:11" x14ac:dyDescent="0.25">
      <c r="B99" s="10">
        <v>95</v>
      </c>
      <c r="C99" s="11">
        <v>43986</v>
      </c>
      <c r="D99" s="12">
        <f t="shared" si="9"/>
        <v>164804.73690419077</v>
      </c>
      <c r="E99" s="12">
        <f t="shared" si="10"/>
        <v>7128.1956089526993</v>
      </c>
      <c r="F99" s="12">
        <f t="shared" si="15"/>
        <v>2219.7200633025182</v>
      </c>
      <c r="G99" s="12">
        <f t="shared" si="15"/>
        <v>274.34742355424407</v>
      </c>
      <c r="H99" s="9"/>
      <c r="I99" s="12">
        <f t="shared" si="12"/>
        <v>819.20135202531299</v>
      </c>
      <c r="J99" s="12">
        <f t="shared" si="13"/>
        <v>193.62085822984045</v>
      </c>
      <c r="K99" s="12">
        <f t="shared" si="14"/>
        <v>23.930667871103896</v>
      </c>
    </row>
    <row r="100" spans="2:11" x14ac:dyDescent="0.25">
      <c r="B100" s="10">
        <v>96</v>
      </c>
      <c r="C100" s="11">
        <v>43987</v>
      </c>
      <c r="D100" s="12">
        <f t="shared" si="9"/>
        <v>163914.3205323393</v>
      </c>
      <c r="E100" s="12">
        <f t="shared" si="10"/>
        <v>7781.0054605057412</v>
      </c>
      <c r="F100" s="12">
        <f t="shared" si="15"/>
        <v>2431.189866368115</v>
      </c>
      <c r="G100" s="12">
        <f t="shared" si="15"/>
        <v>300.48414078707066</v>
      </c>
      <c r="H100" s="9"/>
      <c r="I100" s="12">
        <f t="shared" si="12"/>
        <v>890.41637185146419</v>
      </c>
      <c r="J100" s="12">
        <f t="shared" si="13"/>
        <v>211.46980306559672</v>
      </c>
      <c r="K100" s="12">
        <f t="shared" si="14"/>
        <v>26.136717232826587</v>
      </c>
    </row>
    <row r="101" spans="2:11" x14ac:dyDescent="0.25">
      <c r="B101" s="10">
        <v>97</v>
      </c>
      <c r="C101" s="11">
        <v>43988</v>
      </c>
      <c r="D101" s="12">
        <f t="shared" si="9"/>
        <v>162947.46488361323</v>
      </c>
      <c r="E101" s="12">
        <f t="shared" si="10"/>
        <v>8488.4942605483066</v>
      </c>
      <c r="F101" s="12">
        <f t="shared" si="15"/>
        <v>2662.0263616964521</v>
      </c>
      <c r="G101" s="12">
        <f t="shared" si="15"/>
        <v>329.0144941422584</v>
      </c>
      <c r="H101" s="9"/>
      <c r="I101" s="12">
        <f t="shared" si="12"/>
        <v>966.85564872608859</v>
      </c>
      <c r="J101" s="12">
        <f t="shared" si="13"/>
        <v>230.83649532833698</v>
      </c>
      <c r="K101" s="12">
        <f t="shared" si="14"/>
        <v>28.530353355187742</v>
      </c>
    </row>
    <row r="102" spans="2:11" x14ac:dyDescent="0.25">
      <c r="B102" s="10">
        <v>98</v>
      </c>
      <c r="C102" s="11">
        <v>43989</v>
      </c>
      <c r="D102" s="12">
        <f t="shared" si="9"/>
        <v>161898.74753420232</v>
      </c>
      <c r="E102" s="12">
        <f t="shared" si="10"/>
        <v>9254.261801274255</v>
      </c>
      <c r="F102" s="12">
        <f t="shared" ref="F102:G117" si="16">F101+J102</f>
        <v>2913.8516914260517</v>
      </c>
      <c r="G102" s="12">
        <f t="shared" si="16"/>
        <v>360.13897309760222</v>
      </c>
      <c r="H102" s="9"/>
      <c r="I102" s="12">
        <f t="shared" si="12"/>
        <v>1048.7173494108911</v>
      </c>
      <c r="J102" s="12">
        <f t="shared" si="13"/>
        <v>251.82532972959973</v>
      </c>
      <c r="K102" s="12">
        <f t="shared" si="14"/>
        <v>31.124478955343818</v>
      </c>
    </row>
    <row r="103" spans="2:11" x14ac:dyDescent="0.25">
      <c r="B103" s="10">
        <v>99</v>
      </c>
      <c r="C103" s="11">
        <v>43990</v>
      </c>
      <c r="D103" s="12">
        <f t="shared" si="9"/>
        <v>160762.57809350229</v>
      </c>
      <c r="E103" s="12">
        <f t="shared" si="10"/>
        <v>10081.955848598493</v>
      </c>
      <c r="F103" s="12">
        <f t="shared" si="16"/>
        <v>3188.3947915305212</v>
      </c>
      <c r="G103" s="12">
        <f t="shared" si="16"/>
        <v>394.07126636894117</v>
      </c>
      <c r="H103" s="9"/>
      <c r="I103" s="12">
        <f t="shared" si="12"/>
        <v>1136.1694407000457</v>
      </c>
      <c r="J103" s="12">
        <f t="shared" si="13"/>
        <v>274.54310010446954</v>
      </c>
      <c r="K103" s="12">
        <f t="shared" si="14"/>
        <v>33.932293271338963</v>
      </c>
    </row>
    <row r="104" spans="2:11" x14ac:dyDescent="0.25">
      <c r="B104" s="10">
        <v>100</v>
      </c>
      <c r="C104" s="11">
        <v>43991</v>
      </c>
      <c r="D104" s="12">
        <f t="shared" si="9"/>
        <v>159533.2374057163</v>
      </c>
      <c r="E104" s="12">
        <f t="shared" si="10"/>
        <v>10975.231341431205</v>
      </c>
      <c r="F104" s="12">
        <f t="shared" si="16"/>
        <v>3487.4928150389433</v>
      </c>
      <c r="G104" s="12">
        <f t="shared" si="16"/>
        <v>431.03843781380232</v>
      </c>
      <c r="H104" s="9"/>
      <c r="I104" s="12">
        <f t="shared" si="12"/>
        <v>1229.3406877859961</v>
      </c>
      <c r="J104" s="12">
        <f t="shared" si="13"/>
        <v>299.09802350842187</v>
      </c>
      <c r="K104" s="12">
        <f t="shared" si="14"/>
        <v>36.967171444861172</v>
      </c>
    </row>
    <row r="105" spans="2:11" x14ac:dyDescent="0.25">
      <c r="B105" s="10">
        <v>101</v>
      </c>
      <c r="C105" s="11">
        <v>43992</v>
      </c>
      <c r="D105" s="12">
        <f t="shared" si="9"/>
        <v>158204.92684820647</v>
      </c>
      <c r="E105" s="12">
        <f t="shared" si="10"/>
        <v>11937.700854226659</v>
      </c>
      <c r="F105" s="12">
        <f t="shared" si="16"/>
        <v>3813.0913448347355</v>
      </c>
      <c r="G105" s="12">
        <f t="shared" si="16"/>
        <v>471.28095273238341</v>
      </c>
      <c r="H105" s="9"/>
      <c r="I105" s="12">
        <f t="shared" si="12"/>
        <v>1328.3105575098296</v>
      </c>
      <c r="J105" s="12">
        <f t="shared" si="13"/>
        <v>325.59852979579239</v>
      </c>
      <c r="K105" s="12">
        <f t="shared" si="14"/>
        <v>40.242514918581122</v>
      </c>
    </row>
    <row r="106" spans="2:11" x14ac:dyDescent="0.25">
      <c r="B106" s="10">
        <v>102</v>
      </c>
      <c r="C106" s="11">
        <v>43993</v>
      </c>
      <c r="D106" s="12">
        <f t="shared" si="9"/>
        <v>156771.82876269743</v>
      </c>
      <c r="E106" s="12">
        <f t="shared" si="10"/>
        <v>12972.875577928146</v>
      </c>
      <c r="F106" s="12">
        <f t="shared" si="16"/>
        <v>4167.24313684346</v>
      </c>
      <c r="G106" s="12">
        <f t="shared" si="16"/>
        <v>515.05252253121455</v>
      </c>
      <c r="H106" s="9"/>
      <c r="I106" s="12">
        <f t="shared" si="12"/>
        <v>1433.0980855090427</v>
      </c>
      <c r="J106" s="12">
        <f t="shared" si="13"/>
        <v>354.15179200872421</v>
      </c>
      <c r="K106" s="12">
        <f t="shared" si="14"/>
        <v>43.771569798831123</v>
      </c>
    </row>
    <row r="107" spans="2:11" x14ac:dyDescent="0.25">
      <c r="B107" s="10">
        <v>103</v>
      </c>
      <c r="C107" s="11">
        <v>43994</v>
      </c>
      <c r="D107" s="12">
        <f t="shared" si="9"/>
        <v>155228.17893025416</v>
      </c>
      <c r="E107" s="12">
        <f t="shared" si="10"/>
        <v>14084.096224440493</v>
      </c>
      <c r="F107" s="12">
        <f t="shared" si="16"/>
        <v>4552.105112321995</v>
      </c>
      <c r="G107" s="12">
        <f t="shared" si="16"/>
        <v>562.61973298361784</v>
      </c>
      <c r="H107" s="9"/>
      <c r="I107" s="12">
        <f t="shared" si="12"/>
        <v>1543.6498324432848</v>
      </c>
      <c r="J107" s="12">
        <f t="shared" si="13"/>
        <v>384.86197547853493</v>
      </c>
      <c r="K107" s="12">
        <f t="shared" si="14"/>
        <v>47.567210452403245</v>
      </c>
    </row>
    <row r="108" spans="2:11" x14ac:dyDescent="0.25">
      <c r="B108" s="10">
        <v>104</v>
      </c>
      <c r="C108" s="11">
        <v>43995</v>
      </c>
      <c r="D108" s="12">
        <f t="shared" si="9"/>
        <v>153568.35179419452</v>
      </c>
      <c r="E108" s="12">
        <f t="shared" si="10"/>
        <v>15274.453486352106</v>
      </c>
      <c r="F108" s="12">
        <f t="shared" si="16"/>
        <v>4969.9333003137299</v>
      </c>
      <c r="G108" s="12">
        <f t="shared" si="16"/>
        <v>614.26141913989966</v>
      </c>
      <c r="H108" s="9"/>
      <c r="I108" s="12">
        <f t="shared" si="12"/>
        <v>1659.8271360596279</v>
      </c>
      <c r="J108" s="12">
        <f t="shared" si="13"/>
        <v>417.82818799173458</v>
      </c>
      <c r="K108" s="12">
        <f t="shared" si="14"/>
        <v>51.64168615628185</v>
      </c>
    </row>
    <row r="109" spans="2:11" x14ac:dyDescent="0.25">
      <c r="B109" s="10">
        <v>105</v>
      </c>
      <c r="C109" s="11">
        <v>43996</v>
      </c>
      <c r="D109" s="12">
        <f t="shared" si="9"/>
        <v>151786.95883151377</v>
      </c>
      <c r="E109" s="12">
        <f t="shared" si="10"/>
        <v>16546.697999487802</v>
      </c>
      <c r="F109" s="12">
        <f t="shared" si="16"/>
        <v>5423.0754204088425</v>
      </c>
      <c r="G109" s="12">
        <f t="shared" si="16"/>
        <v>670.26774858985743</v>
      </c>
      <c r="H109" s="9"/>
      <c r="I109" s="12">
        <f t="shared" si="12"/>
        <v>1781.3929626807635</v>
      </c>
      <c r="J109" s="12">
        <f t="shared" si="13"/>
        <v>453.14212009511243</v>
      </c>
      <c r="K109" s="12">
        <f t="shared" si="14"/>
        <v>56.006329449957768</v>
      </c>
    </row>
    <row r="110" spans="2:11" x14ac:dyDescent="0.25">
      <c r="B110" s="10">
        <v>106</v>
      </c>
      <c r="C110" s="11">
        <v>43997</v>
      </c>
      <c r="D110" s="12">
        <f t="shared" si="9"/>
        <v>149878.96005940088</v>
      </c>
      <c r="E110" s="12">
        <f t="shared" si="10"/>
        <v>17903.140171617761</v>
      </c>
      <c r="F110" s="12">
        <f t="shared" si="16"/>
        <v>5913.9607943936471</v>
      </c>
      <c r="G110" s="12">
        <f t="shared" si="16"/>
        <v>730.93897458797937</v>
      </c>
      <c r="H110" s="9"/>
      <c r="I110" s="12">
        <f t="shared" si="12"/>
        <v>1907.9987721128859</v>
      </c>
      <c r="J110" s="12">
        <f t="shared" si="13"/>
        <v>490.88537398480474</v>
      </c>
      <c r="K110" s="12">
        <f t="shared" si="14"/>
        <v>60.67122599812199</v>
      </c>
    </row>
    <row r="111" spans="2:11" x14ac:dyDescent="0.25">
      <c r="B111" s="10">
        <v>107</v>
      </c>
      <c r="C111" s="11">
        <v>43998</v>
      </c>
      <c r="D111" s="12">
        <f t="shared" si="9"/>
        <v>147839.78812905302</v>
      </c>
      <c r="E111" s="12">
        <f t="shared" si="10"/>
        <v>19345.540762911685</v>
      </c>
      <c r="F111" s="12">
        <f t="shared" si="16"/>
        <v>6445.0872861516409</v>
      </c>
      <c r="G111" s="12">
        <f t="shared" si="16"/>
        <v>796.58382188391124</v>
      </c>
      <c r="H111" s="9"/>
      <c r="I111" s="12">
        <f t="shared" si="12"/>
        <v>2039.1719303478476</v>
      </c>
      <c r="J111" s="12">
        <f t="shared" si="13"/>
        <v>531.12649175799345</v>
      </c>
      <c r="K111" s="12">
        <f t="shared" si="14"/>
        <v>65.644847295931839</v>
      </c>
    </row>
    <row r="112" spans="2:11" x14ac:dyDescent="0.25">
      <c r="B112" s="10">
        <v>108</v>
      </c>
      <c r="C112" s="11">
        <v>43999</v>
      </c>
      <c r="D112" s="12">
        <f t="shared" si="9"/>
        <v>145665.48380036911</v>
      </c>
      <c r="E112" s="12">
        <f t="shared" si="10"/>
        <v>20874.993732831881</v>
      </c>
      <c r="F112" s="12">
        <f t="shared" si="16"/>
        <v>7019.0049954513543</v>
      </c>
      <c r="G112" s="12">
        <f t="shared" si="16"/>
        <v>867.51747134792083</v>
      </c>
      <c r="H112" s="9"/>
      <c r="I112" s="12">
        <f t="shared" si="12"/>
        <v>2174.3043286839174</v>
      </c>
      <c r="J112" s="12">
        <f t="shared" si="13"/>
        <v>573.91770929971324</v>
      </c>
      <c r="K112" s="12">
        <f t="shared" si="14"/>
        <v>70.933649464009576</v>
      </c>
    </row>
    <row r="113" spans="2:11" x14ac:dyDescent="0.25">
      <c r="B113" s="10">
        <v>109</v>
      </c>
      <c r="C113" s="11">
        <v>44000</v>
      </c>
      <c r="D113" s="12">
        <f t="shared" si="9"/>
        <v>143352.84081330831</v>
      </c>
      <c r="E113" s="12">
        <f t="shared" si="10"/>
        <v>22491.803595464939</v>
      </c>
      <c r="F113" s="12">
        <f t="shared" si="16"/>
        <v>7638.296476192033</v>
      </c>
      <c r="G113" s="12">
        <f t="shared" si="16"/>
        <v>944.05911503497111</v>
      </c>
      <c r="H113" s="9"/>
      <c r="I113" s="12">
        <f t="shared" si="12"/>
        <v>2312.6429870607872</v>
      </c>
      <c r="J113" s="12">
        <f t="shared" si="13"/>
        <v>619.29148074067905</v>
      </c>
      <c r="K113" s="12">
        <f t="shared" si="14"/>
        <v>76.541643687050296</v>
      </c>
    </row>
    <row r="114" spans="2:11" x14ac:dyDescent="0.25">
      <c r="B114" s="10">
        <v>110</v>
      </c>
      <c r="C114" s="11">
        <v>44001</v>
      </c>
      <c r="D114" s="12">
        <f t="shared" si="9"/>
        <v>140899.55729179885</v>
      </c>
      <c r="E114" s="12">
        <f t="shared" si="10"/>
        <v>24195.360330458898</v>
      </c>
      <c r="F114" s="12">
        <f t="shared" si="16"/>
        <v>8305.5533161908261</v>
      </c>
      <c r="G114" s="12">
        <f t="shared" si="16"/>
        <v>1026.529061551676</v>
      </c>
      <c r="H114" s="9"/>
      <c r="I114" s="12">
        <f t="shared" si="12"/>
        <v>2453.2835215094551</v>
      </c>
      <c r="J114" s="12">
        <f t="shared" si="13"/>
        <v>667.256839998793</v>
      </c>
      <c r="K114" s="12">
        <f t="shared" si="14"/>
        <v>82.469946516704852</v>
      </c>
    </row>
    <row r="115" spans="2:11" x14ac:dyDescent="0.25">
      <c r="B115" s="10">
        <v>111</v>
      </c>
      <c r="C115" s="11">
        <v>44002</v>
      </c>
      <c r="D115" s="12">
        <f t="shared" si="9"/>
        <v>138304.38986599684</v>
      </c>
      <c r="E115" s="12">
        <f t="shared" si="10"/>
        <v>25984.015745245622</v>
      </c>
      <c r="F115" s="12">
        <f t="shared" si="16"/>
        <v>9023.3490059944397</v>
      </c>
      <c r="G115" s="12">
        <f t="shared" si="16"/>
        <v>1115.2453827633587</v>
      </c>
      <c r="H115" s="9"/>
      <c r="I115" s="12">
        <f t="shared" si="12"/>
        <v>2595.1674258020207</v>
      </c>
      <c r="J115" s="12">
        <f t="shared" si="13"/>
        <v>717.79568980361387</v>
      </c>
      <c r="K115" s="12">
        <f t="shared" si="14"/>
        <v>88.716321211682711</v>
      </c>
    </row>
    <row r="116" spans="2:11" x14ac:dyDescent="0.25">
      <c r="B116" s="10">
        <v>112</v>
      </c>
      <c r="C116" s="11">
        <v>44003</v>
      </c>
      <c r="D116" s="12">
        <f t="shared" si="9"/>
        <v>135567.3057273913</v>
      </c>
      <c r="E116" s="12">
        <f t="shared" si="10"/>
        <v>27854.966025676305</v>
      </c>
      <c r="F116" s="12">
        <f t="shared" si="16"/>
        <v>9794.2081397700604</v>
      </c>
      <c r="G116" s="12">
        <f t="shared" si="16"/>
        <v>1210.5201071625927</v>
      </c>
      <c r="H116" s="9"/>
      <c r="I116" s="12">
        <f t="shared" si="12"/>
        <v>2737.0841386055363</v>
      </c>
      <c r="J116" s="12">
        <f t="shared" si="13"/>
        <v>770.85913377562008</v>
      </c>
      <c r="K116" s="12">
        <f t="shared" si="14"/>
        <v>95.274724399234032</v>
      </c>
    </row>
    <row r="117" spans="2:11" x14ac:dyDescent="0.25">
      <c r="B117" s="10">
        <v>113</v>
      </c>
      <c r="C117" s="11">
        <v>44004</v>
      </c>
      <c r="D117" s="12">
        <f t="shared" si="9"/>
        <v>132689.62690561521</v>
      </c>
      <c r="E117" s="12">
        <f t="shared" si="10"/>
        <v>29804.14597992985</v>
      </c>
      <c r="F117" s="12">
        <f t="shared" si="16"/>
        <v>10620.572131865125</v>
      </c>
      <c r="G117" s="12">
        <f t="shared" si="16"/>
        <v>1312.6549825900727</v>
      </c>
      <c r="H117" s="9"/>
      <c r="I117" s="12">
        <f t="shared" si="12"/>
        <v>2877.6788217760877</v>
      </c>
      <c r="J117" s="12">
        <f t="shared" si="13"/>
        <v>826.36399209506374</v>
      </c>
      <c r="K117" s="12">
        <f t="shared" si="14"/>
        <v>102.13487542747988</v>
      </c>
    </row>
    <row r="118" spans="2:11" x14ac:dyDescent="0.25">
      <c r="B118" s="10">
        <v>114</v>
      </c>
      <c r="C118" s="11">
        <v>44005</v>
      </c>
      <c r="D118" s="12">
        <f t="shared" si="9"/>
        <v>129674.16025951263</v>
      </c>
      <c r="E118" s="12">
        <f t="shared" si="10"/>
        <v>31826.141093368104</v>
      </c>
      <c r="F118" s="12">
        <f t="shared" ref="F118:G133" si="17">F117+J118</f>
        <v>11504.761795936378</v>
      </c>
      <c r="G118" s="12">
        <f t="shared" si="17"/>
        <v>1421.936851183149</v>
      </c>
      <c r="H118" s="9"/>
      <c r="I118" s="12">
        <f t="shared" si="12"/>
        <v>3015.4666461025786</v>
      </c>
      <c r="J118" s="12">
        <f t="shared" si="13"/>
        <v>884.1896640712522</v>
      </c>
      <c r="K118" s="12">
        <f t="shared" si="14"/>
        <v>109.28186859307623</v>
      </c>
    </row>
    <row r="119" spans="2:11" x14ac:dyDescent="0.25">
      <c r="B119" s="10">
        <v>115</v>
      </c>
      <c r="C119" s="11">
        <v>44006</v>
      </c>
      <c r="D119" s="12">
        <f t="shared" si="9"/>
        <v>126525.30610460047</v>
      </c>
      <c r="E119" s="12">
        <f t="shared" si="10"/>
        <v>33914.123878501319</v>
      </c>
      <c r="F119" s="12">
        <f t="shared" si="17"/>
        <v>12448.937315039631</v>
      </c>
      <c r="G119" s="12">
        <f t="shared" si="17"/>
        <v>1538.6327018588322</v>
      </c>
      <c r="H119" s="9"/>
      <c r="I119" s="12">
        <f t="shared" si="12"/>
        <v>3148.8541549121546</v>
      </c>
      <c r="J119" s="12">
        <f t="shared" si="13"/>
        <v>944.17551910325358</v>
      </c>
      <c r="K119" s="12">
        <f t="shared" si="14"/>
        <v>116.69585067568316</v>
      </c>
    </row>
    <row r="120" spans="2:11" x14ac:dyDescent="0.25">
      <c r="B120" s="10">
        <v>116</v>
      </c>
      <c r="C120" s="11">
        <v>44007</v>
      </c>
      <c r="D120" s="12">
        <f t="shared" si="9"/>
        <v>123249.13815697444</v>
      </c>
      <c r="E120" s="12">
        <f t="shared" si="10"/>
        <v>36059.821030177307</v>
      </c>
      <c r="F120" s="12">
        <f t="shared" si="17"/>
        <v>13455.05632343517</v>
      </c>
      <c r="G120" s="12">
        <f t="shared" si="17"/>
        <v>1662.9844894133371</v>
      </c>
      <c r="H120" s="9"/>
      <c r="I120" s="12">
        <f t="shared" si="12"/>
        <v>3276.1679476260292</v>
      </c>
      <c r="J120" s="12">
        <f t="shared" si="13"/>
        <v>1006.119008395539</v>
      </c>
      <c r="K120" s="12">
        <f t="shared" si="14"/>
        <v>124.35178755450494</v>
      </c>
    </row>
    <row r="121" spans="2:11" x14ac:dyDescent="0.25">
      <c r="B121" s="10">
        <v>117</v>
      </c>
      <c r="C121" s="11">
        <v>44008</v>
      </c>
      <c r="D121" s="12">
        <f t="shared" si="9"/>
        <v>119853.44765786984</v>
      </c>
      <c r="E121" s="12">
        <f t="shared" si="10"/>
        <v>38253.517494942666</v>
      </c>
      <c r="F121" s="12">
        <f t="shared" si="17"/>
        <v>14524.831013997096</v>
      </c>
      <c r="G121" s="12">
        <f t="shared" si="17"/>
        <v>1795.203833190654</v>
      </c>
      <c r="H121" s="9"/>
      <c r="I121" s="12">
        <f t="shared" si="12"/>
        <v>3395.6904991046054</v>
      </c>
      <c r="J121" s="12">
        <f t="shared" si="13"/>
        <v>1069.7746905619267</v>
      </c>
      <c r="K121" s="12">
        <f t="shared" si="14"/>
        <v>132.21934377731691</v>
      </c>
    </row>
    <row r="122" spans="2:11" x14ac:dyDescent="0.25">
      <c r="B122" s="10">
        <v>118</v>
      </c>
      <c r="C122" s="11">
        <v>44009</v>
      </c>
      <c r="D122" s="12">
        <f t="shared" si="9"/>
        <v>116347.74523376906</v>
      </c>
      <c r="E122" s="12">
        <f t="shared" si="10"/>
        <v>40484.102669212021</v>
      </c>
      <c r="F122" s="12">
        <f t="shared" si="17"/>
        <v>15659.685366347061</v>
      </c>
      <c r="G122" s="12">
        <f t="shared" si="17"/>
        <v>1935.4667306721105</v>
      </c>
      <c r="H122" s="9"/>
      <c r="I122" s="12">
        <f t="shared" si="12"/>
        <v>3505.7024241007821</v>
      </c>
      <c r="J122" s="12">
        <f t="shared" si="13"/>
        <v>1134.8543523499657</v>
      </c>
      <c r="K122" s="12">
        <f t="shared" si="14"/>
        <v>140.26289748145658</v>
      </c>
    </row>
    <row r="123" spans="2:11" x14ac:dyDescent="0.25">
      <c r="B123" s="10">
        <v>119</v>
      </c>
      <c r="C123" s="11">
        <v>44010</v>
      </c>
      <c r="D123" s="12">
        <f t="shared" si="9"/>
        <v>112743.21529203141</v>
      </c>
      <c r="E123" s="12">
        <f t="shared" si="10"/>
        <v>42739.162521975944</v>
      </c>
      <c r="F123" s="12">
        <f t="shared" si="17"/>
        <v>16860.713745533685</v>
      </c>
      <c r="G123" s="12">
        <f t="shared" si="17"/>
        <v>2083.9084404592213</v>
      </c>
      <c r="H123" s="9"/>
      <c r="I123" s="12">
        <f t="shared" si="12"/>
        <v>3604.5299417376568</v>
      </c>
      <c r="J123" s="12">
        <f t="shared" si="13"/>
        <v>1201.0283791866232</v>
      </c>
      <c r="K123" s="12">
        <f t="shared" si="14"/>
        <v>148.44170978711088</v>
      </c>
    </row>
    <row r="124" spans="2:11" x14ac:dyDescent="0.25">
      <c r="B124" s="10">
        <v>120</v>
      </c>
      <c r="C124" s="11">
        <v>44011</v>
      </c>
      <c r="D124" s="12">
        <f t="shared" si="9"/>
        <v>109052.6195526971</v>
      </c>
      <c r="E124" s="12">
        <f t="shared" si="10"/>
        <v>45005.119510577722</v>
      </c>
      <c r="F124" s="12">
        <f t="shared" si="17"/>
        <v>18128.642233685638</v>
      </c>
      <c r="G124" s="12">
        <f t="shared" si="17"/>
        <v>2240.6187030398</v>
      </c>
      <c r="H124" s="9"/>
      <c r="I124" s="12">
        <f t="shared" si="12"/>
        <v>3690.5957393343133</v>
      </c>
      <c r="J124" s="12">
        <f t="shared" si="13"/>
        <v>1267.9284881519529</v>
      </c>
      <c r="K124" s="12">
        <f t="shared" si="14"/>
        <v>156.71026258057861</v>
      </c>
    </row>
    <row r="125" spans="2:11" x14ac:dyDescent="0.25">
      <c r="B125" s="10">
        <v>121</v>
      </c>
      <c r="C125" s="13">
        <v>44012</v>
      </c>
      <c r="D125" s="12">
        <f t="shared" si="9"/>
        <v>105290.14861660775</v>
      </c>
      <c r="E125" s="12">
        <f t="shared" si="10"/>
        <v>47267.419796314476</v>
      </c>
      <c r="F125" s="12">
        <f t="shared" si="17"/>
        <v>19463.794112499443</v>
      </c>
      <c r="G125" s="12">
        <f t="shared" si="17"/>
        <v>2405.6374745785852</v>
      </c>
      <c r="H125" s="9"/>
      <c r="I125" s="12">
        <f t="shared" si="12"/>
        <v>3762.4709360893471</v>
      </c>
      <c r="J125" s="12">
        <f t="shared" si="13"/>
        <v>1335.1518788138055</v>
      </c>
      <c r="K125" s="12">
        <f t="shared" si="14"/>
        <v>165.01877153878513</v>
      </c>
    </row>
    <row r="126" spans="2:11" x14ac:dyDescent="0.25">
      <c r="B126" s="10">
        <v>122</v>
      </c>
      <c r="C126" s="11">
        <v>44013</v>
      </c>
      <c r="D126" s="12">
        <f t="shared" si="9"/>
        <v>101471.22314813199</v>
      </c>
      <c r="E126" s="12">
        <f t="shared" si="10"/>
        <v>49510.764604913093</v>
      </c>
      <c r="F126" s="12">
        <f t="shared" si="17"/>
        <v>20866.060899790107</v>
      </c>
      <c r="G126" s="12">
        <f t="shared" si="17"/>
        <v>2578.9513471650716</v>
      </c>
      <c r="H126" s="9"/>
      <c r="I126" s="12">
        <f t="shared" si="12"/>
        <v>3818.925468475763</v>
      </c>
      <c r="J126" s="12">
        <f t="shared" si="13"/>
        <v>1402.2667872906627</v>
      </c>
      <c r="K126" s="12">
        <f t="shared" si="14"/>
        <v>173.31387258648655</v>
      </c>
    </row>
    <row r="127" spans="2:11" x14ac:dyDescent="0.25">
      <c r="B127" s="10">
        <v>123</v>
      </c>
      <c r="C127" s="11">
        <v>44014</v>
      </c>
      <c r="D127" s="12">
        <f t="shared" si="9"/>
        <v>97612.249126981536</v>
      </c>
      <c r="E127" s="12">
        <f t="shared" si="10"/>
        <v>51719.379805899778</v>
      </c>
      <c r="F127" s="12">
        <f t="shared" si="17"/>
        <v>22334.880249735863</v>
      </c>
      <c r="G127" s="12">
        <f t="shared" si="17"/>
        <v>2760.4908173830863</v>
      </c>
      <c r="H127" s="9"/>
      <c r="I127" s="12">
        <f t="shared" si="12"/>
        <v>3858.9740211504513</v>
      </c>
      <c r="J127" s="12">
        <f t="shared" si="13"/>
        <v>1468.819349945755</v>
      </c>
      <c r="K127" s="12">
        <f t="shared" si="14"/>
        <v>181.53947021801483</v>
      </c>
    </row>
    <row r="128" spans="2:11" x14ac:dyDescent="0.25">
      <c r="B128" s="10">
        <v>124</v>
      </c>
      <c r="C128" s="11">
        <v>44015</v>
      </c>
      <c r="D128" s="12">
        <f t="shared" si="9"/>
        <v>93730.334469513036</v>
      </c>
      <c r="E128" s="12">
        <f t="shared" si="10"/>
        <v>53877.315136504963</v>
      </c>
      <c r="F128" s="12">
        <f t="shared" si="17"/>
        <v>23869.221850644222</v>
      </c>
      <c r="G128" s="12">
        <f t="shared" si="17"/>
        <v>2950.1285433380522</v>
      </c>
      <c r="H128" s="9"/>
      <c r="I128" s="12">
        <f t="shared" si="12"/>
        <v>3881.9146574685069</v>
      </c>
      <c r="J128" s="12">
        <f t="shared" si="13"/>
        <v>1534.3416009083599</v>
      </c>
      <c r="K128" s="12">
        <f t="shared" si="14"/>
        <v>189.63772595496602</v>
      </c>
    </row>
    <row r="129" spans="2:11" x14ac:dyDescent="0.25">
      <c r="B129" s="10">
        <v>125</v>
      </c>
      <c r="C129" s="11">
        <v>44016</v>
      </c>
      <c r="D129" s="12">
        <f t="shared" si="9"/>
        <v>89842.976881741124</v>
      </c>
      <c r="E129" s="12">
        <f t="shared" si="10"/>
        <v>55968.762219726705</v>
      </c>
      <c r="F129" s="12">
        <f t="shared" si="17"/>
        <v>25467.582199693868</v>
      </c>
      <c r="G129" s="12">
        <f t="shared" si="17"/>
        <v>3147.6786988385707</v>
      </c>
      <c r="H129" s="9"/>
      <c r="I129" s="12">
        <f t="shared" si="12"/>
        <v>3887.3575877719068</v>
      </c>
      <c r="J129" s="12">
        <f t="shared" si="13"/>
        <v>1598.3603490496471</v>
      </c>
      <c r="K129" s="12">
        <f t="shared" si="14"/>
        <v>197.55015550051837</v>
      </c>
    </row>
    <row r="130" spans="2:11" x14ac:dyDescent="0.25">
      <c r="B130" s="10">
        <v>126</v>
      </c>
      <c r="C130" s="11">
        <v>44017</v>
      </c>
      <c r="D130" s="12">
        <f t="shared" si="9"/>
        <v>85967.734834394418</v>
      </c>
      <c r="E130" s="12">
        <f t="shared" si="10"/>
        <v>57978.378859749188</v>
      </c>
      <c r="F130" s="12">
        <f t="shared" si="17"/>
        <v>27127.988812212428</v>
      </c>
      <c r="G130" s="12">
        <f t="shared" si="17"/>
        <v>3352.8974936442355</v>
      </c>
      <c r="H130" s="9"/>
      <c r="I130" s="12">
        <f t="shared" si="12"/>
        <v>3875.2420473467032</v>
      </c>
      <c r="J130" s="12">
        <f t="shared" si="13"/>
        <v>1660.4066125185589</v>
      </c>
      <c r="K130" s="12">
        <f t="shared" si="14"/>
        <v>205.21879480566477</v>
      </c>
    </row>
    <row r="131" spans="2:11" x14ac:dyDescent="0.25">
      <c r="B131" s="10">
        <v>127</v>
      </c>
      <c r="C131" s="11">
        <v>44018</v>
      </c>
      <c r="D131" s="12">
        <f t="shared" si="9"/>
        <v>82121.89483200114</v>
      </c>
      <c r="E131" s="12">
        <f t="shared" si="10"/>
        <v>59891.606233484163</v>
      </c>
      <c r="F131" s="12">
        <f t="shared" si="17"/>
        <v>28848.014051718321</v>
      </c>
      <c r="G131" s="12">
        <f t="shared" si="17"/>
        <v>3565.4848827966493</v>
      </c>
      <c r="H131" s="9"/>
      <c r="I131" s="12">
        <f t="shared" si="12"/>
        <v>3845.8400023932832</v>
      </c>
      <c r="J131" s="12">
        <f t="shared" si="13"/>
        <v>1720.0252395058924</v>
      </c>
      <c r="K131" s="12">
        <f t="shared" si="14"/>
        <v>212.58738915241386</v>
      </c>
    </row>
    <row r="132" spans="2:11" x14ac:dyDescent="0.25">
      <c r="B132" s="10">
        <v>128</v>
      </c>
      <c r="C132" s="11">
        <v>44019</v>
      </c>
      <c r="D132" s="12">
        <f t="shared" si="9"/>
        <v>78322.148537893518</v>
      </c>
      <c r="E132" s="12">
        <f t="shared" si="10"/>
        <v>61694.965653142302</v>
      </c>
      <c r="F132" s="12">
        <f t="shared" si="17"/>
        <v>30624.798369978351</v>
      </c>
      <c r="G132" s="12">
        <f t="shared" si="17"/>
        <v>3785.0874389860915</v>
      </c>
      <c r="H132" s="9"/>
      <c r="I132" s="12">
        <f t="shared" si="12"/>
        <v>3799.7462941076174</v>
      </c>
      <c r="J132" s="12">
        <f t="shared" si="13"/>
        <v>1776.78431826003</v>
      </c>
      <c r="K132" s="12">
        <f t="shared" si="14"/>
        <v>219.60255618944211</v>
      </c>
    </row>
    <row r="133" spans="2:11" x14ac:dyDescent="0.25">
      <c r="B133" s="10">
        <v>129</v>
      </c>
      <c r="C133" s="11">
        <v>44020</v>
      </c>
      <c r="D133" s="12">
        <f t="shared" si="9"/>
        <v>74584.292759875767</v>
      </c>
      <c r="E133" s="12">
        <f t="shared" si="10"/>
        <v>63376.322576055303</v>
      </c>
      <c r="F133" s="12">
        <f t="shared" si="17"/>
        <v>32455.082351021571</v>
      </c>
      <c r="G133" s="12">
        <f t="shared" si="17"/>
        <v>4011.3023130476136</v>
      </c>
      <c r="H133" s="9"/>
      <c r="I133" s="12">
        <f t="shared" si="12"/>
        <v>3737.8557780177466</v>
      </c>
      <c r="J133" s="12">
        <f t="shared" si="13"/>
        <v>1830.2839810432213</v>
      </c>
      <c r="K133" s="12">
        <f t="shared" si="14"/>
        <v>226.21487406152198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70922.963841939636</v>
      </c>
      <c r="E134" s="12">
        <f t="shared" ref="E134:E197" si="19">E133+I134-J134-K134</f>
        <v>64925.107408122924</v>
      </c>
      <c r="F134" s="12">
        <f t="shared" ref="F134:G149" si="20">F133+J134</f>
        <v>34335.246587444548</v>
      </c>
      <c r="G134" s="12">
        <f t="shared" si="20"/>
        <v>4243.6821624931499</v>
      </c>
      <c r="H134" s="9"/>
      <c r="I134" s="12">
        <f t="shared" ref="I134:I197" si="21">E133*N$6*D133/SUM(D133:F133)*N$7</f>
        <v>3661.3289179361354</v>
      </c>
      <c r="J134" s="12">
        <f t="shared" ref="J134:J197" si="22">E133*N$8/N$5</f>
        <v>1880.1642364229738</v>
      </c>
      <c r="K134" s="12">
        <f t="shared" ref="K134:K197" si="23">E133*N$9/N$5</f>
        <v>232.37984944553631</v>
      </c>
    </row>
    <row r="135" spans="2:11" x14ac:dyDescent="0.25">
      <c r="B135" s="10">
        <v>131</v>
      </c>
      <c r="C135" s="11">
        <v>44022</v>
      </c>
      <c r="D135" s="12">
        <f t="shared" si="18"/>
        <v>67351.415786102123</v>
      </c>
      <c r="E135" s="12">
        <f t="shared" si="19"/>
        <v>66332.485217023001</v>
      </c>
      <c r="F135" s="12">
        <f t="shared" si="20"/>
        <v>36261.358107218861</v>
      </c>
      <c r="G135" s="12">
        <f t="shared" si="20"/>
        <v>4481.7408896562674</v>
      </c>
      <c r="H135" s="9"/>
      <c r="I135" s="12">
        <f t="shared" si="21"/>
        <v>3571.5480558375134</v>
      </c>
      <c r="J135" s="12">
        <f t="shared" si="22"/>
        <v>1926.1115197743131</v>
      </c>
      <c r="K135" s="12">
        <f t="shared" si="23"/>
        <v>238.0587271631176</v>
      </c>
    </row>
    <row r="136" spans="2:11" x14ac:dyDescent="0.25">
      <c r="B136" s="10">
        <v>132</v>
      </c>
      <c r="C136" s="11">
        <v>44023</v>
      </c>
      <c r="D136" s="12">
        <f t="shared" si="18"/>
        <v>63881.34866196959</v>
      </c>
      <c r="E136" s="12">
        <f t="shared" si="19"/>
        <v>67591.469500588093</v>
      </c>
      <c r="F136" s="12">
        <f t="shared" si="20"/>
        <v>38229.221835323879</v>
      </c>
      <c r="G136" s="12">
        <f t="shared" si="20"/>
        <v>4724.9600021186852</v>
      </c>
      <c r="H136" s="9"/>
      <c r="I136" s="12">
        <f t="shared" si="21"/>
        <v>3470.0671241325299</v>
      </c>
      <c r="J136" s="12">
        <f t="shared" si="22"/>
        <v>1967.8637281050153</v>
      </c>
      <c r="K136" s="12">
        <f t="shared" si="23"/>
        <v>243.21911246241788</v>
      </c>
    </row>
    <row r="137" spans="2:11" x14ac:dyDescent="0.25">
      <c r="B137" s="10">
        <v>133</v>
      </c>
      <c r="C137" s="11">
        <v>44024</v>
      </c>
      <c r="D137" s="12">
        <f t="shared" si="18"/>
        <v>60522.790813560387</v>
      </c>
      <c r="E137" s="12">
        <f t="shared" si="19"/>
        <v>68696.978365644361</v>
      </c>
      <c r="F137" s="12">
        <f t="shared" si="20"/>
        <v>40234.435430507991</v>
      </c>
      <c r="G137" s="12">
        <f t="shared" si="20"/>
        <v>4972.7953902875088</v>
      </c>
      <c r="H137" s="9"/>
      <c r="I137" s="12">
        <f t="shared" si="21"/>
        <v>3358.5578484092039</v>
      </c>
      <c r="J137" s="12">
        <f t="shared" si="22"/>
        <v>2005.213595184113</v>
      </c>
      <c r="K137" s="12">
        <f t="shared" si="23"/>
        <v>247.83538816882321</v>
      </c>
    </row>
    <row r="138" spans="2:11" x14ac:dyDescent="0.25">
      <c r="B138" s="10">
        <v>134</v>
      </c>
      <c r="C138" s="11">
        <v>44025</v>
      </c>
      <c r="D138" s="12">
        <f t="shared" si="18"/>
        <v>57284.035318436938</v>
      </c>
      <c r="E138" s="12">
        <f t="shared" si="19"/>
        <v>69645.834581913005</v>
      </c>
      <c r="F138" s="12">
        <f t="shared" si="20"/>
        <v>42272.445788688776</v>
      </c>
      <c r="G138" s="12">
        <f t="shared" si="20"/>
        <v>5224.6843109615384</v>
      </c>
      <c r="H138" s="9"/>
      <c r="I138" s="12">
        <f t="shared" si="21"/>
        <v>3238.7554951234483</v>
      </c>
      <c r="J138" s="12">
        <f t="shared" si="22"/>
        <v>2038.0103581807825</v>
      </c>
      <c r="K138" s="12">
        <f t="shared" si="23"/>
        <v>251.88892067402955</v>
      </c>
    </row>
    <row r="139" spans="2:11" x14ac:dyDescent="0.25">
      <c r="B139" s="10">
        <v>135</v>
      </c>
      <c r="C139" s="11">
        <v>44026</v>
      </c>
      <c r="D139" s="12">
        <f t="shared" si="18"/>
        <v>54171.628345826794</v>
      </c>
      <c r="E139" s="12">
        <f t="shared" si="19"/>
        <v>70436.713735126046</v>
      </c>
      <c r="F139" s="12">
        <f t="shared" si="20"/>
        <v>44338.605547952197</v>
      </c>
      <c r="G139" s="12">
        <f t="shared" si="20"/>
        <v>5480.0523710952193</v>
      </c>
      <c r="H139" s="9"/>
      <c r="I139" s="12">
        <f t="shared" si="21"/>
        <v>3112.4069726101411</v>
      </c>
      <c r="J139" s="12">
        <f t="shared" si="22"/>
        <v>2066.1597592634189</v>
      </c>
      <c r="K139" s="12">
        <f t="shared" si="23"/>
        <v>255.36806013368124</v>
      </c>
    </row>
    <row r="140" spans="2:11" x14ac:dyDescent="0.25">
      <c r="B140" s="10">
        <v>136</v>
      </c>
      <c r="C140" s="11">
        <v>44027</v>
      </c>
      <c r="D140" s="12">
        <f t="shared" si="18"/>
        <v>51190.404700106235</v>
      </c>
      <c r="E140" s="12">
        <f t="shared" si="19"/>
        <v>71070.046923009068</v>
      </c>
      <c r="F140" s="12">
        <f t="shared" si="20"/>
        <v>46428.2280554276</v>
      </c>
      <c r="G140" s="12">
        <f t="shared" si="20"/>
        <v>5738.3203214573487</v>
      </c>
      <c r="H140" s="9"/>
      <c r="I140" s="12">
        <f t="shared" si="21"/>
        <v>2981.223645720559</v>
      </c>
      <c r="J140" s="12">
        <f t="shared" si="22"/>
        <v>2089.6225074754057</v>
      </c>
      <c r="K140" s="12">
        <f t="shared" si="23"/>
        <v>258.26795036212906</v>
      </c>
    </row>
    <row r="141" spans="2:11" x14ac:dyDescent="0.25">
      <c r="B141" s="10">
        <v>137</v>
      </c>
      <c r="C141" s="11">
        <v>44028</v>
      </c>
      <c r="D141" s="12">
        <f t="shared" si="18"/>
        <v>48343.564057515432</v>
      </c>
      <c r="E141" s="12">
        <f t="shared" si="19"/>
        <v>71547.886001499573</v>
      </c>
      <c r="F141" s="12">
        <f t="shared" si="20"/>
        <v>48536.639447476868</v>
      </c>
      <c r="G141" s="12">
        <f t="shared" si="20"/>
        <v>5998.9104935083824</v>
      </c>
      <c r="H141" s="9"/>
      <c r="I141" s="12">
        <f t="shared" si="21"/>
        <v>2846.8406425908042</v>
      </c>
      <c r="J141" s="12">
        <f t="shared" si="22"/>
        <v>2108.4113920492687</v>
      </c>
      <c r="K141" s="12">
        <f t="shared" si="23"/>
        <v>260.59017205103351</v>
      </c>
    </row>
    <row r="142" spans="2:11" x14ac:dyDescent="0.25">
      <c r="B142" s="10">
        <v>138</v>
      </c>
      <c r="C142" s="11">
        <v>44029</v>
      </c>
      <c r="D142" s="12">
        <f t="shared" si="18"/>
        <v>45632.78026681811</v>
      </c>
      <c r="E142" s="12">
        <f t="shared" si="19"/>
        <v>71873.740258813574</v>
      </c>
      <c r="F142" s="12">
        <f t="shared" si="20"/>
        <v>50659.226732188021</v>
      </c>
      <c r="G142" s="12">
        <f t="shared" si="20"/>
        <v>6261.252742180548</v>
      </c>
      <c r="H142" s="9"/>
      <c r="I142" s="12">
        <f t="shared" si="21"/>
        <v>2710.7837906973255</v>
      </c>
      <c r="J142" s="12">
        <f t="shared" si="22"/>
        <v>2122.5872847111536</v>
      </c>
      <c r="K142" s="12">
        <f t="shared" si="23"/>
        <v>262.34224867216534</v>
      </c>
    </row>
    <row r="143" spans="2:11" x14ac:dyDescent="0.25">
      <c r="B143" s="10">
        <v>139</v>
      </c>
      <c r="C143" s="11">
        <v>44030</v>
      </c>
      <c r="D143" s="12">
        <f t="shared" si="18"/>
        <v>43058.335579026541</v>
      </c>
      <c r="E143" s="12">
        <f t="shared" si="19"/>
        <v>72052.393604644676</v>
      </c>
      <c r="F143" s="12">
        <f t="shared" si="20"/>
        <v>52791.481026532827</v>
      </c>
      <c r="G143" s="12">
        <f t="shared" si="20"/>
        <v>6524.7897897961984</v>
      </c>
      <c r="H143" s="9"/>
      <c r="I143" s="12">
        <f t="shared" si="21"/>
        <v>2574.444687791568</v>
      </c>
      <c r="J143" s="12">
        <f t="shared" si="22"/>
        <v>2132.2542943448025</v>
      </c>
      <c r="K143" s="12">
        <f t="shared" si="23"/>
        <v>263.53704761565001</v>
      </c>
    </row>
    <row r="144" spans="2:11" x14ac:dyDescent="0.25">
      <c r="B144" s="10">
        <v>140</v>
      </c>
      <c r="C144" s="11">
        <v>44031</v>
      </c>
      <c r="D144" s="12">
        <f t="shared" si="18"/>
        <v>40619.271731227178</v>
      </c>
      <c r="E144" s="12">
        <f t="shared" si="19"/>
        <v>72089.710998955896</v>
      </c>
      <c r="F144" s="12">
        <f t="shared" si="20"/>
        <v>54929.035370137288</v>
      </c>
      <c r="G144" s="12">
        <f t="shared" si="20"/>
        <v>6788.9818996798958</v>
      </c>
      <c r="H144" s="9"/>
      <c r="I144" s="12">
        <f t="shared" si="21"/>
        <v>2439.0638477993666</v>
      </c>
      <c r="J144" s="12">
        <f t="shared" si="22"/>
        <v>2137.5543436044586</v>
      </c>
      <c r="K144" s="12">
        <f t="shared" si="23"/>
        <v>264.19210988369736</v>
      </c>
    </row>
    <row r="145" spans="2:11" x14ac:dyDescent="0.25">
      <c r="B145" s="10">
        <v>141</v>
      </c>
      <c r="C145" s="11">
        <v>44032</v>
      </c>
      <c r="D145" s="12">
        <f t="shared" si="18"/>
        <v>38313.550330364138</v>
      </c>
      <c r="E145" s="12">
        <f t="shared" si="19"/>
        <v>71992.442033187079</v>
      </c>
      <c r="F145" s="12">
        <f t="shared" si="20"/>
        <v>57067.696796439646</v>
      </c>
      <c r="G145" s="12">
        <f t="shared" si="20"/>
        <v>7053.3108400094006</v>
      </c>
      <c r="H145" s="9"/>
      <c r="I145" s="12">
        <f t="shared" si="21"/>
        <v>2305.7214008630372</v>
      </c>
      <c r="J145" s="12">
        <f t="shared" si="22"/>
        <v>2138.661426302358</v>
      </c>
      <c r="K145" s="12">
        <f t="shared" si="23"/>
        <v>264.3289403295052</v>
      </c>
    </row>
    <row r="146" spans="2:11" x14ac:dyDescent="0.25">
      <c r="B146" s="10">
        <v>142</v>
      </c>
      <c r="C146" s="11">
        <v>44033</v>
      </c>
      <c r="D146" s="12">
        <f t="shared" si="18"/>
        <v>36138.215840268633</v>
      </c>
      <c r="E146" s="12">
        <f t="shared" si="19"/>
        <v>71768.028455509673</v>
      </c>
      <c r="F146" s="12">
        <f t="shared" si="20"/>
        <v>59203.472576757529</v>
      </c>
      <c r="G146" s="12">
        <f t="shared" si="20"/>
        <v>7317.2831274644204</v>
      </c>
      <c r="H146" s="9"/>
      <c r="I146" s="12">
        <f t="shared" si="21"/>
        <v>2175.3344900955049</v>
      </c>
      <c r="J146" s="12">
        <f t="shared" si="22"/>
        <v>2135.7757803178833</v>
      </c>
      <c r="K146" s="12">
        <f t="shared" si="23"/>
        <v>263.97228745501951</v>
      </c>
    </row>
    <row r="147" spans="2:11" x14ac:dyDescent="0.25">
      <c r="B147" s="10">
        <v>143</v>
      </c>
      <c r="C147" s="11">
        <v>44034</v>
      </c>
      <c r="D147" s="12">
        <f t="shared" si="18"/>
        <v>34089.55554228674</v>
      </c>
      <c r="E147" s="12">
        <f t="shared" si="19"/>
        <v>71424.421138307909</v>
      </c>
      <c r="F147" s="12">
        <f t="shared" si="20"/>
        <v>61332.590754270983</v>
      </c>
      <c r="G147" s="12">
        <f t="shared" si="20"/>
        <v>7580.4325651346226</v>
      </c>
      <c r="H147" s="9"/>
      <c r="I147" s="12">
        <f t="shared" si="21"/>
        <v>2048.6602979818927</v>
      </c>
      <c r="J147" s="12">
        <f t="shared" si="22"/>
        <v>2129.1181775134532</v>
      </c>
      <c r="K147" s="12">
        <f t="shared" si="23"/>
        <v>263.14943767020236</v>
      </c>
    </row>
    <row r="148" spans="2:11" x14ac:dyDescent="0.25">
      <c r="B148" s="10">
        <v>144</v>
      </c>
      <c r="C148" s="11">
        <v>44035</v>
      </c>
      <c r="D148" s="12">
        <f t="shared" si="18"/>
        <v>32163.252000204509</v>
      </c>
      <c r="E148" s="12">
        <f t="shared" si="19"/>
        <v>70969.910642446543</v>
      </c>
      <c r="F148" s="12">
        <f t="shared" si="20"/>
        <v>63451.515248040785</v>
      </c>
      <c r="G148" s="12">
        <f t="shared" si="20"/>
        <v>7842.3221093084185</v>
      </c>
      <c r="H148" s="9"/>
      <c r="I148" s="12">
        <f t="shared" si="21"/>
        <v>1926.3035420822314</v>
      </c>
      <c r="J148" s="12">
        <f t="shared" si="22"/>
        <v>2118.9244937698008</v>
      </c>
      <c r="K148" s="12">
        <f t="shared" si="23"/>
        <v>261.88954417379591</v>
      </c>
    </row>
    <row r="149" spans="2:11" x14ac:dyDescent="0.25">
      <c r="B149" s="10">
        <v>145</v>
      </c>
      <c r="C149" s="11">
        <v>44036</v>
      </c>
      <c r="D149" s="12">
        <f t="shared" si="18"/>
        <v>30354.52471681168</v>
      </c>
      <c r="E149" s="12">
        <f t="shared" si="19"/>
        <v>70412.974237757822</v>
      </c>
      <c r="F149" s="12">
        <f t="shared" si="20"/>
        <v>65556.955930433367</v>
      </c>
      <c r="G149" s="12">
        <f t="shared" si="20"/>
        <v>8102.5451149973896</v>
      </c>
      <c r="H149" s="9"/>
      <c r="I149" s="12">
        <f t="shared" si="21"/>
        <v>1808.7272833928291</v>
      </c>
      <c r="J149" s="12">
        <f t="shared" si="22"/>
        <v>2105.4406823925806</v>
      </c>
      <c r="K149" s="12">
        <f t="shared" si="23"/>
        <v>260.22300568897089</v>
      </c>
    </row>
    <row r="150" spans="2:11" x14ac:dyDescent="0.25">
      <c r="B150" s="10">
        <v>146</v>
      </c>
      <c r="C150" s="11">
        <v>44037</v>
      </c>
      <c r="D150" s="12">
        <f t="shared" si="18"/>
        <v>28658.25874904533</v>
      </c>
      <c r="E150" s="12">
        <f t="shared" si="19"/>
        <v>69762.141064265568</v>
      </c>
      <c r="F150" s="12">
        <f t="shared" ref="F150:G165" si="24">F149+J150</f>
        <v>67645.874166153517</v>
      </c>
      <c r="G150" s="12">
        <f t="shared" si="24"/>
        <v>8360.7260205358361</v>
      </c>
      <c r="H150" s="9"/>
      <c r="I150" s="12">
        <f t="shared" si="21"/>
        <v>1696.2659677663514</v>
      </c>
      <c r="J150" s="12">
        <f t="shared" si="22"/>
        <v>2088.9182357201485</v>
      </c>
      <c r="K150" s="12">
        <f t="shared" si="23"/>
        <v>258.18090553844559</v>
      </c>
    </row>
    <row r="151" spans="2:11" x14ac:dyDescent="0.25">
      <c r="B151" s="10">
        <v>147</v>
      </c>
      <c r="C151" s="11">
        <v>44038</v>
      </c>
      <c r="D151" s="12">
        <f t="shared" si="18"/>
        <v>27069.119002057483</v>
      </c>
      <c r="E151" s="12">
        <f t="shared" si="19"/>
        <v>69025.876109111225</v>
      </c>
      <c r="F151" s="12">
        <f t="shared" si="24"/>
        <v>69715.484351060062</v>
      </c>
      <c r="G151" s="12">
        <f t="shared" si="24"/>
        <v>8616.5205377714774</v>
      </c>
      <c r="H151" s="9"/>
      <c r="I151" s="12">
        <f t="shared" si="21"/>
        <v>1589.1397469878452</v>
      </c>
      <c r="J151" s="12">
        <f t="shared" si="22"/>
        <v>2069.6101849065449</v>
      </c>
      <c r="K151" s="12">
        <f t="shared" si="23"/>
        <v>255.79451723564065</v>
      </c>
    </row>
    <row r="152" spans="2:11" x14ac:dyDescent="0.25">
      <c r="B152" s="10">
        <v>148</v>
      </c>
      <c r="C152" s="11">
        <v>44039</v>
      </c>
      <c r="D152" s="12">
        <f t="shared" si="18"/>
        <v>25581.649722615068</v>
      </c>
      <c r="E152" s="12">
        <f t="shared" si="19"/>
        <v>68212.482851583263</v>
      </c>
      <c r="F152" s="12">
        <f t="shared" si="24"/>
        <v>71763.252008963696</v>
      </c>
      <c r="G152" s="12">
        <f t="shared" si="24"/>
        <v>8869.6154168382182</v>
      </c>
      <c r="H152" s="9"/>
      <c r="I152" s="12">
        <f t="shared" si="21"/>
        <v>1487.4692794424145</v>
      </c>
      <c r="J152" s="12">
        <f t="shared" si="22"/>
        <v>2047.7676579036329</v>
      </c>
      <c r="K152" s="12">
        <f t="shared" si="23"/>
        <v>253.09487906674138</v>
      </c>
    </row>
    <row r="153" spans="2:11" x14ac:dyDescent="0.25">
      <c r="B153" s="10">
        <v>149</v>
      </c>
      <c r="C153" s="11">
        <v>44040</v>
      </c>
      <c r="D153" s="12">
        <f t="shared" si="18"/>
        <v>24190.359350044477</v>
      </c>
      <c r="E153" s="12">
        <f t="shared" si="19"/>
        <v>67330.023795767731</v>
      </c>
      <c r="F153" s="12">
        <f t="shared" si="24"/>
        <v>73786.88900022734</v>
      </c>
      <c r="G153" s="12">
        <f t="shared" si="24"/>
        <v>9119.7278539606905</v>
      </c>
      <c r="H153" s="9"/>
      <c r="I153" s="12">
        <f t="shared" si="21"/>
        <v>1391.2903725705896</v>
      </c>
      <c r="J153" s="12">
        <f t="shared" si="22"/>
        <v>2023.6369912636367</v>
      </c>
      <c r="K153" s="12">
        <f t="shared" si="23"/>
        <v>250.11243712247219</v>
      </c>
    </row>
    <row r="154" spans="2:11" x14ac:dyDescent="0.25">
      <c r="B154" s="10">
        <v>150</v>
      </c>
      <c r="C154" s="11">
        <v>44041</v>
      </c>
      <c r="D154" s="12">
        <f t="shared" si="18"/>
        <v>22889.791363307235</v>
      </c>
      <c r="E154" s="12">
        <f t="shared" si="19"/>
        <v>66386.257655979367</v>
      </c>
      <c r="F154" s="12">
        <f t="shared" si="24"/>
        <v>75784.34637283512</v>
      </c>
      <c r="G154" s="12">
        <f t="shared" si="24"/>
        <v>9366.6046078785057</v>
      </c>
      <c r="H154" s="9"/>
      <c r="I154" s="12">
        <f t="shared" si="21"/>
        <v>1300.5679867372423</v>
      </c>
      <c r="J154" s="12">
        <f t="shared" si="22"/>
        <v>1997.4573726077758</v>
      </c>
      <c r="K154" s="12">
        <f t="shared" si="23"/>
        <v>246.87675391781522</v>
      </c>
    </row>
    <row r="155" spans="2:11" x14ac:dyDescent="0.25">
      <c r="B155" s="10">
        <v>151</v>
      </c>
      <c r="C155" s="11">
        <v>44042</v>
      </c>
      <c r="D155" s="12">
        <f t="shared" si="18"/>
        <v>21674.582099901203</v>
      </c>
      <c r="E155" s="12">
        <f t="shared" si="19"/>
        <v>65388.591664186075</v>
      </c>
      <c r="F155" s="12">
        <f t="shared" si="24"/>
        <v>77753.805349962509</v>
      </c>
      <c r="G155" s="12">
        <f t="shared" si="24"/>
        <v>9610.020885950431</v>
      </c>
      <c r="H155" s="9"/>
      <c r="I155" s="12">
        <f t="shared" si="21"/>
        <v>1215.2092634060316</v>
      </c>
      <c r="J155" s="12">
        <f t="shared" si="22"/>
        <v>1969.4589771273875</v>
      </c>
      <c r="K155" s="12">
        <f t="shared" si="23"/>
        <v>243.41627807192455</v>
      </c>
    </row>
    <row r="156" spans="2:11" x14ac:dyDescent="0.25">
      <c r="B156" s="10">
        <v>152</v>
      </c>
      <c r="C156" s="13">
        <v>44043</v>
      </c>
      <c r="D156" s="12">
        <f t="shared" si="18"/>
        <v>20539.506735716237</v>
      </c>
      <c r="E156" s="12">
        <f t="shared" si="19"/>
        <v>64344.047306231507</v>
      </c>
      <c r="F156" s="12">
        <f t="shared" si="24"/>
        <v>79693.666902666693</v>
      </c>
      <c r="G156" s="12">
        <f t="shared" si="24"/>
        <v>9849.7790553857794</v>
      </c>
      <c r="H156" s="9"/>
      <c r="I156" s="12">
        <f t="shared" si="21"/>
        <v>1135.0753641849647</v>
      </c>
      <c r="J156" s="12">
        <f t="shared" si="22"/>
        <v>1939.8615527041868</v>
      </c>
      <c r="K156" s="12">
        <f t="shared" si="23"/>
        <v>239.75816943534917</v>
      </c>
    </row>
    <row r="157" spans="2:11" x14ac:dyDescent="0.25">
      <c r="B157" s="10">
        <v>153</v>
      </c>
      <c r="C157" s="21">
        <v>44044</v>
      </c>
      <c r="D157" s="12">
        <f t="shared" si="18"/>
        <v>19479.514726607918</v>
      </c>
      <c r="E157" s="12">
        <f t="shared" si="19"/>
        <v>63259.237738465446</v>
      </c>
      <c r="F157" s="12">
        <f t="shared" si="24"/>
        <v>81602.540306084891</v>
      </c>
      <c r="G157" s="12">
        <f t="shared" si="24"/>
        <v>10085.707228841962</v>
      </c>
      <c r="H157" s="9"/>
      <c r="I157" s="12">
        <f t="shared" si="21"/>
        <v>1059.9920091083179</v>
      </c>
      <c r="J157" s="12">
        <f t="shared" si="22"/>
        <v>1908.8734034182012</v>
      </c>
      <c r="K157" s="12">
        <f t="shared" si="23"/>
        <v>235.92817345618241</v>
      </c>
    </row>
    <row r="158" spans="2:11" x14ac:dyDescent="0.25">
      <c r="B158" s="10">
        <v>154</v>
      </c>
      <c r="C158" s="21">
        <v>44045</v>
      </c>
      <c r="D158" s="12">
        <f t="shared" si="18"/>
        <v>18489.756044117847</v>
      </c>
      <c r="E158" s="12">
        <f t="shared" si="19"/>
        <v>62140.355163006672</v>
      </c>
      <c r="F158" s="12">
        <f t="shared" si="24"/>
        <v>83479.231025659363</v>
      </c>
      <c r="G158" s="12">
        <f t="shared" si="24"/>
        <v>10317.657767216335</v>
      </c>
      <c r="H158" s="9"/>
      <c r="I158" s="12">
        <f t="shared" si="21"/>
        <v>989.75868249007101</v>
      </c>
      <c r="J158" s="12">
        <f t="shared" si="22"/>
        <v>1876.6907195744748</v>
      </c>
      <c r="K158" s="12">
        <f t="shared" si="23"/>
        <v>231.95053837437351</v>
      </c>
    </row>
    <row r="159" spans="2:11" x14ac:dyDescent="0.25">
      <c r="B159" s="10">
        <v>155</v>
      </c>
      <c r="C159" s="21">
        <v>44046</v>
      </c>
      <c r="D159" s="12">
        <f t="shared" si="18"/>
        <v>17565.599509693151</v>
      </c>
      <c r="E159" s="12">
        <f t="shared" si="19"/>
        <v>60993.166525331144</v>
      </c>
      <c r="F159" s="12">
        <f t="shared" si="24"/>
        <v>85322.728228828564</v>
      </c>
      <c r="G159" s="12">
        <f t="shared" si="24"/>
        <v>10545.505736147359</v>
      </c>
      <c r="H159" s="9"/>
      <c r="I159" s="12">
        <f t="shared" si="21"/>
        <v>924.15653442469545</v>
      </c>
      <c r="J159" s="12">
        <f t="shared" si="22"/>
        <v>1843.4972031691977</v>
      </c>
      <c r="K159" s="12">
        <f t="shared" si="23"/>
        <v>227.84796893102467</v>
      </c>
    </row>
    <row r="160" spans="2:11" x14ac:dyDescent="0.25">
      <c r="B160" s="10">
        <v>156</v>
      </c>
      <c r="C160" s="21">
        <v>44047</v>
      </c>
      <c r="D160" s="12">
        <f t="shared" si="18"/>
        <v>16702.644461663815</v>
      </c>
      <c r="E160" s="12">
        <f t="shared" si="19"/>
        <v>59823.016022516116</v>
      </c>
      <c r="F160" s="12">
        <f t="shared" si="24"/>
        <v>87132.192169080052</v>
      </c>
      <c r="G160" s="12">
        <f t="shared" si="24"/>
        <v>10769.147346740239</v>
      </c>
      <c r="H160" s="9"/>
      <c r="I160" s="12">
        <f t="shared" si="21"/>
        <v>862.95504802933681</v>
      </c>
      <c r="J160" s="12">
        <f t="shared" si="22"/>
        <v>1809.4639402514904</v>
      </c>
      <c r="K160" s="12">
        <f t="shared" si="23"/>
        <v>223.64161059288105</v>
      </c>
    </row>
    <row r="161" spans="2:11" x14ac:dyDescent="0.25">
      <c r="B161" s="10">
        <v>157</v>
      </c>
      <c r="C161" s="21">
        <v>44048</v>
      </c>
      <c r="D161" s="12">
        <f t="shared" si="18"/>
        <v>15896.726891938355</v>
      </c>
      <c r="E161" s="12">
        <f t="shared" si="19"/>
        <v>58634.833058157703</v>
      </c>
      <c r="F161" s="12">
        <f t="shared" si="24"/>
        <v>88906.941644414692</v>
      </c>
      <c r="G161" s="12">
        <f t="shared" si="24"/>
        <v>10988.498405489465</v>
      </c>
      <c r="H161" s="9"/>
      <c r="I161" s="12">
        <f t="shared" si="21"/>
        <v>805.91756972545909</v>
      </c>
      <c r="J161" s="12">
        <f t="shared" si="22"/>
        <v>1774.7494753346446</v>
      </c>
      <c r="K161" s="12">
        <f t="shared" si="23"/>
        <v>219.35105874922596</v>
      </c>
    </row>
    <row r="162" spans="2:11" x14ac:dyDescent="0.25">
      <c r="B162" s="10">
        <v>158</v>
      </c>
      <c r="C162" s="21">
        <v>44049</v>
      </c>
      <c r="D162" s="12">
        <f t="shared" si="18"/>
        <v>15143.92107674185</v>
      </c>
      <c r="E162" s="12">
        <f t="shared" si="19"/>
        <v>57433.144438082294</v>
      </c>
      <c r="F162" s="12">
        <f t="shared" si="24"/>
        <v>90646.4416918067</v>
      </c>
      <c r="G162" s="12">
        <f t="shared" si="24"/>
        <v>11203.492793369376</v>
      </c>
      <c r="H162" s="9"/>
      <c r="I162" s="12">
        <f t="shared" si="21"/>
        <v>752.80581519650525</v>
      </c>
      <c r="J162" s="12">
        <f t="shared" si="22"/>
        <v>1739.5000473920118</v>
      </c>
      <c r="K162" s="12">
        <f t="shared" si="23"/>
        <v>214.99438787991176</v>
      </c>
    </row>
    <row r="163" spans="2:11" x14ac:dyDescent="0.25">
      <c r="B163" s="10">
        <v>159</v>
      </c>
      <c r="C163" s="21">
        <v>44050</v>
      </c>
      <c r="D163" s="12">
        <f t="shared" si="18"/>
        <v>14440.537606856569</v>
      </c>
      <c r="E163" s="12">
        <f t="shared" si="19"/>
        <v>56222.0897600315</v>
      </c>
      <c r="F163" s="12">
        <f t="shared" si="24"/>
        <v>92350.291643469813</v>
      </c>
      <c r="G163" s="12">
        <f t="shared" si="24"/>
        <v>11414.080989642345</v>
      </c>
      <c r="H163" s="9"/>
      <c r="I163" s="12">
        <f t="shared" si="21"/>
        <v>703.38346988528133</v>
      </c>
      <c r="J163" s="12">
        <f t="shared" si="22"/>
        <v>1703.849951663108</v>
      </c>
      <c r="K163" s="12">
        <f t="shared" si="23"/>
        <v>210.58819627296859</v>
      </c>
    </row>
    <row r="164" spans="2:11" x14ac:dyDescent="0.25">
      <c r="B164" s="10">
        <v>160</v>
      </c>
      <c r="C164" s="21">
        <v>44051</v>
      </c>
      <c r="D164" s="12">
        <f t="shared" si="18"/>
        <v>13783.118604419858</v>
      </c>
      <c r="E164" s="12">
        <f t="shared" si="19"/>
        <v>55005.439103800498</v>
      </c>
      <c r="F164" s="12">
        <f t="shared" si="24"/>
        <v>94018.21363968408</v>
      </c>
      <c r="G164" s="12">
        <f t="shared" si="24"/>
        <v>11620.228652095795</v>
      </c>
      <c r="H164" s="9"/>
      <c r="I164" s="12">
        <f t="shared" si="21"/>
        <v>657.41900243671</v>
      </c>
      <c r="J164" s="12">
        <f t="shared" si="22"/>
        <v>1667.9219962142677</v>
      </c>
      <c r="K164" s="12">
        <f t="shared" si="23"/>
        <v>206.14766245344902</v>
      </c>
    </row>
    <row r="165" spans="2:11" x14ac:dyDescent="0.25">
      <c r="B165" s="10">
        <v>161</v>
      </c>
      <c r="C165" s="21">
        <v>44052</v>
      </c>
      <c r="D165" s="12">
        <f t="shared" si="18"/>
        <v>13168.430800031654</v>
      </c>
      <c r="E165" s="12">
        <f t="shared" si="19"/>
        <v>53786.612271395352</v>
      </c>
      <c r="F165" s="12">
        <f t="shared" si="24"/>
        <v>95650.041666430159</v>
      </c>
      <c r="G165" s="12">
        <f t="shared" si="24"/>
        <v>11821.915262143064</v>
      </c>
      <c r="H165" s="9"/>
      <c r="I165" s="12">
        <f t="shared" si="21"/>
        <v>614.68780438820363</v>
      </c>
      <c r="J165" s="12">
        <f t="shared" si="22"/>
        <v>1631.8280267460812</v>
      </c>
      <c r="K165" s="12">
        <f t="shared" si="23"/>
        <v>201.68661004726866</v>
      </c>
    </row>
    <row r="166" spans="2:11" x14ac:dyDescent="0.25">
      <c r="B166" s="10">
        <v>162</v>
      </c>
      <c r="C166" s="21">
        <v>44053</v>
      </c>
      <c r="D166" s="12">
        <f t="shared" si="18"/>
        <v>12593.457038722938</v>
      </c>
      <c r="E166" s="12">
        <f t="shared" si="19"/>
        <v>52568.698956990898</v>
      </c>
      <c r="F166" s="12">
        <f t="shared" ref="F166:G181" si="25">F165+J166</f>
        <v>97245.711163814893</v>
      </c>
      <c r="G166" s="12">
        <f t="shared" si="25"/>
        <v>12019.132840471513</v>
      </c>
      <c r="H166" s="9"/>
      <c r="I166" s="12">
        <f t="shared" si="21"/>
        <v>574.97376130871714</v>
      </c>
      <c r="J166" s="12">
        <f t="shared" si="22"/>
        <v>1595.6694973847286</v>
      </c>
      <c r="K166" s="12">
        <f t="shared" si="23"/>
        <v>197.2175783284498</v>
      </c>
    </row>
    <row r="167" spans="2:11" x14ac:dyDescent="0.25">
      <c r="B167" s="10">
        <v>163</v>
      </c>
      <c r="C167" s="21">
        <v>44054</v>
      </c>
      <c r="D167" s="12">
        <f t="shared" si="18"/>
        <v>12055.386687952981</v>
      </c>
      <c r="E167" s="12">
        <f t="shared" si="19"/>
        <v>51354.479342527826</v>
      </c>
      <c r="F167" s="12">
        <f t="shared" si="25"/>
        <v>98805.249232872287</v>
      </c>
      <c r="G167" s="12">
        <f t="shared" si="25"/>
        <v>12211.884736647147</v>
      </c>
      <c r="H167" s="9"/>
      <c r="I167" s="12">
        <f t="shared" si="21"/>
        <v>538.07035076995578</v>
      </c>
      <c r="J167" s="12">
        <f t="shared" si="22"/>
        <v>1559.5380690573963</v>
      </c>
      <c r="K167" s="12">
        <f t="shared" si="23"/>
        <v>192.75189617563348</v>
      </c>
    </row>
    <row r="168" spans="2:11" x14ac:dyDescent="0.25">
      <c r="B168" s="10">
        <v>164</v>
      </c>
      <c r="C168" s="21">
        <v>44055</v>
      </c>
      <c r="D168" s="12">
        <f t="shared" si="18"/>
        <v>11551.60533599426</v>
      </c>
      <c r="E168" s="12">
        <f t="shared" si="19"/>
        <v>50146.444716402286</v>
      </c>
      <c r="F168" s="12">
        <f t="shared" si="25"/>
        <v>100328.76545336728</v>
      </c>
      <c r="G168" s="12">
        <f t="shared" si="25"/>
        <v>12400.184494236417</v>
      </c>
      <c r="H168" s="9"/>
      <c r="I168" s="12">
        <f t="shared" si="21"/>
        <v>503.7813519587221</v>
      </c>
      <c r="J168" s="12">
        <f t="shared" si="22"/>
        <v>1523.516220494992</v>
      </c>
      <c r="K168" s="12">
        <f t="shared" si="23"/>
        <v>188.29975758926884</v>
      </c>
    </row>
    <row r="169" spans="2:11" x14ac:dyDescent="0.25">
      <c r="B169" s="10">
        <v>165</v>
      </c>
      <c r="C169" s="21">
        <v>44056</v>
      </c>
      <c r="D169" s="12">
        <f t="shared" si="18"/>
        <v>11079.68409489734</v>
      </c>
      <c r="E169" s="12">
        <f t="shared" si="19"/>
        <v>48946.817800285797</v>
      </c>
      <c r="F169" s="12">
        <f t="shared" si="25"/>
        <v>101816.44331328721</v>
      </c>
      <c r="G169" s="12">
        <f t="shared" si="25"/>
        <v>12584.054791529892</v>
      </c>
      <c r="H169" s="9"/>
      <c r="I169" s="12">
        <f t="shared" si="21"/>
        <v>471.92124109691957</v>
      </c>
      <c r="J169" s="12">
        <f t="shared" si="22"/>
        <v>1487.6778599199345</v>
      </c>
      <c r="K169" s="12">
        <f t="shared" si="23"/>
        <v>183.8702972934752</v>
      </c>
    </row>
    <row r="170" spans="2:11" x14ac:dyDescent="0.25">
      <c r="B170" s="10">
        <v>166</v>
      </c>
      <c r="C170" s="21">
        <v>44057</v>
      </c>
      <c r="D170" s="12">
        <f t="shared" si="18"/>
        <v>10637.368758302087</v>
      </c>
      <c r="E170" s="12">
        <f t="shared" si="19"/>
        <v>47757.57254353819</v>
      </c>
      <c r="F170" s="12">
        <f t="shared" si="25"/>
        <v>103268.53224136235</v>
      </c>
      <c r="G170" s="12">
        <f t="shared" si="25"/>
        <v>12763.526456797606</v>
      </c>
      <c r="H170" s="9"/>
      <c r="I170" s="12">
        <f t="shared" si="21"/>
        <v>442.31533659525348</v>
      </c>
      <c r="J170" s="12">
        <f t="shared" si="22"/>
        <v>1452.0889280751451</v>
      </c>
      <c r="K170" s="12">
        <f t="shared" si="23"/>
        <v>179.47166526771474</v>
      </c>
    </row>
    <row r="171" spans="2:11" x14ac:dyDescent="0.25">
      <c r="B171" s="10">
        <v>167</v>
      </c>
      <c r="C171" s="21">
        <v>44058</v>
      </c>
      <c r="D171" s="12">
        <f t="shared" si="18"/>
        <v>10222.569009975012</v>
      </c>
      <c r="E171" s="12">
        <f t="shared" si="19"/>
        <v>46580.45320708066</v>
      </c>
      <c r="F171" s="12">
        <f t="shared" si="25"/>
        <v>104685.34022682066</v>
      </c>
      <c r="G171" s="12">
        <f t="shared" si="25"/>
        <v>12938.637556123913</v>
      </c>
      <c r="H171" s="9"/>
      <c r="I171" s="12">
        <f t="shared" si="21"/>
        <v>414.79974832707501</v>
      </c>
      <c r="J171" s="12">
        <f t="shared" si="22"/>
        <v>1416.8079854582995</v>
      </c>
      <c r="K171" s="12">
        <f t="shared" si="23"/>
        <v>175.11109932630686</v>
      </c>
    </row>
    <row r="172" spans="2:11" x14ac:dyDescent="0.25">
      <c r="B172" s="10">
        <v>168</v>
      </c>
      <c r="C172" s="21">
        <v>44059</v>
      </c>
      <c r="D172" s="12">
        <f t="shared" si="18"/>
        <v>9833.3478332355226</v>
      </c>
      <c r="E172" s="12">
        <f t="shared" si="19"/>
        <v>45416.992610250796</v>
      </c>
      <c r="F172" s="12">
        <f t="shared" si="25"/>
        <v>106067.22700529738</v>
      </c>
      <c r="G172" s="12">
        <f t="shared" si="25"/>
        <v>13109.432551216541</v>
      </c>
      <c r="H172" s="9"/>
      <c r="I172" s="12">
        <f t="shared" si="21"/>
        <v>389.22117673948992</v>
      </c>
      <c r="J172" s="12">
        <f t="shared" si="22"/>
        <v>1381.886778476726</v>
      </c>
      <c r="K172" s="12">
        <f t="shared" si="23"/>
        <v>170.79499509262922</v>
      </c>
    </row>
    <row r="173" spans="2:11" x14ac:dyDescent="0.25">
      <c r="B173" s="10">
        <v>169</v>
      </c>
      <c r="C173" s="21">
        <v>44060</v>
      </c>
      <c r="D173" s="12">
        <f t="shared" si="18"/>
        <v>9467.9112334407764</v>
      </c>
      <c r="E173" s="12">
        <f t="shared" si="19"/>
        <v>44268.52945637051</v>
      </c>
      <c r="F173" s="12">
        <f t="shared" si="25"/>
        <v>107414.59778606815</v>
      </c>
      <c r="G173" s="12">
        <f t="shared" si="25"/>
        <v>13275.961524120794</v>
      </c>
      <c r="H173" s="9"/>
      <c r="I173" s="12">
        <f t="shared" si="21"/>
        <v>365.4365997947454</v>
      </c>
      <c r="J173" s="12">
        <f t="shared" si="22"/>
        <v>1347.3707807707733</v>
      </c>
      <c r="K173" s="12">
        <f t="shared" si="23"/>
        <v>166.52897290425307</v>
      </c>
    </row>
    <row r="174" spans="2:11" x14ac:dyDescent="0.25">
      <c r="B174" s="10">
        <v>170</v>
      </c>
      <c r="C174" s="21">
        <v>44061</v>
      </c>
      <c r="D174" s="12">
        <f t="shared" si="18"/>
        <v>9124.5983544762366</v>
      </c>
      <c r="E174" s="12">
        <f t="shared" si="19"/>
        <v>43136.224686789363</v>
      </c>
      <c r="F174" s="12">
        <f t="shared" si="25"/>
        <v>108727.89749327381</v>
      </c>
      <c r="G174" s="12">
        <f t="shared" si="25"/>
        <v>13438.279465460819</v>
      </c>
      <c r="H174" s="9"/>
      <c r="I174" s="12">
        <f t="shared" si="21"/>
        <v>343.31287896453921</v>
      </c>
      <c r="J174" s="12">
        <f t="shared" si="22"/>
        <v>1313.2997072056583</v>
      </c>
      <c r="K174" s="12">
        <f t="shared" si="23"/>
        <v>162.31794134002536</v>
      </c>
    </row>
    <row r="175" spans="2:11" x14ac:dyDescent="0.25">
      <c r="B175" s="10">
        <v>171</v>
      </c>
      <c r="C175" s="21">
        <v>44062</v>
      </c>
      <c r="D175" s="12">
        <f t="shared" si="18"/>
        <v>8801.8720448286895</v>
      </c>
      <c r="E175" s="12">
        <f t="shared" si="19"/>
        <v>42021.07684021059</v>
      </c>
      <c r="F175" s="12">
        <f t="shared" si="25"/>
        <v>110007.60549231523</v>
      </c>
      <c r="G175" s="12">
        <f t="shared" si="25"/>
        <v>13596.445622645713</v>
      </c>
      <c r="H175" s="9"/>
      <c r="I175" s="12">
        <f t="shared" si="21"/>
        <v>322.72630964754717</v>
      </c>
      <c r="J175" s="12">
        <f t="shared" si="22"/>
        <v>1279.7079990414177</v>
      </c>
      <c r="K175" s="12">
        <f t="shared" si="23"/>
        <v>158.16615718489447</v>
      </c>
    </row>
    <row r="176" spans="2:11" x14ac:dyDescent="0.25">
      <c r="B176" s="10">
        <v>172</v>
      </c>
      <c r="C176" s="21">
        <v>44063</v>
      </c>
      <c r="D176" s="12">
        <f t="shared" si="18"/>
        <v>8498.3099084459191</v>
      </c>
      <c r="E176" s="12">
        <f t="shared" si="19"/>
        <v>40923.936415253018</v>
      </c>
      <c r="F176" s="12">
        <f t="shared" si="25"/>
        <v>111254.23077190814</v>
      </c>
      <c r="G176" s="12">
        <f t="shared" si="25"/>
        <v>13750.522904393152</v>
      </c>
      <c r="H176" s="9"/>
      <c r="I176" s="12">
        <f t="shared" si="21"/>
        <v>303.5621363827708</v>
      </c>
      <c r="J176" s="12">
        <f t="shared" si="22"/>
        <v>1246.625279592914</v>
      </c>
      <c r="K176" s="12">
        <f t="shared" si="23"/>
        <v>154.07728174743897</v>
      </c>
    </row>
    <row r="177" spans="2:11" x14ac:dyDescent="0.25">
      <c r="B177" s="10">
        <v>173</v>
      </c>
      <c r="C177" s="21">
        <v>44064</v>
      </c>
      <c r="D177" s="12">
        <f t="shared" si="18"/>
        <v>8212.5958594361782</v>
      </c>
      <c r="E177" s="12">
        <f t="shared" si="19"/>
        <v>39845.519250420999</v>
      </c>
      <c r="F177" s="12">
        <f t="shared" si="25"/>
        <v>112468.30755222731</v>
      </c>
      <c r="G177" s="12">
        <f t="shared" si="25"/>
        <v>13900.577337915747</v>
      </c>
      <c r="H177" s="9"/>
      <c r="I177" s="12">
        <f t="shared" si="21"/>
        <v>285.7140490097417</v>
      </c>
      <c r="J177" s="12">
        <f t="shared" si="22"/>
        <v>1214.0767803191727</v>
      </c>
      <c r="K177" s="12">
        <f t="shared" si="23"/>
        <v>150.05443352259454</v>
      </c>
    </row>
    <row r="178" spans="2:11" x14ac:dyDescent="0.25">
      <c r="B178" s="10">
        <v>174</v>
      </c>
      <c r="C178" s="21">
        <v>44065</v>
      </c>
      <c r="D178" s="12">
        <f t="shared" si="18"/>
        <v>7943.5121870400417</v>
      </c>
      <c r="E178" s="12">
        <f t="shared" si="19"/>
        <v>38786.418947803104</v>
      </c>
      <c r="F178" s="12">
        <f t="shared" si="25"/>
        <v>113650.3912899898</v>
      </c>
      <c r="G178" s="12">
        <f t="shared" si="25"/>
        <v>14046.67757516729</v>
      </c>
      <c r="H178" s="9"/>
      <c r="I178" s="12">
        <f t="shared" si="21"/>
        <v>269.08367239613688</v>
      </c>
      <c r="J178" s="12">
        <f t="shared" si="22"/>
        <v>1182.0837377624894</v>
      </c>
      <c r="K178" s="12">
        <f t="shared" si="23"/>
        <v>146.10023725154377</v>
      </c>
    </row>
    <row r="179" spans="2:11" x14ac:dyDescent="0.25">
      <c r="B179" s="10">
        <v>175</v>
      </c>
      <c r="C179" s="21">
        <v>44066</v>
      </c>
      <c r="D179" s="12">
        <f t="shared" si="18"/>
        <v>7689.9321276114615</v>
      </c>
      <c r="E179" s="12">
        <f t="shared" si="19"/>
        <v>37747.118375638252</v>
      </c>
      <c r="F179" s="12">
        <f t="shared" si="25"/>
        <v>114801.05505210796</v>
      </c>
      <c r="G179" s="12">
        <f t="shared" si="25"/>
        <v>14188.894444642568</v>
      </c>
      <c r="H179" s="9"/>
      <c r="I179" s="12">
        <f t="shared" si="21"/>
        <v>253.58005942857991</v>
      </c>
      <c r="J179" s="12">
        <f t="shared" si="22"/>
        <v>1150.6637621181585</v>
      </c>
      <c r="K179" s="12">
        <f t="shared" si="23"/>
        <v>142.21686947527817</v>
      </c>
    </row>
    <row r="180" spans="2:11" x14ac:dyDescent="0.25">
      <c r="B180" s="10">
        <v>176</v>
      </c>
      <c r="C180" s="21">
        <v>44067</v>
      </c>
      <c r="D180" s="12">
        <f t="shared" si="18"/>
        <v>7450.8129330500242</v>
      </c>
      <c r="E180" s="12">
        <f t="shared" si="19"/>
        <v>36728.000291011755</v>
      </c>
      <c r="F180" s="12">
        <f t="shared" si="25"/>
        <v>115920.88623058522</v>
      </c>
      <c r="G180" s="12">
        <f t="shared" si="25"/>
        <v>14327.300545353242</v>
      </c>
      <c r="H180" s="9"/>
      <c r="I180" s="12">
        <f t="shared" si="21"/>
        <v>239.11919456143738</v>
      </c>
      <c r="J180" s="12">
        <f t="shared" si="22"/>
        <v>1119.8311784772679</v>
      </c>
      <c r="K180" s="12">
        <f t="shared" si="23"/>
        <v>138.40610071067371</v>
      </c>
    </row>
    <row r="181" spans="2:11" x14ac:dyDescent="0.25">
      <c r="B181" s="10">
        <v>177</v>
      </c>
      <c r="C181" s="21">
        <v>44068</v>
      </c>
      <c r="D181" s="12">
        <f t="shared" si="18"/>
        <v>7225.1894197846977</v>
      </c>
      <c r="E181" s="12">
        <f t="shared" si="19"/>
        <v>35729.357127910014</v>
      </c>
      <c r="F181" s="12">
        <f t="shared" si="25"/>
        <v>117010.48357255191</v>
      </c>
      <c r="G181" s="12">
        <f t="shared" si="25"/>
        <v>14461.969879753618</v>
      </c>
      <c r="H181" s="9"/>
      <c r="I181" s="12">
        <f t="shared" si="21"/>
        <v>225.62351326532615</v>
      </c>
      <c r="J181" s="12">
        <f t="shared" si="22"/>
        <v>1089.5973419666818</v>
      </c>
      <c r="K181" s="12">
        <f t="shared" si="23"/>
        <v>134.66933440037656</v>
      </c>
    </row>
    <row r="182" spans="2:11" x14ac:dyDescent="0.25">
      <c r="B182" s="10">
        <v>178</v>
      </c>
      <c r="C182" s="21">
        <v>44069</v>
      </c>
      <c r="D182" s="12">
        <f t="shared" si="18"/>
        <v>7012.167978641628</v>
      </c>
      <c r="E182" s="12">
        <f t="shared" si="19"/>
        <v>34751.399998122753</v>
      </c>
      <c r="F182" s="12">
        <f t="shared" ref="F182:G197" si="26">F181+J182</f>
        <v>118070.4545006799</v>
      </c>
      <c r="G182" s="12">
        <f t="shared" si="26"/>
        <v>14592.977522555955</v>
      </c>
      <c r="H182" s="9"/>
      <c r="I182" s="12">
        <f t="shared" si="21"/>
        <v>213.02144114307004</v>
      </c>
      <c r="J182" s="12">
        <f t="shared" si="22"/>
        <v>1059.970928127997</v>
      </c>
      <c r="K182" s="12">
        <f t="shared" si="23"/>
        <v>131.00764280233685</v>
      </c>
    </row>
    <row r="183" spans="2:11" x14ac:dyDescent="0.25">
      <c r="B183" s="10">
        <v>179</v>
      </c>
      <c r="C183" s="21">
        <v>44070</v>
      </c>
      <c r="D183" s="12">
        <f t="shared" si="18"/>
        <v>6810.9210234167276</v>
      </c>
      <c r="E183" s="12">
        <f t="shared" si="19"/>
        <v>33794.266953410232</v>
      </c>
      <c r="F183" s="12">
        <f t="shared" si="26"/>
        <v>119101.41270062421</v>
      </c>
      <c r="G183" s="12">
        <f t="shared" si="26"/>
        <v>14720.399322549072</v>
      </c>
      <c r="H183" s="9"/>
      <c r="I183" s="12">
        <f t="shared" si="21"/>
        <v>201.24695522490074</v>
      </c>
      <c r="J183" s="12">
        <f t="shared" si="22"/>
        <v>1030.9581999443083</v>
      </c>
      <c r="K183" s="12">
        <f t="shared" si="23"/>
        <v>127.42179999311688</v>
      </c>
    </row>
    <row r="184" spans="2:11" x14ac:dyDescent="0.25">
      <c r="B184" s="10">
        <v>180</v>
      </c>
      <c r="C184" s="21">
        <v>44071</v>
      </c>
      <c r="D184" s="12">
        <f t="shared" si="18"/>
        <v>6620.6818544533771</v>
      </c>
      <c r="E184" s="12">
        <f t="shared" si="19"/>
        <v>32858.03055725991</v>
      </c>
      <c r="F184" s="12">
        <f t="shared" si="26"/>
        <v>120103.97595357537</v>
      </c>
      <c r="G184" s="12">
        <f t="shared" si="26"/>
        <v>14844.311634711576</v>
      </c>
      <c r="H184" s="9"/>
      <c r="I184" s="12">
        <f t="shared" si="21"/>
        <v>190.23916896335021</v>
      </c>
      <c r="J184" s="12">
        <f t="shared" si="22"/>
        <v>1002.5632529511701</v>
      </c>
      <c r="K184" s="12">
        <f t="shared" si="23"/>
        <v>123.91231216250429</v>
      </c>
    </row>
    <row r="185" spans="2:11" x14ac:dyDescent="0.25">
      <c r="B185" s="10">
        <v>181</v>
      </c>
      <c r="C185" s="21">
        <v>44072</v>
      </c>
      <c r="D185" s="12">
        <f t="shared" si="18"/>
        <v>6440.7399127780081</v>
      </c>
      <c r="E185" s="12">
        <f t="shared" si="19"/>
        <v>31942.704813693279</v>
      </c>
      <c r="F185" s="12">
        <f t="shared" si="26"/>
        <v>121078.76419344074</v>
      </c>
      <c r="G185" s="12">
        <f t="shared" si="26"/>
        <v>14964.791080088195</v>
      </c>
      <c r="H185" s="9"/>
      <c r="I185" s="12">
        <f t="shared" si="21"/>
        <v>179.94194167536884</v>
      </c>
      <c r="J185" s="12">
        <f t="shared" si="22"/>
        <v>974.78823986537714</v>
      </c>
      <c r="K185" s="12">
        <f t="shared" si="23"/>
        <v>120.47944537661978</v>
      </c>
    </row>
    <row r="186" spans="2:11" x14ac:dyDescent="0.25">
      <c r="B186" s="10">
        <v>182</v>
      </c>
      <c r="C186" s="21">
        <v>44073</v>
      </c>
      <c r="D186" s="12">
        <f t="shared" si="18"/>
        <v>6270.4364001927552</v>
      </c>
      <c r="E186" s="12">
        <f t="shared" si="19"/>
        <v>31048.251499155424</v>
      </c>
      <c r="F186" s="12">
        <f t="shared" si="26"/>
        <v>122026.3977695803</v>
      </c>
      <c r="G186" s="12">
        <f t="shared" si="26"/>
        <v>15081.914331071737</v>
      </c>
      <c r="H186" s="9"/>
      <c r="I186" s="12">
        <f t="shared" si="21"/>
        <v>170.30351258525343</v>
      </c>
      <c r="J186" s="12">
        <f t="shared" si="22"/>
        <v>947.63357613956725</v>
      </c>
      <c r="K186" s="12">
        <f t="shared" si="23"/>
        <v>117.12325098354214</v>
      </c>
    </row>
    <row r="187" spans="2:11" x14ac:dyDescent="0.25">
      <c r="B187" s="10">
        <v>183</v>
      </c>
      <c r="C187" s="13">
        <v>44074</v>
      </c>
      <c r="D187" s="12">
        <f t="shared" si="18"/>
        <v>6109.1602410191808</v>
      </c>
      <c r="E187" s="12">
        <f t="shared" si="19"/>
        <v>30174.585941690482</v>
      </c>
      <c r="F187" s="12">
        <f t="shared" si="26"/>
        <v>122947.49589738858</v>
      </c>
      <c r="G187" s="12">
        <f t="shared" si="26"/>
        <v>15195.757919901975</v>
      </c>
      <c r="H187" s="9"/>
      <c r="I187" s="12">
        <f t="shared" si="21"/>
        <v>161.27615917357426</v>
      </c>
      <c r="J187" s="12">
        <f t="shared" si="22"/>
        <v>921.09812780827747</v>
      </c>
      <c r="K187" s="12">
        <f t="shared" si="23"/>
        <v>113.84358883023665</v>
      </c>
    </row>
    <row r="188" spans="2:11" x14ac:dyDescent="0.25">
      <c r="B188" s="10">
        <v>184</v>
      </c>
      <c r="C188" s="21">
        <v>44075</v>
      </c>
      <c r="D188" s="12">
        <f t="shared" si="18"/>
        <v>5956.3443618128058</v>
      </c>
      <c r="E188" s="12">
        <f t="shared" si="19"/>
        <v>29321.582289507172</v>
      </c>
      <c r="F188" s="12">
        <f t="shared" si="26"/>
        <v>123842.67528032539</v>
      </c>
      <c r="G188" s="12">
        <f t="shared" si="26"/>
        <v>15306.39806835484</v>
      </c>
      <c r="H188" s="9"/>
      <c r="I188" s="12">
        <f t="shared" si="21"/>
        <v>152.81587920637483</v>
      </c>
      <c r="J188" s="12">
        <f t="shared" si="22"/>
        <v>895.17938293681755</v>
      </c>
      <c r="K188" s="12">
        <f t="shared" si="23"/>
        <v>110.64014845286519</v>
      </c>
    </row>
    <row r="189" spans="2:11" x14ac:dyDescent="0.25">
      <c r="B189" s="10">
        <v>185</v>
      </c>
      <c r="C189" s="21">
        <v>44076</v>
      </c>
      <c r="D189" s="12">
        <f t="shared" si="18"/>
        <v>5811.4622662307256</v>
      </c>
      <c r="E189" s="12">
        <f t="shared" si="19"/>
        <v>28489.078308772347</v>
      </c>
      <c r="F189" s="12">
        <f t="shared" si="26"/>
        <v>124712.54888824743</v>
      </c>
      <c r="G189" s="12">
        <f t="shared" si="26"/>
        <v>15413.9105367497</v>
      </c>
      <c r="H189" s="9"/>
      <c r="I189" s="12">
        <f t="shared" si="21"/>
        <v>144.88209558208027</v>
      </c>
      <c r="J189" s="12">
        <f t="shared" si="22"/>
        <v>869.87360792204595</v>
      </c>
      <c r="K189" s="12">
        <f t="shared" si="23"/>
        <v>107.51246839485972</v>
      </c>
    </row>
    <row r="190" spans="2:11" x14ac:dyDescent="0.25">
      <c r="B190" s="10">
        <v>186</v>
      </c>
      <c r="C190" s="21">
        <v>44077</v>
      </c>
      <c r="D190" s="12">
        <f t="shared" si="18"/>
        <v>5674.0248832593134</v>
      </c>
      <c r="E190" s="12">
        <f t="shared" si="19"/>
        <v>27676.879748118015</v>
      </c>
      <c r="F190" s="12">
        <f t="shared" si="26"/>
        <v>125557.72487807434</v>
      </c>
      <c r="G190" s="12">
        <f t="shared" si="26"/>
        <v>15518.370490548532</v>
      </c>
      <c r="H190" s="9"/>
      <c r="I190" s="12">
        <f t="shared" si="21"/>
        <v>137.43738297141229</v>
      </c>
      <c r="J190" s="12">
        <f t="shared" si="22"/>
        <v>845.17598982691277</v>
      </c>
      <c r="K190" s="12">
        <f t="shared" si="23"/>
        <v>104.45995379883203</v>
      </c>
    </row>
    <row r="191" spans="2:11" x14ac:dyDescent="0.25">
      <c r="B191" s="10">
        <v>187</v>
      </c>
      <c r="C191" s="21">
        <v>44078</v>
      </c>
      <c r="D191" s="12">
        <f t="shared" si="18"/>
        <v>5543.5776681370889</v>
      </c>
      <c r="E191" s="12">
        <f t="shared" si="19"/>
        <v>26884.764304969638</v>
      </c>
      <c r="F191" s="12">
        <f t="shared" si="26"/>
        <v>126378.80564393518</v>
      </c>
      <c r="G191" s="12">
        <f t="shared" si="26"/>
        <v>15619.852382958297</v>
      </c>
      <c r="H191" s="9"/>
      <c r="I191" s="12">
        <f t="shared" si="21"/>
        <v>130.44721512222412</v>
      </c>
      <c r="J191" s="12">
        <f t="shared" si="22"/>
        <v>821.08076586083428</v>
      </c>
      <c r="K191" s="12">
        <f t="shared" si="23"/>
        <v>101.48189240976616</v>
      </c>
    </row>
    <row r="192" spans="2:11" x14ac:dyDescent="0.25">
      <c r="B192" s="10">
        <v>188</v>
      </c>
      <c r="C192" s="21">
        <v>44079</v>
      </c>
      <c r="D192" s="12">
        <f t="shared" si="18"/>
        <v>5419.6979364935878</v>
      </c>
      <c r="E192" s="12">
        <f t="shared" si="19"/>
        <v>26112.485226447483</v>
      </c>
      <c r="F192" s="12">
        <f t="shared" si="26"/>
        <v>127176.38698498262</v>
      </c>
      <c r="G192" s="12">
        <f t="shared" si="26"/>
        <v>15718.429852076519</v>
      </c>
      <c r="H192" s="9"/>
      <c r="I192" s="12">
        <f t="shared" si="21"/>
        <v>123.87973164350082</v>
      </c>
      <c r="J192" s="12">
        <f t="shared" si="22"/>
        <v>797.58134104743249</v>
      </c>
      <c r="K192" s="12">
        <f t="shared" si="23"/>
        <v>98.577469118222098</v>
      </c>
    </row>
    <row r="193" spans="2:11" x14ac:dyDescent="0.25">
      <c r="B193" s="10">
        <v>189</v>
      </c>
      <c r="C193" s="21">
        <v>44080</v>
      </c>
      <c r="D193" s="12">
        <f t="shared" si="18"/>
        <v>5301.9924134333642</v>
      </c>
      <c r="E193" s="12">
        <f t="shared" si="19"/>
        <v>25359.774575292791</v>
      </c>
      <c r="F193" s="12">
        <f t="shared" si="26"/>
        <v>127951.05738003389</v>
      </c>
      <c r="G193" s="12">
        <f t="shared" si="26"/>
        <v>15814.175631240159</v>
      </c>
      <c r="H193" s="9"/>
      <c r="I193" s="12">
        <f t="shared" si="21"/>
        <v>117.70552306022374</v>
      </c>
      <c r="J193" s="12">
        <f t="shared" si="22"/>
        <v>774.67039505127525</v>
      </c>
      <c r="K193" s="12">
        <f t="shared" si="23"/>
        <v>95.745779163640861</v>
      </c>
    </row>
    <row r="194" spans="2:11" x14ac:dyDescent="0.25">
      <c r="B194" s="10">
        <v>190</v>
      </c>
      <c r="C194" s="21">
        <v>44081</v>
      </c>
      <c r="D194" s="12">
        <f t="shared" si="18"/>
        <v>5190.0949804985494</v>
      </c>
      <c r="E194" s="12">
        <f t="shared" si="19"/>
        <v>24626.346189051183</v>
      </c>
      <c r="F194" s="12">
        <f t="shared" si="26"/>
        <v>128703.39735910091</v>
      </c>
      <c r="G194" s="12">
        <f t="shared" si="26"/>
        <v>15907.161471349566</v>
      </c>
      <c r="H194" s="9"/>
      <c r="I194" s="12">
        <f t="shared" si="21"/>
        <v>111.89743293481497</v>
      </c>
      <c r="J194" s="12">
        <f t="shared" si="22"/>
        <v>752.33997906701939</v>
      </c>
      <c r="K194" s="12">
        <f t="shared" si="23"/>
        <v>92.985840109406993</v>
      </c>
    </row>
    <row r="195" spans="2:11" x14ac:dyDescent="0.25">
      <c r="B195" s="10">
        <v>191</v>
      </c>
      <c r="C195" s="21">
        <v>44082</v>
      </c>
      <c r="D195" s="12">
        <f t="shared" si="18"/>
        <v>5083.6646046239603</v>
      </c>
      <c r="E195" s="12">
        <f t="shared" si="19"/>
        <v>23911.898358624065</v>
      </c>
      <c r="F195" s="12">
        <f t="shared" si="26"/>
        <v>129433.97896270943</v>
      </c>
      <c r="G195" s="12">
        <f t="shared" si="26"/>
        <v>15997.458074042754</v>
      </c>
      <c r="H195" s="9"/>
      <c r="I195" s="12">
        <f t="shared" si="21"/>
        <v>106.43037587458915</v>
      </c>
      <c r="J195" s="12">
        <f t="shared" si="22"/>
        <v>730.58160360851832</v>
      </c>
      <c r="K195" s="12">
        <f t="shared" si="23"/>
        <v>90.296602693187737</v>
      </c>
    </row>
    <row r="196" spans="2:11" x14ac:dyDescent="0.25">
      <c r="B196" s="10">
        <v>192</v>
      </c>
      <c r="C196" s="21">
        <v>44083</v>
      </c>
      <c r="D196" s="12">
        <f t="shared" si="18"/>
        <v>4982.3834343413828</v>
      </c>
      <c r="E196" s="12">
        <f t="shared" si="19"/>
        <v>23216.116250285842</v>
      </c>
      <c r="F196" s="12">
        <f t="shared" si="26"/>
        <v>130143.36528068194</v>
      </c>
      <c r="G196" s="12">
        <f t="shared" si="26"/>
        <v>16085.135034691042</v>
      </c>
      <c r="H196" s="9"/>
      <c r="I196" s="12">
        <f t="shared" si="21"/>
        <v>101.28117028257712</v>
      </c>
      <c r="J196" s="12">
        <f t="shared" si="22"/>
        <v>709.38631797251389</v>
      </c>
      <c r="K196" s="12">
        <f t="shared" si="23"/>
        <v>87.676960648288315</v>
      </c>
    </row>
    <row r="197" spans="2:11" x14ac:dyDescent="0.25">
      <c r="B197" s="10">
        <v>193</v>
      </c>
      <c r="C197" s="21">
        <v>44084</v>
      </c>
      <c r="D197" s="12">
        <f t="shared" si="18"/>
        <v>4885.9550495844687</v>
      </c>
      <c r="E197" s="12">
        <f t="shared" si="19"/>
        <v>22538.674093366561</v>
      </c>
      <c r="F197" s="12">
        <f t="shared" si="26"/>
        <v>130832.11006277376</v>
      </c>
      <c r="G197" s="12">
        <f t="shared" si="26"/>
        <v>16170.260794275424</v>
      </c>
      <c r="H197" s="9"/>
      <c r="I197" s="12">
        <f t="shared" si="21"/>
        <v>96.428384756914127</v>
      </c>
      <c r="J197" s="12">
        <f t="shared" si="22"/>
        <v>688.74478209181325</v>
      </c>
      <c r="K197" s="12">
        <f t="shared" si="23"/>
        <v>85.125759584381498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4794.1028524861604</v>
      </c>
      <c r="E198" s="12">
        <f t="shared" ref="E198:E204" si="28">E197+I198-J198-K198</f>
        <v>21879.237154019316</v>
      </c>
      <c r="F198" s="12">
        <f t="shared" ref="F198:G204" si="29">F197+J198</f>
        <v>131500.75739421029</v>
      </c>
      <c r="G198" s="12">
        <f t="shared" si="29"/>
        <v>16252.902599284434</v>
      </c>
      <c r="H198" s="9"/>
      <c r="I198" s="12">
        <f t="shared" ref="I198:I204" si="30">E197*N$6*D197/SUM(D197:F197)*N$7</f>
        <v>91.85219709830848</v>
      </c>
      <c r="J198" s="12">
        <f t="shared" ref="J198:J204" si="31">E197*N$8/N$5</f>
        <v>668.64733143654121</v>
      </c>
      <c r="K198" s="12">
        <f t="shared" ref="K198:K204" si="32">E197*N$9/N$5</f>
        <v>82.641805009010795</v>
      </c>
    </row>
    <row r="199" spans="2:11" x14ac:dyDescent="0.25">
      <c r="B199" s="10">
        <v>195</v>
      </c>
      <c r="C199" s="21">
        <v>44086</v>
      </c>
      <c r="D199" s="12">
        <f t="shared" si="27"/>
        <v>4706.568587542869</v>
      </c>
      <c r="E199" s="12">
        <f t="shared" si="28"/>
        <v>21237.463513828632</v>
      </c>
      <c r="F199" s="12">
        <f t="shared" si="29"/>
        <v>132149.84142977954</v>
      </c>
      <c r="G199" s="12">
        <f t="shared" si="29"/>
        <v>16333.126468849172</v>
      </c>
      <c r="H199" s="9"/>
      <c r="I199" s="12">
        <f t="shared" si="30"/>
        <v>87.534264943291717</v>
      </c>
      <c r="J199" s="12">
        <f t="shared" si="31"/>
        <v>649.08403556923963</v>
      </c>
      <c r="K199" s="12">
        <f t="shared" si="32"/>
        <v>80.223869564737555</v>
      </c>
    </row>
    <row r="200" spans="2:11" x14ac:dyDescent="0.25">
      <c r="B200" s="10">
        <v>196</v>
      </c>
      <c r="C200" s="21">
        <v>44087</v>
      </c>
      <c r="D200" s="12">
        <f t="shared" si="27"/>
        <v>4623.1109804419057</v>
      </c>
      <c r="E200" s="12">
        <f t="shared" si="28"/>
        <v>20613.005670468639</v>
      </c>
      <c r="F200" s="12">
        <f t="shared" si="29"/>
        <v>132779.88618068979</v>
      </c>
      <c r="G200" s="12">
        <f t="shared" si="29"/>
        <v>16410.997168399877</v>
      </c>
      <c r="H200" s="9"/>
      <c r="I200" s="12">
        <f t="shared" si="30"/>
        <v>83.457607100962903</v>
      </c>
      <c r="J200" s="12">
        <f t="shared" si="31"/>
        <v>630.04475091024926</v>
      </c>
      <c r="K200" s="12">
        <f t="shared" si="32"/>
        <v>77.870699550705055</v>
      </c>
    </row>
    <row r="201" spans="2:11" x14ac:dyDescent="0.25">
      <c r="B201" s="10">
        <v>197</v>
      </c>
      <c r="C201" s="21">
        <v>44088</v>
      </c>
      <c r="D201" s="12">
        <f t="shared" si="27"/>
        <v>4543.5044857106541</v>
      </c>
      <c r="E201" s="12">
        <f t="shared" si="28"/>
        <v>20005.511976184269</v>
      </c>
      <c r="F201" s="12">
        <f t="shared" si="29"/>
        <v>133391.40534891369</v>
      </c>
      <c r="G201" s="12">
        <f t="shared" si="29"/>
        <v>16486.578189191598</v>
      </c>
      <c r="H201" s="9"/>
      <c r="I201" s="12">
        <f t="shared" si="30"/>
        <v>79.606494731251644</v>
      </c>
      <c r="J201" s="12">
        <f t="shared" si="31"/>
        <v>611.51916822390297</v>
      </c>
      <c r="K201" s="12">
        <f t="shared" si="32"/>
        <v>75.581020791718416</v>
      </c>
    </row>
    <row r="202" spans="2:11" x14ac:dyDescent="0.25">
      <c r="B202" s="10">
        <v>198</v>
      </c>
      <c r="C202" s="21">
        <v>44089</v>
      </c>
      <c r="D202" s="12">
        <f t="shared" si="27"/>
        <v>4467.5381341484635</v>
      </c>
      <c r="E202" s="12">
        <f t="shared" si="28"/>
        <v>19414.627928540318</v>
      </c>
      <c r="F202" s="12">
        <f t="shared" si="29"/>
        <v>133984.90220420714</v>
      </c>
      <c r="G202" s="12">
        <f t="shared" si="29"/>
        <v>16559.931733104273</v>
      </c>
      <c r="H202" s="9"/>
      <c r="I202" s="12">
        <f t="shared" si="30"/>
        <v>75.966351562190511</v>
      </c>
      <c r="J202" s="12">
        <f t="shared" si="31"/>
        <v>593.49685529346652</v>
      </c>
      <c r="K202" s="12">
        <f t="shared" si="32"/>
        <v>73.353543912675704</v>
      </c>
    </row>
    <row r="203" spans="2:11" x14ac:dyDescent="0.25">
      <c r="B203" s="10">
        <v>199</v>
      </c>
      <c r="C203" s="21">
        <v>44090</v>
      </c>
      <c r="D203" s="12">
        <f t="shared" si="27"/>
        <v>4395.0144717469848</v>
      </c>
      <c r="E203" s="12">
        <f t="shared" si="28"/>
        <v>18839.997326657121</v>
      </c>
      <c r="F203" s="12">
        <f t="shared" si="29"/>
        <v>134560.86949942051</v>
      </c>
      <c r="G203" s="12">
        <f t="shared" si="29"/>
        <v>16631.118702175587</v>
      </c>
      <c r="H203" s="9"/>
      <c r="I203" s="12">
        <f t="shared" si="30"/>
        <v>72.523662401479086</v>
      </c>
      <c r="J203" s="12">
        <f t="shared" si="31"/>
        <v>575.96729521336272</v>
      </c>
      <c r="K203" s="12">
        <f t="shared" si="32"/>
        <v>71.18696907131455</v>
      </c>
    </row>
    <row r="204" spans="2:11" x14ac:dyDescent="0.25">
      <c r="B204" s="20">
        <v>200</v>
      </c>
      <c r="C204" s="21">
        <v>44091</v>
      </c>
      <c r="D204" s="12">
        <f t="shared" si="27"/>
        <v>4325.7485824938249</v>
      </c>
      <c r="E204" s="12">
        <f t="shared" si="28"/>
        <v>18281.263305021712</v>
      </c>
      <c r="F204" s="12">
        <f t="shared" si="29"/>
        <v>135119.78942011134</v>
      </c>
      <c r="G204" s="12">
        <f t="shared" si="29"/>
        <v>16700.198692373331</v>
      </c>
      <c r="H204" s="9"/>
      <c r="I204" s="12">
        <f t="shared" si="30"/>
        <v>69.265889253159983</v>
      </c>
      <c r="J204" s="12">
        <f t="shared" si="31"/>
        <v>558.91992069082778</v>
      </c>
      <c r="K204" s="12">
        <f t="shared" si="32"/>
        <v>69.079990197742831</v>
      </c>
    </row>
    <row r="205" spans="2:11" x14ac:dyDescent="0.25">
      <c r="B205" s="19"/>
      <c r="C205" s="1"/>
      <c r="E205" s="12">
        <f>MAX(E4:E204)</f>
        <v>72089.710998955896</v>
      </c>
      <c r="I205" s="12">
        <f>MAX(I4:I204)</f>
        <v>3887.3575877719068</v>
      </c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F3BED-AB09-4F3A-9569-8DDD85EA183A}">
  <sheetPr codeName="Hoja15"/>
  <dimension ref="B2:N762"/>
  <sheetViews>
    <sheetView showGridLines="0" topLeftCell="A184" workbookViewId="0">
      <selection activeCell="M201" sqref="M201"/>
    </sheetView>
  </sheetViews>
  <sheetFormatPr baseColWidth="10" defaultRowHeight="15" x14ac:dyDescent="0.25"/>
  <cols>
    <col min="2" max="2" width="4" bestFit="1" customWidth="1"/>
    <col min="3" max="3" width="10.7109375" bestFit="1" customWidth="1"/>
    <col min="4" max="4" width="12.140625" bestFit="1" customWidth="1"/>
    <col min="5" max="5" width="10.28515625" bestFit="1" customWidth="1"/>
    <col min="6" max="6" width="12.42578125" bestFit="1" customWidth="1"/>
    <col min="7" max="7" width="9.85546875" bestFit="1" customWidth="1"/>
    <col min="9" max="9" width="10.5703125" bestFit="1" customWidth="1"/>
    <col min="10" max="10" width="12.42578125" bestFit="1" customWidth="1"/>
    <col min="11" max="11" width="9.85546875" bestFit="1" customWidth="1"/>
    <col min="13" max="13" width="40.140625" bestFit="1" customWidth="1"/>
  </cols>
  <sheetData>
    <row r="2" spans="2:14" x14ac:dyDescent="0.25">
      <c r="D2" s="34" t="s">
        <v>26</v>
      </c>
      <c r="E2" s="35"/>
      <c r="F2" s="35"/>
      <c r="G2" s="36"/>
      <c r="I2" s="34" t="s">
        <v>27</v>
      </c>
      <c r="J2" s="35"/>
      <c r="K2" s="36"/>
    </row>
    <row r="3" spans="2:14" x14ac:dyDescent="0.25">
      <c r="B3" s="14" t="s">
        <v>5</v>
      </c>
      <c r="C3" s="15" t="s">
        <v>0</v>
      </c>
      <c r="D3" s="17" t="s">
        <v>1</v>
      </c>
      <c r="E3" s="17" t="s">
        <v>2</v>
      </c>
      <c r="F3" s="17" t="s">
        <v>3</v>
      </c>
      <c r="G3" s="17" t="s">
        <v>4</v>
      </c>
      <c r="H3" s="15"/>
      <c r="I3" s="17" t="s">
        <v>6</v>
      </c>
      <c r="J3" s="17" t="s">
        <v>3</v>
      </c>
      <c r="K3" s="17" t="s">
        <v>4</v>
      </c>
      <c r="M3" s="16" t="s">
        <v>20</v>
      </c>
      <c r="N3" s="12">
        <v>238217</v>
      </c>
    </row>
    <row r="4" spans="2:14" x14ac:dyDescent="0.25">
      <c r="B4" s="10">
        <v>0</v>
      </c>
      <c r="C4" s="11">
        <v>43891</v>
      </c>
      <c r="D4" s="12">
        <f>N3</f>
        <v>238217</v>
      </c>
      <c r="E4" s="9">
        <v>1</v>
      </c>
      <c r="F4" s="9">
        <v>0</v>
      </c>
      <c r="G4" s="9">
        <v>0</v>
      </c>
      <c r="H4" s="9"/>
      <c r="I4" s="9"/>
      <c r="J4" s="9"/>
      <c r="K4" s="9"/>
    </row>
    <row r="5" spans="2:14" x14ac:dyDescent="0.25">
      <c r="B5" s="10">
        <v>1</v>
      </c>
      <c r="C5" s="11">
        <v>43892</v>
      </c>
      <c r="D5" s="12">
        <f>D4-I5</f>
        <v>238216.86800055412</v>
      </c>
      <c r="E5" s="12">
        <f>E4+I5-J5-K5</f>
        <v>1.0986661125523678</v>
      </c>
      <c r="F5" s="12">
        <f>F4+J5</f>
        <v>2.9666666666666664E-2</v>
      </c>
      <c r="G5" s="12">
        <f>G4+K5</f>
        <v>3.6666666666666701E-3</v>
      </c>
      <c r="H5" s="9"/>
      <c r="I5" s="12">
        <f>E4*N$6*D4/SUM(D4:F4)*N$7</f>
        <v>0.13199944588570134</v>
      </c>
      <c r="J5" s="12">
        <f>E4*N$8/N$5</f>
        <v>2.9666666666666664E-2</v>
      </c>
      <c r="K5" s="12">
        <f>E4*N$9/N$5</f>
        <v>3.6666666666666701E-3</v>
      </c>
      <c r="M5" s="2" t="s">
        <v>7</v>
      </c>
      <c r="N5" s="18">
        <f>Datos!G3</f>
        <v>30</v>
      </c>
    </row>
    <row r="6" spans="2:14" x14ac:dyDescent="0.25">
      <c r="B6" s="10">
        <v>2</v>
      </c>
      <c r="C6" s="11">
        <v>43893</v>
      </c>
      <c r="D6" s="12">
        <f t="shared" ref="D6:D69" si="0">D5-I6</f>
        <v>238216.72297731417</v>
      </c>
      <c r="E6" s="12">
        <f t="shared" ref="E6:E69" si="1">E5+I6-J6-K6</f>
        <v>1.2070671487436451</v>
      </c>
      <c r="F6" s="12">
        <f t="shared" ref="F6:G21" si="2">F5+J6</f>
        <v>6.2260428005720236E-2</v>
      </c>
      <c r="G6" s="12">
        <f t="shared" si="2"/>
        <v>7.6951090793586883E-3</v>
      </c>
      <c r="H6" s="9"/>
      <c r="I6" s="12">
        <f t="shared" ref="I6:I69" si="3">E5*N$6*D5/SUM(D5:F5)*N$7</f>
        <v>0.14502323994302291</v>
      </c>
      <c r="J6" s="12">
        <f t="shared" ref="J6:J69" si="4">E5*N$8/N$5</f>
        <v>3.2593761339053576E-2</v>
      </c>
      <c r="K6" s="12">
        <f t="shared" ref="K6:K69" si="5">E5*N$9/N$5</f>
        <v>4.0284424126920187E-3</v>
      </c>
      <c r="M6" s="2" t="s">
        <v>8</v>
      </c>
      <c r="N6" s="3">
        <f>Datos!G4</f>
        <v>2</v>
      </c>
    </row>
    <row r="7" spans="2:14" x14ac:dyDescent="0.25">
      <c r="B7" s="10">
        <v>3</v>
      </c>
      <c r="C7" s="11">
        <v>43894</v>
      </c>
      <c r="D7" s="12">
        <f t="shared" si="0"/>
        <v>238216.56364529952</v>
      </c>
      <c r="E7" s="12">
        <f t="shared" si="1"/>
        <v>1.3261635917592216</v>
      </c>
      <c r="F7" s="12">
        <f t="shared" si="2"/>
        <v>9.8070086751781693E-2</v>
      </c>
      <c r="G7" s="12">
        <f t="shared" si="2"/>
        <v>1.2121021958085391E-2</v>
      </c>
      <c r="H7" s="9"/>
      <c r="I7" s="12">
        <f t="shared" si="3"/>
        <v>0.15933201464036462</v>
      </c>
      <c r="J7" s="12">
        <f t="shared" si="4"/>
        <v>3.5809658746061464E-2</v>
      </c>
      <c r="K7" s="12">
        <f t="shared" si="5"/>
        <v>4.4259128787267031E-3</v>
      </c>
      <c r="M7" s="2" t="s">
        <v>9</v>
      </c>
      <c r="N7" s="4">
        <f>Datos!G5</f>
        <v>6.6000000000000003E-2</v>
      </c>
    </row>
    <row r="8" spans="2:14" x14ac:dyDescent="0.25">
      <c r="B8" s="10">
        <v>4</v>
      </c>
      <c r="C8" s="11">
        <v>43895</v>
      </c>
      <c r="D8" s="12">
        <f t="shared" si="0"/>
        <v>238216.38859275202</v>
      </c>
      <c r="E8" s="12">
        <f t="shared" si="1"/>
        <v>1.4570106862200263</v>
      </c>
      <c r="F8" s="12">
        <f t="shared" si="2"/>
        <v>0.13741293997397191</v>
      </c>
      <c r="G8" s="12">
        <f t="shared" si="2"/>
        <v>1.6983621794535875E-2</v>
      </c>
      <c r="H8" s="9"/>
      <c r="I8" s="12">
        <f t="shared" si="3"/>
        <v>0.17505254751944524</v>
      </c>
      <c r="J8" s="12">
        <f t="shared" si="4"/>
        <v>3.9342853222190236E-2</v>
      </c>
      <c r="K8" s="12">
        <f t="shared" si="5"/>
        <v>4.862599836450484E-3</v>
      </c>
      <c r="M8" s="2" t="s">
        <v>10</v>
      </c>
      <c r="N8" s="5">
        <f>Datos!G6</f>
        <v>0.8899999999999999</v>
      </c>
    </row>
    <row r="9" spans="2:14" x14ac:dyDescent="0.25">
      <c r="B9" s="10">
        <v>5</v>
      </c>
      <c r="C9" s="11">
        <v>43896</v>
      </c>
      <c r="D9" s="12">
        <f t="shared" si="0"/>
        <v>238216.1962686287</v>
      </c>
      <c r="E9" s="12">
        <f t="shared" si="1"/>
        <v>1.6007677866683376</v>
      </c>
      <c r="F9" s="12">
        <f t="shared" si="2"/>
        <v>0.18063759033183269</v>
      </c>
      <c r="G9" s="12">
        <f t="shared" si="2"/>
        <v>2.2325994310675976E-2</v>
      </c>
      <c r="H9" s="9"/>
      <c r="I9" s="12">
        <f t="shared" si="3"/>
        <v>0.19232412332231236</v>
      </c>
      <c r="J9" s="12">
        <f t="shared" si="4"/>
        <v>4.3224650357860779E-2</v>
      </c>
      <c r="K9" s="12">
        <f t="shared" si="5"/>
        <v>5.3423725161401009E-3</v>
      </c>
      <c r="M9" s="2" t="s">
        <v>11</v>
      </c>
      <c r="N9" s="5">
        <f>Datos!G7</f>
        <v>0.1100000000000001</v>
      </c>
    </row>
    <row r="10" spans="2:14" x14ac:dyDescent="0.25">
      <c r="B10" s="10">
        <v>6</v>
      </c>
      <c r="C10" s="11">
        <v>43897</v>
      </c>
      <c r="D10" s="12">
        <f t="shared" si="0"/>
        <v>238215.98496886098</v>
      </c>
      <c r="E10" s="12">
        <f t="shared" si="1"/>
        <v>1.7587086281647426</v>
      </c>
      <c r="F10" s="12">
        <f t="shared" si="2"/>
        <v>0.22812703466966003</v>
      </c>
      <c r="G10" s="12">
        <f t="shared" si="2"/>
        <v>2.8195476195126551E-2</v>
      </c>
      <c r="H10" s="9"/>
      <c r="I10" s="12">
        <f t="shared" si="3"/>
        <v>0.21129976771868281</v>
      </c>
      <c r="J10" s="12">
        <f t="shared" si="4"/>
        <v>4.7489444337827341E-2</v>
      </c>
      <c r="K10" s="12">
        <f t="shared" si="5"/>
        <v>5.8694818844505763E-3</v>
      </c>
      <c r="M10" s="6"/>
    </row>
    <row r="11" spans="2:14" x14ac:dyDescent="0.25">
      <c r="B11" s="10">
        <v>7</v>
      </c>
      <c r="C11" s="11">
        <v>43898</v>
      </c>
      <c r="D11" s="12">
        <f t="shared" si="0"/>
        <v>238215.7528212583</v>
      </c>
      <c r="E11" s="12">
        <f t="shared" si="1"/>
        <v>1.9322326099212224</v>
      </c>
      <c r="F11" s="12">
        <f t="shared" si="2"/>
        <v>0.28030205730521407</v>
      </c>
      <c r="G11" s="12">
        <f t="shared" si="2"/>
        <v>3.4644074498397279E-2</v>
      </c>
      <c r="H11" s="9"/>
      <c r="I11" s="12">
        <f t="shared" si="3"/>
        <v>0.23214760269530432</v>
      </c>
      <c r="J11" s="12">
        <f t="shared" si="4"/>
        <v>5.2175022635554028E-2</v>
      </c>
      <c r="K11" s="12">
        <f t="shared" si="5"/>
        <v>6.4485983032707287E-3</v>
      </c>
      <c r="M11" s="2" t="s">
        <v>12</v>
      </c>
      <c r="N11" s="7">
        <v>231480</v>
      </c>
    </row>
    <row r="12" spans="2:14" x14ac:dyDescent="0.25">
      <c r="B12" s="10">
        <v>8</v>
      </c>
      <c r="C12" s="11">
        <v>43899</v>
      </c>
      <c r="D12" s="12">
        <f t="shared" si="0"/>
        <v>238215.49776892271</v>
      </c>
      <c r="E12" s="12">
        <f t="shared" si="1"/>
        <v>2.122877191854871</v>
      </c>
      <c r="F12" s="12">
        <f t="shared" si="2"/>
        <v>0.33762495806621035</v>
      </c>
      <c r="G12" s="12">
        <f t="shared" si="2"/>
        <v>4.1728927401441768E-2</v>
      </c>
      <c r="H12" s="9"/>
      <c r="I12" s="12">
        <f t="shared" si="3"/>
        <v>0.25505233559768942</v>
      </c>
      <c r="J12" s="12">
        <f t="shared" si="4"/>
        <v>5.7322900760996255E-2</v>
      </c>
      <c r="K12" s="12">
        <f t="shared" si="5"/>
        <v>7.0848529030444881E-3</v>
      </c>
      <c r="M12" s="2" t="s">
        <v>13</v>
      </c>
      <c r="N12" s="7">
        <f>SUM(J5:J204)</f>
        <v>181916.74012893953</v>
      </c>
    </row>
    <row r="13" spans="2:14" x14ac:dyDescent="0.25">
      <c r="B13" s="10">
        <v>9</v>
      </c>
      <c r="C13" s="11">
        <v>43900</v>
      </c>
      <c r="D13" s="12">
        <f t="shared" si="0"/>
        <v>238215.21755202772</v>
      </c>
      <c r="E13" s="12">
        <f t="shared" si="1"/>
        <v>2.3323315137878389</v>
      </c>
      <c r="F13" s="12">
        <f t="shared" si="2"/>
        <v>0.40060364809123816</v>
      </c>
      <c r="G13" s="12">
        <f t="shared" si="2"/>
        <v>4.9512810438242967E-2</v>
      </c>
      <c r="H13" s="9"/>
      <c r="I13" s="12">
        <f t="shared" si="3"/>
        <v>0.28021689499479713</v>
      </c>
      <c r="J13" s="12">
        <f t="shared" si="4"/>
        <v>6.2978690025027831E-2</v>
      </c>
      <c r="K13" s="12">
        <f t="shared" si="5"/>
        <v>7.7838830368012011E-3</v>
      </c>
      <c r="M13" s="2" t="s">
        <v>14</v>
      </c>
      <c r="N13" s="7">
        <f>SUM(K5:K204)</f>
        <v>22484.091476610542</v>
      </c>
    </row>
    <row r="14" spans="2:14" x14ac:dyDescent="0.25">
      <c r="B14" s="10">
        <v>10</v>
      </c>
      <c r="C14" s="11">
        <v>43901</v>
      </c>
      <c r="D14" s="12">
        <f t="shared" si="0"/>
        <v>238214.9096877999</v>
      </c>
      <c r="E14" s="12">
        <f t="shared" si="1"/>
        <v>2.562451357828234</v>
      </c>
      <c r="F14" s="12">
        <f t="shared" si="2"/>
        <v>0.46979614966694405</v>
      </c>
      <c r="G14" s="12">
        <f t="shared" si="2"/>
        <v>5.8064692655465051E-2</v>
      </c>
      <c r="H14" s="9"/>
      <c r="I14" s="12">
        <f t="shared" si="3"/>
        <v>0.30786422783332335</v>
      </c>
      <c r="J14" s="12">
        <f t="shared" si="4"/>
        <v>6.9192501575705875E-2</v>
      </c>
      <c r="K14" s="12">
        <f t="shared" si="5"/>
        <v>8.5518822172220843E-3</v>
      </c>
      <c r="M14" s="2" t="s">
        <v>15</v>
      </c>
      <c r="N14" s="7">
        <f>SUM(D4:G4)-N11</f>
        <v>6738</v>
      </c>
    </row>
    <row r="15" spans="2:14" x14ac:dyDescent="0.25">
      <c r="B15" s="10">
        <v>11</v>
      </c>
      <c r="C15" s="11">
        <v>43902</v>
      </c>
      <c r="D15" s="12">
        <f t="shared" si="0"/>
        <v>238214.57144852611</v>
      </c>
      <c r="E15" s="12">
        <f t="shared" si="1"/>
        <v>2.8152755863388159</v>
      </c>
      <c r="F15" s="12">
        <f t="shared" si="2"/>
        <v>0.54581553994918164</v>
      </c>
      <c r="G15" s="12">
        <f t="shared" si="2"/>
        <v>6.7460347634168583E-2</v>
      </c>
      <c r="H15" s="9"/>
      <c r="I15" s="12">
        <f t="shared" si="3"/>
        <v>0.3382392737715228</v>
      </c>
      <c r="J15" s="12">
        <f t="shared" si="4"/>
        <v>7.6019390282237601E-2</v>
      </c>
      <c r="K15" s="12">
        <f t="shared" si="5"/>
        <v>9.395654978703533E-3</v>
      </c>
      <c r="M15" s="6"/>
      <c r="N15" s="8"/>
    </row>
    <row r="16" spans="2:14" x14ac:dyDescent="0.25">
      <c r="B16" s="10">
        <v>12</v>
      </c>
      <c r="C16" s="11">
        <v>43903</v>
      </c>
      <c r="D16" s="12">
        <f t="shared" si="0"/>
        <v>238214.19983739196</v>
      </c>
      <c r="E16" s="12">
        <f t="shared" si="1"/>
        <v>3.0930442009395116</v>
      </c>
      <c r="F16" s="12">
        <f t="shared" si="2"/>
        <v>0.62933538234389985</v>
      </c>
      <c r="G16" s="12">
        <f t="shared" si="2"/>
        <v>7.7783024784077587E-2</v>
      </c>
      <c r="H16" s="9"/>
      <c r="I16" s="12">
        <f t="shared" si="3"/>
        <v>0.3716111341453231</v>
      </c>
      <c r="J16" s="12">
        <f t="shared" si="4"/>
        <v>8.3519842394718186E-2</v>
      </c>
      <c r="K16" s="12">
        <f t="shared" si="5"/>
        <v>1.0322677149909001E-2</v>
      </c>
      <c r="M16" s="2" t="s">
        <v>16</v>
      </c>
      <c r="N16" s="7">
        <f>MAX(E4:E204)</f>
        <v>98458.360540461683</v>
      </c>
    </row>
    <row r="17" spans="2:14" x14ac:dyDescent="0.25">
      <c r="B17" s="10">
        <v>13</v>
      </c>
      <c r="C17" s="11">
        <v>43904</v>
      </c>
      <c r="D17" s="12">
        <f t="shared" si="0"/>
        <v>238213.79156193722</v>
      </c>
      <c r="E17" s="12">
        <f t="shared" si="1"/>
        <v>3.3982181823103583</v>
      </c>
      <c r="F17" s="12">
        <f t="shared" si="2"/>
        <v>0.72109569363843873</v>
      </c>
      <c r="G17" s="12">
        <f t="shared" si="2"/>
        <v>8.9124186854189144E-2</v>
      </c>
      <c r="H17" s="9"/>
      <c r="I17" s="12">
        <f t="shared" si="3"/>
        <v>0.40827545473549709</v>
      </c>
      <c r="J17" s="12">
        <f t="shared" si="4"/>
        <v>9.1760311294538835E-2</v>
      </c>
      <c r="K17" s="12">
        <f t="shared" si="5"/>
        <v>1.1341162070111552E-2</v>
      </c>
      <c r="M17" s="6"/>
    </row>
    <row r="18" spans="2:14" x14ac:dyDescent="0.25">
      <c r="B18" s="10">
        <v>14</v>
      </c>
      <c r="C18" s="11">
        <v>43905</v>
      </c>
      <c r="D18" s="12">
        <f t="shared" si="0"/>
        <v>238213.34300489383</v>
      </c>
      <c r="E18" s="12">
        <f t="shared" si="1"/>
        <v>3.7335012862887571</v>
      </c>
      <c r="F18" s="12">
        <f t="shared" si="2"/>
        <v>0.82190949971364602</v>
      </c>
      <c r="G18" s="12">
        <f t="shared" si="2"/>
        <v>0.10158432018932714</v>
      </c>
      <c r="H18" s="9"/>
      <c r="I18" s="12">
        <f t="shared" si="3"/>
        <v>0.44855704338874436</v>
      </c>
      <c r="J18" s="12">
        <f t="shared" si="4"/>
        <v>0.10081380607520729</v>
      </c>
      <c r="K18" s="12">
        <f t="shared" si="5"/>
        <v>1.2460133335137992E-2</v>
      </c>
      <c r="M18" s="2" t="s">
        <v>17</v>
      </c>
      <c r="N18" s="7">
        <f>MAX(I5:I204)</f>
        <v>5309.2841353938375</v>
      </c>
    </row>
    <row r="19" spans="2:14" x14ac:dyDescent="0.25">
      <c r="B19" s="10">
        <v>15</v>
      </c>
      <c r="C19" s="11">
        <v>43906</v>
      </c>
      <c r="D19" s="12">
        <f t="shared" si="0"/>
        <v>238212.85019214821</v>
      </c>
      <c r="E19" s="12">
        <f t="shared" si="1"/>
        <v>4.1018639890264685</v>
      </c>
      <c r="F19" s="12">
        <f t="shared" si="2"/>
        <v>0.93267003787354574</v>
      </c>
      <c r="G19" s="12">
        <f t="shared" si="2"/>
        <v>0.11527382490571926</v>
      </c>
      <c r="H19" s="9"/>
      <c r="I19" s="12">
        <f t="shared" si="3"/>
        <v>0.49281274561400334</v>
      </c>
      <c r="J19" s="12">
        <f t="shared" si="4"/>
        <v>0.11076053815989978</v>
      </c>
      <c r="K19" s="12">
        <f t="shared" si="5"/>
        <v>1.3689504716392123E-2</v>
      </c>
      <c r="M19" s="2" t="s">
        <v>18</v>
      </c>
      <c r="N19" s="7">
        <f>MAX(J5:J204)</f>
        <v>2920.931362700363</v>
      </c>
    </row>
    <row r="20" spans="2:14" x14ac:dyDescent="0.25">
      <c r="B20" s="10">
        <v>16</v>
      </c>
      <c r="C20" s="11">
        <v>43907</v>
      </c>
      <c r="D20" s="12">
        <f t="shared" si="0"/>
        <v>238212.30875754467</v>
      </c>
      <c r="E20" s="12">
        <f t="shared" si="1"/>
        <v>4.5065697929383308</v>
      </c>
      <c r="F20" s="12">
        <f t="shared" si="2"/>
        <v>1.0543586695479976</v>
      </c>
      <c r="G20" s="12">
        <f t="shared" si="2"/>
        <v>0.13031399286548298</v>
      </c>
      <c r="H20" s="9"/>
      <c r="I20" s="12">
        <f t="shared" si="3"/>
        <v>0.54143460354607797</v>
      </c>
      <c r="J20" s="12">
        <f t="shared" si="4"/>
        <v>0.12168863167445189</v>
      </c>
      <c r="K20" s="12">
        <f t="shared" si="5"/>
        <v>1.5040167959763732E-2</v>
      </c>
      <c r="M20" s="2" t="s">
        <v>19</v>
      </c>
      <c r="N20" s="7">
        <f>MAX(K5:K204)</f>
        <v>361.01398864835977</v>
      </c>
    </row>
    <row r="21" spans="2:14" x14ac:dyDescent="0.25">
      <c r="B21" s="10">
        <v>17</v>
      </c>
      <c r="C21" s="11">
        <v>43908</v>
      </c>
      <c r="D21" s="12">
        <f t="shared" si="0"/>
        <v>238211.71390421852</v>
      </c>
      <c r="E21" s="12">
        <f t="shared" si="1"/>
        <v>4.9512041260016675</v>
      </c>
      <c r="F21" s="12">
        <f t="shared" si="2"/>
        <v>1.188053573405168</v>
      </c>
      <c r="G21" s="12">
        <f t="shared" si="2"/>
        <v>0.14683808210625687</v>
      </c>
      <c r="H21" s="9"/>
      <c r="I21" s="12">
        <f t="shared" si="3"/>
        <v>0.59485332616128184</v>
      </c>
      <c r="J21" s="12">
        <f t="shared" si="4"/>
        <v>0.13369490385717048</v>
      </c>
      <c r="K21" s="12">
        <f t="shared" si="5"/>
        <v>1.6524089240773896E-2</v>
      </c>
    </row>
    <row r="22" spans="2:14" x14ac:dyDescent="0.25">
      <c r="B22" s="10">
        <v>18</v>
      </c>
      <c r="C22" s="11">
        <v>43909</v>
      </c>
      <c r="D22" s="12">
        <f t="shared" si="0"/>
        <v>238211.06036211716</v>
      </c>
      <c r="E22" s="12">
        <f t="shared" si="1"/>
        <v>5.4397060898340115</v>
      </c>
      <c r="F22" s="12">
        <f t="shared" ref="F22:G37" si="6">F21+J22</f>
        <v>1.3349392958098842</v>
      </c>
      <c r="G22" s="12">
        <f t="shared" si="6"/>
        <v>0.16499249723492967</v>
      </c>
      <c r="H22" s="9"/>
      <c r="I22" s="12">
        <f t="shared" si="3"/>
        <v>0.65354210136573287</v>
      </c>
      <c r="J22" s="12">
        <f t="shared" si="4"/>
        <v>0.14688572240471612</v>
      </c>
      <c r="K22" s="12">
        <f t="shared" si="5"/>
        <v>1.8154415128672795E-2</v>
      </c>
    </row>
    <row r="23" spans="2:14" x14ac:dyDescent="0.25">
      <c r="B23" s="10">
        <v>19</v>
      </c>
      <c r="C23" s="11">
        <v>43910</v>
      </c>
      <c r="D23" s="12">
        <f t="shared" si="0"/>
        <v>238210.34234133357</v>
      </c>
      <c r="E23" s="12">
        <f t="shared" si="1"/>
        <v>5.9764033370858254</v>
      </c>
      <c r="F23" s="12">
        <f t="shared" si="6"/>
        <v>1.4963172431416265</v>
      </c>
      <c r="G23" s="12">
        <f t="shared" si="6"/>
        <v>0.18493808623098773</v>
      </c>
      <c r="H23" s="9"/>
      <c r="I23" s="12">
        <f t="shared" si="3"/>
        <v>0.71802078357961507</v>
      </c>
      <c r="J23" s="12">
        <f t="shared" si="4"/>
        <v>0.16137794733174232</v>
      </c>
      <c r="K23" s="12">
        <f t="shared" si="5"/>
        <v>1.9945588996058063E-2</v>
      </c>
    </row>
    <row r="24" spans="2:14" x14ac:dyDescent="0.25">
      <c r="B24" s="10">
        <v>20</v>
      </c>
      <c r="C24" s="11">
        <v>43911</v>
      </c>
      <c r="D24" s="12">
        <f t="shared" si="0"/>
        <v>238209.55348083982</v>
      </c>
      <c r="E24" s="12">
        <f t="shared" si="1"/>
        <v>6.5660503862521518</v>
      </c>
      <c r="F24" s="12">
        <f t="shared" si="6"/>
        <v>1.673617208808506</v>
      </c>
      <c r="G24" s="12">
        <f t="shared" si="6"/>
        <v>0.20685156513363578</v>
      </c>
      <c r="H24" s="9"/>
      <c r="I24" s="12">
        <f t="shared" si="3"/>
        <v>0.78886049373585354</v>
      </c>
      <c r="J24" s="12">
        <f t="shared" si="4"/>
        <v>0.17729996566687947</v>
      </c>
      <c r="K24" s="12">
        <f t="shared" si="5"/>
        <v>2.1913478902648047E-2</v>
      </c>
    </row>
    <row r="25" spans="2:14" x14ac:dyDescent="0.25">
      <c r="B25" s="10">
        <v>21</v>
      </c>
      <c r="C25" s="11">
        <v>43912</v>
      </c>
      <c r="D25" s="12">
        <f t="shared" si="0"/>
        <v>238208.6867921676</v>
      </c>
      <c r="E25" s="12">
        <f t="shared" si="1"/>
        <v>7.2138707122709862</v>
      </c>
      <c r="F25" s="12">
        <f t="shared" si="6"/>
        <v>1.8684100369339864</v>
      </c>
      <c r="G25" s="12">
        <f t="shared" si="6"/>
        <v>0.23092708321656036</v>
      </c>
      <c r="H25" s="9"/>
      <c r="I25" s="12">
        <f t="shared" si="3"/>
        <v>0.86668867222724011</v>
      </c>
      <c r="J25" s="12">
        <f t="shared" si="4"/>
        <v>0.19479282812548046</v>
      </c>
      <c r="K25" s="12">
        <f t="shared" si="5"/>
        <v>2.4075518082924578E-2</v>
      </c>
    </row>
    <row r="26" spans="2:14" x14ac:dyDescent="0.25">
      <c r="B26" s="10">
        <v>22</v>
      </c>
      <c r="C26" s="11">
        <v>43913</v>
      </c>
      <c r="D26" s="12">
        <f t="shared" si="0"/>
        <v>238207.73459753831</v>
      </c>
      <c r="E26" s="12">
        <f t="shared" si="1"/>
        <v>7.9256029844980969</v>
      </c>
      <c r="F26" s="12">
        <f t="shared" si="6"/>
        <v>2.0824215347313588</v>
      </c>
      <c r="G26" s="12">
        <f t="shared" si="6"/>
        <v>0.25737794249488732</v>
      </c>
      <c r="H26" s="9"/>
      <c r="I26" s="12">
        <f t="shared" si="3"/>
        <v>0.95219462930281107</v>
      </c>
      <c r="J26" s="12">
        <f t="shared" si="4"/>
        <v>0.21401149779737255</v>
      </c>
      <c r="K26" s="12">
        <f t="shared" si="5"/>
        <v>2.6450859278326973E-2</v>
      </c>
    </row>
    <row r="27" spans="2:14" x14ac:dyDescent="0.25">
      <c r="B27" s="10">
        <v>23</v>
      </c>
      <c r="C27" s="11">
        <v>43914</v>
      </c>
      <c r="D27" s="12">
        <f t="shared" si="0"/>
        <v>238206.68846189653</v>
      </c>
      <c r="E27" s="12">
        <f t="shared" si="1"/>
        <v>8.7075518601138278</v>
      </c>
      <c r="F27" s="12">
        <f t="shared" si="6"/>
        <v>2.3175477566048022</v>
      </c>
      <c r="G27" s="12">
        <f t="shared" si="6"/>
        <v>0.2864384867713804</v>
      </c>
      <c r="H27" s="9"/>
      <c r="I27" s="12">
        <f t="shared" si="3"/>
        <v>1.0461356417656684</v>
      </c>
      <c r="J27" s="12">
        <f t="shared" si="4"/>
        <v>0.23512622187344351</v>
      </c>
      <c r="K27" s="12">
        <f t="shared" si="5"/>
        <v>2.9060544276493048E-2</v>
      </c>
    </row>
    <row r="28" spans="2:14" x14ac:dyDescent="0.25">
      <c r="B28" s="10">
        <v>24</v>
      </c>
      <c r="C28" s="11">
        <v>43915</v>
      </c>
      <c r="D28" s="12">
        <f t="shared" si="0"/>
        <v>238205.53911824693</v>
      </c>
      <c r="E28" s="12">
        <f t="shared" si="1"/>
        <v>9.5666437810403924</v>
      </c>
      <c r="F28" s="12">
        <f t="shared" si="6"/>
        <v>2.5758717951215124</v>
      </c>
      <c r="G28" s="12">
        <f t="shared" si="6"/>
        <v>0.31836617692513114</v>
      </c>
      <c r="H28" s="9"/>
      <c r="I28" s="12">
        <f t="shared" si="3"/>
        <v>1.1493436495970251</v>
      </c>
      <c r="J28" s="12">
        <f t="shared" si="4"/>
        <v>0.25832403851671021</v>
      </c>
      <c r="K28" s="12">
        <f t="shared" si="5"/>
        <v>3.1927690153750729E-2</v>
      </c>
    </row>
    <row r="29" spans="2:14" x14ac:dyDescent="0.25">
      <c r="B29" s="10">
        <v>25</v>
      </c>
      <c r="C29" s="11">
        <v>43916</v>
      </c>
      <c r="D29" s="12">
        <f t="shared" si="0"/>
        <v>238204.27638563557</v>
      </c>
      <c r="E29" s="12">
        <f t="shared" si="1"/>
        <v>10.510488266370627</v>
      </c>
      <c r="F29" s="12">
        <f t="shared" si="6"/>
        <v>2.8596822272923772</v>
      </c>
      <c r="G29" s="12">
        <f t="shared" si="6"/>
        <v>0.35344387078894596</v>
      </c>
      <c r="H29" s="9"/>
      <c r="I29" s="12">
        <f t="shared" si="3"/>
        <v>1.2627326113649158</v>
      </c>
      <c r="J29" s="12">
        <f t="shared" si="4"/>
        <v>0.28381043217086493</v>
      </c>
      <c r="K29" s="12">
        <f t="shared" si="5"/>
        <v>3.5077693863814798E-2</v>
      </c>
    </row>
    <row r="30" spans="2:14" x14ac:dyDescent="0.25">
      <c r="B30" s="10">
        <v>26</v>
      </c>
      <c r="C30" s="11">
        <v>43917</v>
      </c>
      <c r="D30" s="12">
        <f t="shared" si="0"/>
        <v>238202.88907905255</v>
      </c>
      <c r="E30" s="12">
        <f t="shared" si="1"/>
        <v>11.547445240505816</v>
      </c>
      <c r="F30" s="12">
        <f t="shared" si="6"/>
        <v>3.1714933791947058</v>
      </c>
      <c r="G30" s="12">
        <f t="shared" si="6"/>
        <v>0.39198232776563829</v>
      </c>
      <c r="H30" s="9"/>
      <c r="I30" s="12">
        <f t="shared" si="3"/>
        <v>1.3873065830142075</v>
      </c>
      <c r="J30" s="12">
        <f t="shared" si="4"/>
        <v>0.31181115190232855</v>
      </c>
      <c r="K30" s="12">
        <f t="shared" si="5"/>
        <v>3.8538456976692337E-2</v>
      </c>
    </row>
    <row r="31" spans="2:14" x14ac:dyDescent="0.25">
      <c r="B31" s="10">
        <v>27</v>
      </c>
      <c r="C31" s="11">
        <v>43918</v>
      </c>
      <c r="D31" s="12">
        <f t="shared" si="0"/>
        <v>238201.36491046162</v>
      </c>
      <c r="E31" s="12">
        <f t="shared" si="1"/>
        <v>12.686698990080224</v>
      </c>
      <c r="F31" s="12">
        <f t="shared" si="6"/>
        <v>3.5140675879963781</v>
      </c>
      <c r="G31" s="12">
        <f t="shared" si="6"/>
        <v>0.43432296031415968</v>
      </c>
      <c r="H31" s="9"/>
      <c r="I31" s="12">
        <f t="shared" si="3"/>
        <v>1.5241685909246012</v>
      </c>
      <c r="J31" s="12">
        <f t="shared" si="4"/>
        <v>0.3425742088016725</v>
      </c>
      <c r="K31" s="12">
        <f t="shared" si="5"/>
        <v>4.2340632548521363E-2</v>
      </c>
    </row>
    <row r="32" spans="2:14" x14ac:dyDescent="0.25">
      <c r="B32" s="10">
        <v>28</v>
      </c>
      <c r="C32" s="11">
        <v>43919</v>
      </c>
      <c r="D32" s="12">
        <f t="shared" si="0"/>
        <v>238199.69038008459</v>
      </c>
      <c r="E32" s="12">
        <f t="shared" si="1"/>
        <v>13.938339400760931</v>
      </c>
      <c r="F32" s="12">
        <f t="shared" si="6"/>
        <v>3.8904396580354246</v>
      </c>
      <c r="G32" s="12">
        <f t="shared" si="6"/>
        <v>0.48084085661112053</v>
      </c>
      <c r="H32" s="9"/>
      <c r="I32" s="12">
        <f t="shared" si="3"/>
        <v>1.6745303770167157</v>
      </c>
      <c r="J32" s="12">
        <f t="shared" si="4"/>
        <v>0.3763720700390466</v>
      </c>
      <c r="K32" s="12">
        <f t="shared" si="5"/>
        <v>4.6517896296960862E-2</v>
      </c>
    </row>
    <row r="33" spans="2:11" x14ac:dyDescent="0.25">
      <c r="B33" s="10">
        <v>29</v>
      </c>
      <c r="C33" s="11">
        <v>43920</v>
      </c>
      <c r="D33" s="12">
        <f t="shared" si="0"/>
        <v>238197.85065698336</v>
      </c>
      <c r="E33" s="12">
        <f t="shared" si="1"/>
        <v>15.313451188641316</v>
      </c>
      <c r="F33" s="12">
        <f t="shared" si="6"/>
        <v>4.3039437269246656</v>
      </c>
      <c r="G33" s="12">
        <f t="shared" si="6"/>
        <v>0.53194810108057733</v>
      </c>
      <c r="H33" s="9"/>
      <c r="I33" s="12">
        <f t="shared" si="3"/>
        <v>1.8397231012390829</v>
      </c>
      <c r="J33" s="12">
        <f t="shared" si="4"/>
        <v>0.41350406888924091</v>
      </c>
      <c r="K33" s="12">
        <f t="shared" si="5"/>
        <v>5.1107244469456796E-2</v>
      </c>
    </row>
    <row r="34" spans="2:11" x14ac:dyDescent="0.25">
      <c r="B34" s="10">
        <v>30</v>
      </c>
      <c r="C34" s="13">
        <v>43921</v>
      </c>
      <c r="D34" s="12">
        <f t="shared" si="0"/>
        <v>238195.8294478883</v>
      </c>
      <c r="E34" s="12">
        <f t="shared" si="1"/>
        <v>16.824211910728284</v>
      </c>
      <c r="F34" s="12">
        <f t="shared" si="6"/>
        <v>4.758242778854358</v>
      </c>
      <c r="G34" s="12">
        <f t="shared" si="6"/>
        <v>0.58809742210559557</v>
      </c>
      <c r="H34" s="9"/>
      <c r="I34" s="12">
        <f t="shared" si="3"/>
        <v>2.0212090950416779</v>
      </c>
      <c r="J34" s="12">
        <f t="shared" si="4"/>
        <v>0.45429905192969233</v>
      </c>
      <c r="K34" s="12">
        <f t="shared" si="5"/>
        <v>5.6149321025018212E-2</v>
      </c>
    </row>
    <row r="35" spans="2:11" x14ac:dyDescent="0.25">
      <c r="B35" s="10">
        <v>31</v>
      </c>
      <c r="C35" s="11">
        <v>43922</v>
      </c>
      <c r="D35" s="12">
        <f t="shared" si="0"/>
        <v>238193.6088531198</v>
      </c>
      <c r="E35" s="12">
        <f t="shared" si="1"/>
        <v>18.483999615537662</v>
      </c>
      <c r="F35" s="12">
        <f t="shared" si="6"/>
        <v>5.2573610655392971</v>
      </c>
      <c r="G35" s="12">
        <f t="shared" si="6"/>
        <v>0.64978619911159929</v>
      </c>
      <c r="H35" s="9"/>
      <c r="I35" s="12">
        <f t="shared" si="3"/>
        <v>2.2205947685003249</v>
      </c>
      <c r="J35" s="12">
        <f t="shared" si="4"/>
        <v>0.49911828668493902</v>
      </c>
      <c r="K35" s="12">
        <f t="shared" si="5"/>
        <v>6.168877700600376E-2</v>
      </c>
    </row>
    <row r="36" spans="2:11" x14ac:dyDescent="0.25">
      <c r="B36" s="10">
        <v>32</v>
      </c>
      <c r="C36" s="11">
        <v>43923</v>
      </c>
      <c r="D36" s="12">
        <f t="shared" si="0"/>
        <v>238191.16920833613</v>
      </c>
      <c r="E36" s="12">
        <f t="shared" si="1"/>
        <v>20.307511078691995</v>
      </c>
      <c r="F36" s="12">
        <f t="shared" si="6"/>
        <v>5.8057197208002478</v>
      </c>
      <c r="G36" s="12">
        <f t="shared" si="6"/>
        <v>0.71756086436857081</v>
      </c>
      <c r="H36" s="9"/>
      <c r="I36" s="12">
        <f t="shared" si="3"/>
        <v>2.4396447836722568</v>
      </c>
      <c r="J36" s="12">
        <f t="shared" si="4"/>
        <v>0.54835865526095051</v>
      </c>
      <c r="K36" s="12">
        <f t="shared" si="5"/>
        <v>6.7774665256971497E-2</v>
      </c>
    </row>
    <row r="37" spans="2:11" x14ac:dyDescent="0.25">
      <c r="B37" s="10">
        <v>33</v>
      </c>
      <c r="C37" s="11">
        <v>43924</v>
      </c>
      <c r="D37" s="12">
        <f t="shared" si="0"/>
        <v>238188.4889107185</v>
      </c>
      <c r="E37" s="12">
        <f t="shared" si="1"/>
        <v>22.310891660348872</v>
      </c>
      <c r="F37" s="12">
        <f t="shared" si="6"/>
        <v>6.4081758828014435</v>
      </c>
      <c r="G37" s="12">
        <f t="shared" si="6"/>
        <v>0.79202173832377487</v>
      </c>
      <c r="H37" s="9"/>
      <c r="I37" s="12">
        <f t="shared" si="3"/>
        <v>2.6802976176132791</v>
      </c>
      <c r="J37" s="12">
        <f t="shared" si="4"/>
        <v>0.60245616200119578</v>
      </c>
      <c r="K37" s="12">
        <f t="shared" si="5"/>
        <v>7.4460873955204038E-2</v>
      </c>
    </row>
    <row r="38" spans="2:11" x14ac:dyDescent="0.25">
      <c r="B38" s="10">
        <v>34</v>
      </c>
      <c r="C38" s="11">
        <v>43925</v>
      </c>
      <c r="D38" s="12">
        <f t="shared" si="0"/>
        <v>238185.54422806815</v>
      </c>
      <c r="E38" s="12">
        <f t="shared" si="1"/>
        <v>24.511877922025011</v>
      </c>
      <c r="F38" s="12">
        <f t="shared" ref="F38:G53" si="7">F37+J38</f>
        <v>7.0700656687251264</v>
      </c>
      <c r="G38" s="12">
        <f t="shared" si="7"/>
        <v>0.87382834107838747</v>
      </c>
      <c r="H38" s="9"/>
      <c r="I38" s="12">
        <f t="shared" si="3"/>
        <v>2.9446826503544341</v>
      </c>
      <c r="J38" s="12">
        <f t="shared" si="4"/>
        <v>0.66188978592368319</v>
      </c>
      <c r="K38" s="12">
        <f t="shared" si="5"/>
        <v>8.1806602754612615E-2</v>
      </c>
    </row>
    <row r="39" spans="2:11" x14ac:dyDescent="0.25">
      <c r="B39" s="10">
        <v>35</v>
      </c>
      <c r="C39" s="11">
        <v>43926</v>
      </c>
      <c r="D39" s="12">
        <f t="shared" si="0"/>
        <v>238182.30908914204</v>
      </c>
      <c r="E39" s="12">
        <f t="shared" si="1"/>
        <v>26.92995425073444</v>
      </c>
      <c r="F39" s="12">
        <f t="shared" si="7"/>
        <v>7.7972513804118684</v>
      </c>
      <c r="G39" s="12">
        <f t="shared" si="7"/>
        <v>0.96370522679247927</v>
      </c>
      <c r="H39" s="9"/>
      <c r="I39" s="12">
        <f t="shared" si="3"/>
        <v>3.2351389261102619</v>
      </c>
      <c r="J39" s="12">
        <f t="shared" si="4"/>
        <v>0.72718571168674195</v>
      </c>
      <c r="K39" s="12">
        <f t="shared" si="5"/>
        <v>8.9876885714091775E-2</v>
      </c>
    </row>
    <row r="40" spans="2:11" x14ac:dyDescent="0.25">
      <c r="B40" s="10">
        <v>36</v>
      </c>
      <c r="C40" s="11">
        <v>43927</v>
      </c>
      <c r="D40" s="12">
        <f t="shared" si="0"/>
        <v>238178.75485339187</v>
      </c>
      <c r="E40" s="12">
        <f t="shared" si="1"/>
        <v>29.586524859210851</v>
      </c>
      <c r="F40" s="12">
        <f t="shared" si="7"/>
        <v>8.5961733565169904</v>
      </c>
      <c r="G40" s="12">
        <f t="shared" si="7"/>
        <v>1.0624483923785057</v>
      </c>
      <c r="H40" s="9"/>
      <c r="I40" s="12">
        <f t="shared" si="3"/>
        <v>3.554235750167555</v>
      </c>
      <c r="J40" s="12">
        <f t="shared" si="4"/>
        <v>0.79892197610512161</v>
      </c>
      <c r="K40" s="12">
        <f t="shared" si="5"/>
        <v>9.8743165586026374E-2</v>
      </c>
    </row>
    <row r="41" spans="2:11" x14ac:dyDescent="0.25">
      <c r="B41" s="10">
        <v>37</v>
      </c>
      <c r="C41" s="11">
        <v>43928</v>
      </c>
      <c r="D41" s="12">
        <f t="shared" si="0"/>
        <v>238174.8500580925</v>
      </c>
      <c r="E41" s="12">
        <f t="shared" si="1"/>
        <v>32.50510266328947</v>
      </c>
      <c r="F41" s="12">
        <f t="shared" si="7"/>
        <v>9.473906927340245</v>
      </c>
      <c r="G41" s="12">
        <f t="shared" si="7"/>
        <v>1.1709323168622789</v>
      </c>
      <c r="H41" s="9"/>
      <c r="I41" s="12">
        <f t="shared" si="3"/>
        <v>3.9047952993856447</v>
      </c>
      <c r="J41" s="12">
        <f t="shared" si="4"/>
        <v>0.87773357082325509</v>
      </c>
      <c r="K41" s="12">
        <f t="shared" si="5"/>
        <v>0.10848392448377321</v>
      </c>
    </row>
    <row r="42" spans="2:11" x14ac:dyDescent="0.25">
      <c r="B42" s="10">
        <v>38</v>
      </c>
      <c r="C42" s="11">
        <v>43929</v>
      </c>
      <c r="D42" s="12">
        <f t="shared" si="0"/>
        <v>238170.56014065136</v>
      </c>
      <c r="E42" s="12">
        <f t="shared" si="1"/>
        <v>35.711516682316159</v>
      </c>
      <c r="F42" s="12">
        <f t="shared" si="7"/>
        <v>10.438224973017833</v>
      </c>
      <c r="G42" s="12">
        <f t="shared" si="7"/>
        <v>1.2901176932943403</v>
      </c>
      <c r="H42" s="9"/>
      <c r="I42" s="12">
        <f t="shared" si="3"/>
        <v>4.2899174411363363</v>
      </c>
      <c r="J42" s="12">
        <f t="shared" si="4"/>
        <v>0.96431804567758761</v>
      </c>
      <c r="K42" s="12">
        <f t="shared" si="5"/>
        <v>0.11918537643206149</v>
      </c>
    </row>
    <row r="43" spans="2:11" x14ac:dyDescent="0.25">
      <c r="B43" s="10">
        <v>39</v>
      </c>
      <c r="C43" s="11">
        <v>43930</v>
      </c>
      <c r="D43" s="12">
        <f t="shared" si="0"/>
        <v>238165.84713367742</v>
      </c>
      <c r="E43" s="12">
        <f t="shared" si="1"/>
        <v>39.234139766845523</v>
      </c>
      <c r="F43" s="12">
        <f t="shared" si="7"/>
        <v>11.497666634593212</v>
      </c>
      <c r="G43" s="12">
        <f t="shared" si="7"/>
        <v>1.4210599211294996</v>
      </c>
      <c r="H43" s="9"/>
      <c r="I43" s="12">
        <f t="shared" si="3"/>
        <v>4.713006973939895</v>
      </c>
      <c r="J43" s="12">
        <f t="shared" si="4"/>
        <v>1.0594416615753792</v>
      </c>
      <c r="K43" s="12">
        <f t="shared" si="5"/>
        <v>0.13094222783515938</v>
      </c>
    </row>
    <row r="44" spans="2:11" x14ac:dyDescent="0.25">
      <c r="B44" s="10">
        <v>40</v>
      </c>
      <c r="C44" s="11">
        <v>43931</v>
      </c>
      <c r="D44" s="12">
        <f t="shared" si="0"/>
        <v>238160.66933015428</v>
      </c>
      <c r="E44" s="12">
        <f t="shared" si="1"/>
        <v>43.104138631086933</v>
      </c>
      <c r="F44" s="12">
        <f t="shared" si="7"/>
        <v>12.66161278100963</v>
      </c>
      <c r="G44" s="12">
        <f t="shared" si="7"/>
        <v>1.5649184336079334</v>
      </c>
      <c r="H44" s="9"/>
      <c r="I44" s="12">
        <f t="shared" si="3"/>
        <v>5.177803523136256</v>
      </c>
      <c r="J44" s="12">
        <f t="shared" si="4"/>
        <v>1.1639461464164171</v>
      </c>
      <c r="K44" s="12">
        <f t="shared" si="5"/>
        <v>0.1438585124784337</v>
      </c>
    </row>
    <row r="45" spans="2:11" x14ac:dyDescent="0.25">
      <c r="B45" s="10">
        <v>41</v>
      </c>
      <c r="C45" s="11">
        <v>43932</v>
      </c>
      <c r="D45" s="12">
        <f t="shared" si="0"/>
        <v>238154.98091580748</v>
      </c>
      <c r="E45" s="12">
        <f t="shared" si="1"/>
        <v>47.355748356847968</v>
      </c>
      <c r="F45" s="12">
        <f t="shared" si="7"/>
        <v>13.940368893731875</v>
      </c>
      <c r="G45" s="12">
        <f t="shared" si="7"/>
        <v>1.7229669419219189</v>
      </c>
      <c r="H45" s="9"/>
      <c r="I45" s="12">
        <f t="shared" si="3"/>
        <v>5.6884143467972761</v>
      </c>
      <c r="J45" s="12">
        <f t="shared" si="4"/>
        <v>1.2787561127222455</v>
      </c>
      <c r="K45" s="12">
        <f t="shared" si="5"/>
        <v>0.15804850831398556</v>
      </c>
    </row>
    <row r="46" spans="2:11" x14ac:dyDescent="0.25">
      <c r="B46" s="10">
        <v>42</v>
      </c>
      <c r="C46" s="11">
        <v>43933</v>
      </c>
      <c r="D46" s="12">
        <f t="shared" si="0"/>
        <v>238148.7315654766</v>
      </c>
      <c r="E46" s="12">
        <f t="shared" si="1"/>
        <v>52.026573742491621</v>
      </c>
      <c r="F46" s="12">
        <f t="shared" si="7"/>
        <v>15.345256094985032</v>
      </c>
      <c r="G46" s="12">
        <f t="shared" si="7"/>
        <v>1.8966046858970282</v>
      </c>
      <c r="H46" s="9"/>
      <c r="I46" s="12">
        <f t="shared" si="3"/>
        <v>6.2493503308719109</v>
      </c>
      <c r="J46" s="12">
        <f t="shared" si="4"/>
        <v>1.4048872012531564</v>
      </c>
      <c r="K46" s="12">
        <f t="shared" si="5"/>
        <v>0.17363774397510937</v>
      </c>
    </row>
    <row r="47" spans="2:11" x14ac:dyDescent="0.25">
      <c r="B47" s="10">
        <v>43</v>
      </c>
      <c r="C47" s="11">
        <v>43934</v>
      </c>
      <c r="D47" s="12">
        <f t="shared" si="0"/>
        <v>238141.8659999982</v>
      </c>
      <c r="E47" s="12">
        <f t="shared" si="1"/>
        <v>57.15792009614394</v>
      </c>
      <c r="F47" s="12">
        <f t="shared" si="7"/>
        <v>16.888711116012285</v>
      </c>
      <c r="G47" s="12">
        <f t="shared" si="7"/>
        <v>2.0873687896194975</v>
      </c>
      <c r="H47" s="9"/>
      <c r="I47" s="12">
        <f t="shared" si="3"/>
        <v>6.8655654784020372</v>
      </c>
      <c r="J47" s="12">
        <f t="shared" si="4"/>
        <v>1.5434550210272513</v>
      </c>
      <c r="K47" s="12">
        <f t="shared" si="5"/>
        <v>0.19076410372246944</v>
      </c>
    </row>
    <row r="48" spans="2:11" x14ac:dyDescent="0.25">
      <c r="B48" s="10">
        <v>44</v>
      </c>
      <c r="C48" s="11">
        <v>43935</v>
      </c>
      <c r="D48" s="12">
        <f t="shared" si="0"/>
        <v>238134.32349977249</v>
      </c>
      <c r="E48" s="12">
        <f t="shared" si="1"/>
        <v>62.795156318635783</v>
      </c>
      <c r="F48" s="12">
        <f t="shared" si="7"/>
        <v>18.584396078864554</v>
      </c>
      <c r="G48" s="12">
        <f t="shared" si="7"/>
        <v>2.2969478299720256</v>
      </c>
      <c r="H48" s="9"/>
      <c r="I48" s="12">
        <f t="shared" si="3"/>
        <v>7.5425002256966422</v>
      </c>
      <c r="J48" s="12">
        <f t="shared" si="4"/>
        <v>1.6956849628522699</v>
      </c>
      <c r="K48" s="12">
        <f t="shared" si="5"/>
        <v>0.20957904035252797</v>
      </c>
    </row>
    <row r="49" spans="2:11" x14ac:dyDescent="0.25">
      <c r="B49" s="10">
        <v>45</v>
      </c>
      <c r="C49" s="11">
        <v>43936</v>
      </c>
      <c r="D49" s="12">
        <f t="shared" si="0"/>
        <v>238126.03737082373</v>
      </c>
      <c r="E49" s="12">
        <f t="shared" si="1"/>
        <v>68.988113390100793</v>
      </c>
      <c r="F49" s="12">
        <f t="shared" si="7"/>
        <v>20.447319049650748</v>
      </c>
      <c r="G49" s="12">
        <f t="shared" si="7"/>
        <v>2.5271967364736905</v>
      </c>
      <c r="H49" s="9"/>
      <c r="I49" s="12">
        <f t="shared" si="3"/>
        <v>8.2861289487528769</v>
      </c>
      <c r="J49" s="12">
        <f t="shared" si="4"/>
        <v>1.8629229707861947</v>
      </c>
      <c r="K49" s="12">
        <f t="shared" si="5"/>
        <v>0.23024890650166474</v>
      </c>
    </row>
    <row r="50" spans="2:11" x14ac:dyDescent="0.25">
      <c r="B50" s="10">
        <v>46</v>
      </c>
      <c r="C50" s="11">
        <v>43937</v>
      </c>
      <c r="D50" s="12">
        <f t="shared" si="0"/>
        <v>238116.93435876761</v>
      </c>
      <c r="E50" s="12">
        <f t="shared" si="1"/>
        <v>75.791521666541129</v>
      </c>
      <c r="F50" s="12">
        <f t="shared" si="7"/>
        <v>22.493966413557072</v>
      </c>
      <c r="G50" s="12">
        <f t="shared" si="7"/>
        <v>2.7801531522373937</v>
      </c>
      <c r="H50" s="9"/>
      <c r="I50" s="12">
        <f t="shared" si="3"/>
        <v>9.1030120561103605</v>
      </c>
      <c r="J50" s="12">
        <f t="shared" si="4"/>
        <v>2.0466473639063234</v>
      </c>
      <c r="K50" s="12">
        <f t="shared" si="5"/>
        <v>0.25295641576370315</v>
      </c>
    </row>
    <row r="51" spans="2:11" x14ac:dyDescent="0.25">
      <c r="B51" s="10">
        <v>47</v>
      </c>
      <c r="C51" s="11">
        <v>43938</v>
      </c>
      <c r="D51" s="12">
        <f t="shared" si="0"/>
        <v>238106.93400566775</v>
      </c>
      <c r="E51" s="12">
        <f t="shared" si="1"/>
        <v>83.265490710853811</v>
      </c>
      <c r="F51" s="12">
        <f t="shared" si="7"/>
        <v>24.74244822299779</v>
      </c>
      <c r="G51" s="12">
        <f t="shared" si="7"/>
        <v>3.0580553983480447</v>
      </c>
      <c r="H51" s="9"/>
      <c r="I51" s="12">
        <f t="shared" si="3"/>
        <v>10.000353099864057</v>
      </c>
      <c r="J51" s="12">
        <f t="shared" si="4"/>
        <v>2.2484818094407197</v>
      </c>
      <c r="K51" s="12">
        <f t="shared" si="5"/>
        <v>0.27790224611065106</v>
      </c>
    </row>
    <row r="52" spans="2:11" x14ac:dyDescent="0.25">
      <c r="B52" s="10">
        <v>48</v>
      </c>
      <c r="C52" s="11">
        <v>43939</v>
      </c>
      <c r="D52" s="12">
        <f t="shared" si="0"/>
        <v>238095.94794429286</v>
      </c>
      <c r="E52" s="12">
        <f t="shared" si="1"/>
        <v>91.476035728703067</v>
      </c>
      <c r="F52" s="12">
        <f t="shared" si="7"/>
        <v>27.212657780753119</v>
      </c>
      <c r="G52" s="12">
        <f t="shared" si="7"/>
        <v>3.3633621976211758</v>
      </c>
      <c r="H52" s="9"/>
      <c r="I52" s="12">
        <f t="shared" si="3"/>
        <v>10.986061374877707</v>
      </c>
      <c r="J52" s="12">
        <f t="shared" si="4"/>
        <v>2.4702095577553296</v>
      </c>
      <c r="K52" s="12">
        <f t="shared" si="5"/>
        <v>0.30530679927313092</v>
      </c>
    </row>
    <row r="53" spans="2:11" x14ac:dyDescent="0.25">
      <c r="B53" s="10">
        <v>49</v>
      </c>
      <c r="C53" s="11">
        <v>43940</v>
      </c>
      <c r="D53" s="12">
        <f t="shared" si="0"/>
        <v>238083.8791237754</v>
      </c>
      <c r="E53" s="12">
        <f t="shared" si="1"/>
        <v>100.49565505520604</v>
      </c>
      <c r="F53" s="12">
        <f t="shared" si="7"/>
        <v>29.926446840704642</v>
      </c>
      <c r="G53" s="12">
        <f t="shared" si="7"/>
        <v>3.6987743286264205</v>
      </c>
      <c r="H53" s="9"/>
      <c r="I53" s="12">
        <f t="shared" si="3"/>
        <v>12.068820517459743</v>
      </c>
      <c r="J53" s="12">
        <f t="shared" si="4"/>
        <v>2.713789059951524</v>
      </c>
      <c r="K53" s="12">
        <f t="shared" si="5"/>
        <v>0.33541213100524486</v>
      </c>
    </row>
    <row r="54" spans="2:11" x14ac:dyDescent="0.25">
      <c r="B54" s="10">
        <v>50</v>
      </c>
      <c r="C54" s="11">
        <v>43941</v>
      </c>
      <c r="D54" s="12">
        <f t="shared" si="0"/>
        <v>238070.62096011642</v>
      </c>
      <c r="E54" s="12">
        <f t="shared" si="1"/>
        <v>110.40396354569356</v>
      </c>
      <c r="F54" s="12">
        <f t="shared" ref="F54:G69" si="8">F53+J54</f>
        <v>32.907817940675756</v>
      </c>
      <c r="G54" s="12">
        <f t="shared" si="8"/>
        <v>4.0672583971621767</v>
      </c>
      <c r="H54" s="9"/>
      <c r="I54" s="12">
        <f t="shared" si="3"/>
        <v>13.258163658994382</v>
      </c>
      <c r="J54" s="12">
        <f t="shared" si="4"/>
        <v>2.9813710999711125</v>
      </c>
      <c r="K54" s="12">
        <f t="shared" si="5"/>
        <v>0.36848406853575583</v>
      </c>
    </row>
    <row r="55" spans="2:11" x14ac:dyDescent="0.25">
      <c r="B55" s="10">
        <v>51</v>
      </c>
      <c r="C55" s="11">
        <v>43942</v>
      </c>
      <c r="D55" s="12">
        <f t="shared" si="0"/>
        <v>238056.05640437908</v>
      </c>
      <c r="E55" s="12">
        <f t="shared" si="1"/>
        <v>121.28838716484839</v>
      </c>
      <c r="F55" s="12">
        <f t="shared" si="8"/>
        <v>36.183135525864664</v>
      </c>
      <c r="G55" s="12">
        <f t="shared" si="8"/>
        <v>4.4720729301630531</v>
      </c>
      <c r="H55" s="9"/>
      <c r="I55" s="12">
        <f t="shared" si="3"/>
        <v>14.564555737344614</v>
      </c>
      <c r="J55" s="12">
        <f t="shared" si="4"/>
        <v>3.2753175851889087</v>
      </c>
      <c r="K55" s="12">
        <f t="shared" si="5"/>
        <v>0.40481453300087672</v>
      </c>
    </row>
    <row r="56" spans="2:11" x14ac:dyDescent="0.25">
      <c r="B56" s="10">
        <v>52</v>
      </c>
      <c r="C56" s="11">
        <v>43943</v>
      </c>
      <c r="D56" s="12">
        <f t="shared" si="0"/>
        <v>238040.05692075976</v>
      </c>
      <c r="E56" s="12">
        <f t="shared" si="1"/>
        <v>133.24492454532799</v>
      </c>
      <c r="F56" s="12">
        <f t="shared" si="8"/>
        <v>39.781357678421834</v>
      </c>
      <c r="G56" s="12">
        <f t="shared" si="8"/>
        <v>4.9167970164341641</v>
      </c>
      <c r="H56" s="9"/>
      <c r="I56" s="12">
        <f t="shared" si="3"/>
        <v>15.999483619307881</v>
      </c>
      <c r="J56" s="12">
        <f t="shared" si="4"/>
        <v>3.5982221525571685</v>
      </c>
      <c r="K56" s="12">
        <f t="shared" si="5"/>
        <v>0.44472408627111115</v>
      </c>
    </row>
    <row r="57" spans="2:11" x14ac:dyDescent="0.25">
      <c r="B57" s="10">
        <v>53</v>
      </c>
      <c r="C57" s="11">
        <v>43944</v>
      </c>
      <c r="D57" s="12">
        <f t="shared" si="0"/>
        <v>238022.48136601874</v>
      </c>
      <c r="E57" s="12">
        <f t="shared" si="1"/>
        <v>146.37898180149341</v>
      </c>
      <c r="F57" s="12">
        <f t="shared" si="8"/>
        <v>43.734290439933233</v>
      </c>
      <c r="G57" s="12">
        <f t="shared" si="8"/>
        <v>5.4053617397670335</v>
      </c>
      <c r="H57" s="9"/>
      <c r="I57" s="12">
        <f t="shared" si="3"/>
        <v>17.575554741009693</v>
      </c>
      <c r="J57" s="12">
        <f t="shared" si="4"/>
        <v>3.9529327615113967</v>
      </c>
      <c r="K57" s="12">
        <f t="shared" si="5"/>
        <v>0.48856472333286971</v>
      </c>
    </row>
    <row r="58" spans="2:11" x14ac:dyDescent="0.25">
      <c r="B58" s="10">
        <v>54</v>
      </c>
      <c r="C58" s="11">
        <v>43945</v>
      </c>
      <c r="D58" s="12">
        <f t="shared" si="0"/>
        <v>238003.17476098894</v>
      </c>
      <c r="E58" s="12">
        <f t="shared" si="1"/>
        <v>160.80628743791308</v>
      </c>
      <c r="F58" s="12">
        <f t="shared" si="8"/>
        <v>48.076866900044202</v>
      </c>
      <c r="G58" s="12">
        <f t="shared" si="8"/>
        <v>5.9420846730391768</v>
      </c>
      <c r="H58" s="9"/>
      <c r="I58" s="12">
        <f t="shared" si="3"/>
        <v>19.306605029802782</v>
      </c>
      <c r="J58" s="12">
        <f t="shared" si="4"/>
        <v>4.3425764601109709</v>
      </c>
      <c r="K58" s="12">
        <f t="shared" si="5"/>
        <v>0.53672293327214304</v>
      </c>
    </row>
    <row r="59" spans="2:11" x14ac:dyDescent="0.25">
      <c r="B59" s="10">
        <v>55</v>
      </c>
      <c r="C59" s="11">
        <v>43946</v>
      </c>
      <c r="D59" s="12">
        <f t="shared" si="0"/>
        <v>237981.96694405808</v>
      </c>
      <c r="E59" s="12">
        <f t="shared" si="1"/>
        <v>176.65389478750728</v>
      </c>
      <c r="F59" s="12">
        <f t="shared" si="8"/>
        <v>52.847453427368954</v>
      </c>
      <c r="G59" s="12">
        <f t="shared" si="8"/>
        <v>6.5317077269781922</v>
      </c>
      <c r="H59" s="9"/>
      <c r="I59" s="12">
        <f t="shared" si="3"/>
        <v>21.20781693085798</v>
      </c>
      <c r="J59" s="12">
        <f t="shared" si="4"/>
        <v>4.7705865273247543</v>
      </c>
      <c r="K59" s="12">
        <f t="shared" si="5"/>
        <v>0.58962305393901515</v>
      </c>
    </row>
    <row r="60" spans="2:11" x14ac:dyDescent="0.25">
      <c r="B60" s="10">
        <v>56</v>
      </c>
      <c r="C60" s="11">
        <v>43947</v>
      </c>
      <c r="D60" s="12">
        <f t="shared" si="0"/>
        <v>237958.67109563414</v>
      </c>
      <c r="E60" s="12">
        <f t="shared" si="1"/>
        <v>194.06128005186582</v>
      </c>
      <c r="F60" s="12">
        <f t="shared" si="8"/>
        <v>58.088185639398333</v>
      </c>
      <c r="G60" s="12">
        <f t="shared" si="8"/>
        <v>7.1794386745323866</v>
      </c>
      <c r="H60" s="9"/>
      <c r="I60" s="12">
        <f t="shared" si="3"/>
        <v>23.295848423942083</v>
      </c>
      <c r="J60" s="12">
        <f t="shared" si="4"/>
        <v>5.240732212029382</v>
      </c>
      <c r="K60" s="12">
        <f t="shared" si="5"/>
        <v>0.64773094755419403</v>
      </c>
    </row>
    <row r="61" spans="2:11" x14ac:dyDescent="0.25">
      <c r="B61" s="10">
        <v>57</v>
      </c>
      <c r="C61" s="11">
        <v>43948</v>
      </c>
      <c r="D61" s="12">
        <f t="shared" si="0"/>
        <v>237933.08212165363</v>
      </c>
      <c r="E61" s="12">
        <f t="shared" si="1"/>
        <v>213.18154469730771</v>
      </c>
      <c r="F61" s="12">
        <f t="shared" si="8"/>
        <v>63.845336947603684</v>
      </c>
      <c r="G61" s="12">
        <f t="shared" si="8"/>
        <v>7.8909967013892288</v>
      </c>
      <c r="H61" s="9"/>
      <c r="I61" s="12">
        <f t="shared" si="3"/>
        <v>25.588973980504065</v>
      </c>
      <c r="J61" s="12">
        <f t="shared" si="4"/>
        <v>5.7571513082053523</v>
      </c>
      <c r="K61" s="12">
        <f t="shared" si="5"/>
        <v>0.711558026856842</v>
      </c>
    </row>
    <row r="62" spans="2:11" x14ac:dyDescent="0.25">
      <c r="B62" s="10">
        <v>58</v>
      </c>
      <c r="C62" s="11">
        <v>43949</v>
      </c>
      <c r="D62" s="12">
        <f t="shared" si="0"/>
        <v>237904.97488317604</v>
      </c>
      <c r="E62" s="12">
        <f t="shared" si="1"/>
        <v>234.18273168499277</v>
      </c>
      <c r="F62" s="12">
        <f t="shared" si="8"/>
        <v>70.169722773623818</v>
      </c>
      <c r="G62" s="12">
        <f t="shared" si="8"/>
        <v>8.6726623652793577</v>
      </c>
      <c r="H62" s="9"/>
      <c r="I62" s="12">
        <f t="shared" si="3"/>
        <v>28.107238477595306</v>
      </c>
      <c r="J62" s="12">
        <f t="shared" si="4"/>
        <v>6.3243858260201282</v>
      </c>
      <c r="K62" s="12">
        <f t="shared" si="5"/>
        <v>0.78166566389012893</v>
      </c>
    </row>
    <row r="63" spans="2:11" x14ac:dyDescent="0.25">
      <c r="B63" s="10">
        <v>59</v>
      </c>
      <c r="C63" s="11">
        <v>43950</v>
      </c>
      <c r="D63" s="12">
        <f t="shared" si="0"/>
        <v>237874.10225802346</v>
      </c>
      <c r="E63" s="12">
        <f t="shared" si="1"/>
        <v>257.24926578141935</v>
      </c>
      <c r="F63" s="12">
        <f t="shared" si="8"/>
        <v>77.117143813611932</v>
      </c>
      <c r="G63" s="12">
        <f t="shared" si="8"/>
        <v>9.5313323814576645</v>
      </c>
      <c r="H63" s="9"/>
      <c r="I63" s="12">
        <f t="shared" si="3"/>
        <v>30.87262515259297</v>
      </c>
      <c r="J63" s="12">
        <f t="shared" si="4"/>
        <v>6.947421039988118</v>
      </c>
      <c r="K63" s="12">
        <f t="shared" si="5"/>
        <v>0.85867001617830752</v>
      </c>
    </row>
    <row r="64" spans="2:11" x14ac:dyDescent="0.25">
      <c r="B64" s="10">
        <v>60</v>
      </c>
      <c r="C64" s="13">
        <v>43951</v>
      </c>
      <c r="D64" s="12">
        <f t="shared" si="0"/>
        <v>237840.19301927328</v>
      </c>
      <c r="E64" s="12">
        <f t="shared" si="1"/>
        <v>282.58352900555769</v>
      </c>
      <c r="F64" s="12">
        <f t="shared" si="8"/>
        <v>84.748872031794036</v>
      </c>
      <c r="G64" s="12">
        <f t="shared" si="8"/>
        <v>10.474579689322869</v>
      </c>
      <c r="H64" s="9"/>
      <c r="I64" s="12">
        <f t="shared" si="3"/>
        <v>33.909238750185622</v>
      </c>
      <c r="J64" s="12">
        <f t="shared" si="4"/>
        <v>7.6317282181821069</v>
      </c>
      <c r="K64" s="12">
        <f t="shared" si="5"/>
        <v>0.94324730786520516</v>
      </c>
    </row>
    <row r="65" spans="2:11" x14ac:dyDescent="0.25">
      <c r="B65" s="10">
        <v>61</v>
      </c>
      <c r="C65" s="11">
        <v>43952</v>
      </c>
      <c r="D65" s="12">
        <f t="shared" si="0"/>
        <v>237802.94951419396</v>
      </c>
      <c r="E65" s="12">
        <f t="shared" si="1"/>
        <v>310.4075831180229</v>
      </c>
      <c r="F65" s="12">
        <f t="shared" si="8"/>
        <v>93.132183392292248</v>
      </c>
      <c r="G65" s="12">
        <f t="shared" si="8"/>
        <v>11.510719295676582</v>
      </c>
      <c r="H65" s="9"/>
      <c r="I65" s="12">
        <f t="shared" si="3"/>
        <v>37.243505079317117</v>
      </c>
      <c r="J65" s="12">
        <f t="shared" si="4"/>
        <v>8.3833113604982099</v>
      </c>
      <c r="K65" s="12">
        <f t="shared" si="5"/>
        <v>1.0361396063537125</v>
      </c>
    </row>
    <row r="66" spans="2:11" x14ac:dyDescent="0.25">
      <c r="B66" s="10">
        <v>62</v>
      </c>
      <c r="C66" s="11">
        <v>43953</v>
      </c>
      <c r="D66" s="12">
        <f t="shared" si="0"/>
        <v>237762.04512593287</v>
      </c>
      <c r="E66" s="12">
        <f t="shared" si="1"/>
        <v>340.96505194184516</v>
      </c>
      <c r="F66" s="12">
        <f t="shared" si="8"/>
        <v>102.34094169146026</v>
      </c>
      <c r="G66" s="12">
        <f t="shared" si="8"/>
        <v>12.648880433776</v>
      </c>
      <c r="H66" s="9"/>
      <c r="I66" s="12">
        <f t="shared" si="3"/>
        <v>40.904388261089736</v>
      </c>
      <c r="J66" s="12">
        <f t="shared" si="4"/>
        <v>9.2087582991680108</v>
      </c>
      <c r="K66" s="12">
        <f t="shared" si="5"/>
        <v>1.1381611380994181</v>
      </c>
    </row>
    <row r="67" spans="2:11" x14ac:dyDescent="0.25">
      <c r="B67" s="10">
        <v>63</v>
      </c>
      <c r="C67" s="11">
        <v>43954</v>
      </c>
      <c r="D67" s="12">
        <f t="shared" si="0"/>
        <v>237717.12149892602</v>
      </c>
      <c r="E67" s="12">
        <f t="shared" si="1"/>
        <v>374.52317721731038</v>
      </c>
      <c r="F67" s="12">
        <f t="shared" si="8"/>
        <v>112.45623823240166</v>
      </c>
      <c r="G67" s="12">
        <f t="shared" si="8"/>
        <v>13.899085624229434</v>
      </c>
      <c r="H67" s="9"/>
      <c r="I67" s="12">
        <f t="shared" si="3"/>
        <v>44.923627006860045</v>
      </c>
      <c r="J67" s="12">
        <f t="shared" si="4"/>
        <v>10.115296540941406</v>
      </c>
      <c r="K67" s="12">
        <f t="shared" si="5"/>
        <v>1.2502051904534333</v>
      </c>
    </row>
    <row r="68" spans="2:11" x14ac:dyDescent="0.25">
      <c r="B68" s="10">
        <v>64</v>
      </c>
      <c r="C68" s="11">
        <v>43955</v>
      </c>
      <c r="D68" s="12">
        <f t="shared" si="0"/>
        <v>237667.78550760981</v>
      </c>
      <c r="E68" s="12">
        <f t="shared" si="1"/>
        <v>411.3750626262904</v>
      </c>
      <c r="F68" s="12">
        <f t="shared" si="8"/>
        <v>123.56709248984853</v>
      </c>
      <c r="G68" s="12">
        <f t="shared" si="8"/>
        <v>15.27233727402624</v>
      </c>
      <c r="H68" s="9"/>
      <c r="I68" s="12">
        <f t="shared" si="3"/>
        <v>49.335991316223705</v>
      </c>
      <c r="J68" s="12">
        <f t="shared" si="4"/>
        <v>11.110854257446872</v>
      </c>
      <c r="K68" s="12">
        <f t="shared" si="5"/>
        <v>1.3732516497968059</v>
      </c>
    </row>
    <row r="69" spans="2:11" x14ac:dyDescent="0.25">
      <c r="B69" s="10">
        <v>65</v>
      </c>
      <c r="C69" s="11">
        <v>43956</v>
      </c>
      <c r="D69" s="12">
        <f t="shared" si="0"/>
        <v>237613.60594658591</v>
      </c>
      <c r="E69" s="12">
        <f t="shared" si="1"/>
        <v>451.84212156264999</v>
      </c>
      <c r="F69" s="12">
        <f t="shared" si="8"/>
        <v>135.77121934776181</v>
      </c>
      <c r="G69" s="12">
        <f t="shared" si="8"/>
        <v>16.780712503655973</v>
      </c>
      <c r="H69" s="9"/>
      <c r="I69" s="12">
        <f t="shared" si="3"/>
        <v>54.179561023902572</v>
      </c>
      <c r="J69" s="12">
        <f t="shared" si="4"/>
        <v>12.20412685791328</v>
      </c>
      <c r="K69" s="12">
        <f t="shared" si="5"/>
        <v>1.5083752296297328</v>
      </c>
    </row>
    <row r="70" spans="2:11" x14ac:dyDescent="0.25">
      <c r="B70" s="10">
        <v>66</v>
      </c>
      <c r="C70" s="11">
        <v>43957</v>
      </c>
      <c r="D70" s="12">
        <f t="shared" ref="D70:D133" si="9">D69-I70</f>
        <v>237554.10991893738</v>
      </c>
      <c r="E70" s="12">
        <f t="shared" ref="E70:E133" si="10">E69+I70-J70-K70</f>
        <v>496.27674515909615</v>
      </c>
      <c r="F70" s="12">
        <f t="shared" ref="F70:G85" si="11">F69+J70</f>
        <v>149.17586895412043</v>
      </c>
      <c r="G70" s="12">
        <f t="shared" si="11"/>
        <v>18.437466949385691</v>
      </c>
      <c r="H70" s="9"/>
      <c r="I70" s="12">
        <f t="shared" ref="I70:I133" si="12">E69*N$6*D69/SUM(D69:F69)*N$7</f>
        <v>59.496027648534501</v>
      </c>
      <c r="J70" s="12">
        <f t="shared" ref="J70:J133" si="13">E69*N$8/N$5</f>
        <v>13.404649606358616</v>
      </c>
      <c r="K70" s="12">
        <f t="shared" ref="K70:K133" si="14">E69*N$9/N$5</f>
        <v>1.6567544457297181</v>
      </c>
    </row>
    <row r="71" spans="2:11" x14ac:dyDescent="0.25">
      <c r="B71" s="10">
        <v>67</v>
      </c>
      <c r="C71" s="11">
        <v>43958</v>
      </c>
      <c r="D71" s="12">
        <f t="shared" si="9"/>
        <v>237488.7788979375</v>
      </c>
      <c r="E71" s="12">
        <f t="shared" si="10"/>
        <v>545.06520798699057</v>
      </c>
      <c r="F71" s="12">
        <f t="shared" si="11"/>
        <v>163.8987457271736</v>
      </c>
      <c r="G71" s="12">
        <f t="shared" si="11"/>
        <v>20.25714834830238</v>
      </c>
      <c r="H71" s="9"/>
      <c r="I71" s="12">
        <f t="shared" si="12"/>
        <v>65.331020999864251</v>
      </c>
      <c r="J71" s="12">
        <f t="shared" si="13"/>
        <v>14.722876773053184</v>
      </c>
      <c r="K71" s="12">
        <f t="shared" si="14"/>
        <v>1.8196813989166876</v>
      </c>
    </row>
    <row r="72" spans="2:11" x14ac:dyDescent="0.25">
      <c r="B72" s="10">
        <v>68</v>
      </c>
      <c r="C72" s="11">
        <v>43959</v>
      </c>
      <c r="D72" s="12">
        <f t="shared" si="9"/>
        <v>237417.04443595998</v>
      </c>
      <c r="E72" s="12">
        <f t="shared" si="10"/>
        <v>598.63082969828497</v>
      </c>
      <c r="F72" s="12">
        <f t="shared" si="11"/>
        <v>180.06901356412098</v>
      </c>
      <c r="G72" s="12">
        <f t="shared" si="11"/>
        <v>22.255720777588014</v>
      </c>
      <c r="H72" s="9"/>
      <c r="I72" s="12">
        <f t="shared" si="12"/>
        <v>71.734461977527403</v>
      </c>
      <c r="J72" s="12">
        <f t="shared" si="13"/>
        <v>16.170267836947385</v>
      </c>
      <c r="K72" s="12">
        <f t="shared" si="14"/>
        <v>1.9985724292856339</v>
      </c>
    </row>
    <row r="73" spans="2:11" x14ac:dyDescent="0.25">
      <c r="B73" s="10">
        <v>69</v>
      </c>
      <c r="C73" s="11">
        <v>43960</v>
      </c>
      <c r="D73" s="12">
        <f t="shared" si="9"/>
        <v>237338.28349302316</v>
      </c>
      <c r="E73" s="12">
        <f t="shared" si="10"/>
        <v>657.43741164515768</v>
      </c>
      <c r="F73" s="12">
        <f t="shared" si="11"/>
        <v>197.8283948451701</v>
      </c>
      <c r="G73" s="12">
        <f t="shared" si="11"/>
        <v>24.450700486481729</v>
      </c>
      <c r="H73" s="9"/>
      <c r="I73" s="12">
        <f t="shared" si="12"/>
        <v>78.76094293681561</v>
      </c>
      <c r="J73" s="12">
        <f t="shared" si="13"/>
        <v>17.759381281049119</v>
      </c>
      <c r="K73" s="12">
        <f t="shared" si="14"/>
        <v>2.1949797088937135</v>
      </c>
    </row>
    <row r="74" spans="2:11" x14ac:dyDescent="0.25">
      <c r="B74" s="10">
        <v>70</v>
      </c>
      <c r="C74" s="11">
        <v>43961</v>
      </c>
      <c r="D74" s="12">
        <f t="shared" si="9"/>
        <v>237251.81335612797</v>
      </c>
      <c r="E74" s="12">
        <f t="shared" si="10"/>
        <v>721.99296815218543</v>
      </c>
      <c r="F74" s="12">
        <f t="shared" si="11"/>
        <v>217.33237139064312</v>
      </c>
      <c r="G74" s="12">
        <f t="shared" si="11"/>
        <v>26.861304329180641</v>
      </c>
      <c r="H74" s="9"/>
      <c r="I74" s="12">
        <f t="shared" si="12"/>
        <v>86.470136895199701</v>
      </c>
      <c r="J74" s="12">
        <f t="shared" si="13"/>
        <v>19.503976545473009</v>
      </c>
      <c r="K74" s="12">
        <f t="shared" si="14"/>
        <v>2.4106038426989134</v>
      </c>
    </row>
    <row r="75" spans="2:11" x14ac:dyDescent="0.25">
      <c r="B75" s="10">
        <v>71</v>
      </c>
      <c r="C75" s="11">
        <v>43962</v>
      </c>
      <c r="D75" s="12">
        <f t="shared" si="9"/>
        <v>237156.88611943123</v>
      </c>
      <c r="E75" s="12">
        <f t="shared" si="10"/>
        <v>792.85377257719119</v>
      </c>
      <c r="F75" s="12">
        <f t="shared" si="11"/>
        <v>238.75149611249128</v>
      </c>
      <c r="G75" s="12">
        <f t="shared" si="11"/>
        <v>29.508611879071989</v>
      </c>
      <c r="H75" s="9"/>
      <c r="I75" s="12">
        <f t="shared" si="12"/>
        <v>94.927236696745354</v>
      </c>
      <c r="J75" s="12">
        <f t="shared" si="13"/>
        <v>21.419124721848164</v>
      </c>
      <c r="K75" s="12">
        <f t="shared" si="14"/>
        <v>2.647307549891349</v>
      </c>
    </row>
    <row r="76" spans="2:11" x14ac:dyDescent="0.25">
      <c r="B76" s="10">
        <v>72</v>
      </c>
      <c r="C76" s="11">
        <v>43963</v>
      </c>
      <c r="D76" s="12">
        <f t="shared" si="9"/>
        <v>237052.68269440479</v>
      </c>
      <c r="E76" s="12">
        <f t="shared" si="10"/>
        <v>870.62873851772713</v>
      </c>
      <c r="F76" s="12">
        <f t="shared" si="11"/>
        <v>262.27282469894794</v>
      </c>
      <c r="G76" s="12">
        <f t="shared" si="11"/>
        <v>32.415742378521692</v>
      </c>
      <c r="H76" s="9"/>
      <c r="I76" s="12">
        <f t="shared" si="12"/>
        <v>104.20342502644229</v>
      </c>
      <c r="J76" s="12">
        <f t="shared" si="13"/>
        <v>23.521328586456669</v>
      </c>
      <c r="K76" s="12">
        <f t="shared" si="14"/>
        <v>2.9071304994497038</v>
      </c>
    </row>
    <row r="77" spans="2:11" x14ac:dyDescent="0.25">
      <c r="B77" s="10">
        <v>73</v>
      </c>
      <c r="C77" s="11">
        <v>43964</v>
      </c>
      <c r="D77" s="12">
        <f t="shared" si="9"/>
        <v>236938.30631854793</v>
      </c>
      <c r="E77" s="12">
        <f t="shared" si="10"/>
        <v>955.98415642399164</v>
      </c>
      <c r="F77" s="12">
        <f t="shared" si="11"/>
        <v>288.10147727497383</v>
      </c>
      <c r="G77" s="12">
        <f t="shared" si="11"/>
        <v>35.608047753086694</v>
      </c>
      <c r="H77" s="9"/>
      <c r="I77" s="12">
        <f t="shared" si="12"/>
        <v>114.37637585685533</v>
      </c>
      <c r="J77" s="12">
        <f t="shared" si="13"/>
        <v>25.828652576025902</v>
      </c>
      <c r="K77" s="12">
        <f t="shared" si="14"/>
        <v>3.1923053745650023</v>
      </c>
    </row>
    <row r="78" spans="2:11" x14ac:dyDescent="0.25">
      <c r="B78" s="10">
        <v>74</v>
      </c>
      <c r="C78" s="11">
        <v>43965</v>
      </c>
      <c r="D78" s="12">
        <f t="shared" si="9"/>
        <v>236812.77553105153</v>
      </c>
      <c r="E78" s="12">
        <f t="shared" si="10"/>
        <v>1049.6488053729242</v>
      </c>
      <c r="F78" s="12">
        <f t="shared" si="11"/>
        <v>316.46234058221893</v>
      </c>
      <c r="G78" s="12">
        <f t="shared" si="11"/>
        <v>39.113322993308003</v>
      </c>
      <c r="H78" s="9"/>
      <c r="I78" s="12">
        <f t="shared" si="12"/>
        <v>125.53078749639918</v>
      </c>
      <c r="J78" s="12">
        <f t="shared" si="13"/>
        <v>28.360863307245083</v>
      </c>
      <c r="K78" s="12">
        <f t="shared" si="14"/>
        <v>3.5052752402213061</v>
      </c>
    </row>
    <row r="79" spans="2:11" x14ac:dyDescent="0.25">
      <c r="B79" s="10">
        <v>75</v>
      </c>
      <c r="C79" s="11">
        <v>43966</v>
      </c>
      <c r="D79" s="12">
        <f t="shared" si="9"/>
        <v>236675.01658418198</v>
      </c>
      <c r="E79" s="12">
        <f t="shared" si="10"/>
        <v>1152.4194587300351</v>
      </c>
      <c r="F79" s="12">
        <f t="shared" si="11"/>
        <v>347.60192180828233</v>
      </c>
      <c r="G79" s="12">
        <f t="shared" si="11"/>
        <v>42.962035279675398</v>
      </c>
      <c r="H79" s="9"/>
      <c r="I79" s="12">
        <f t="shared" si="12"/>
        <v>137.75894686954166</v>
      </c>
      <c r="J79" s="12">
        <f t="shared" si="13"/>
        <v>31.139581226063413</v>
      </c>
      <c r="K79" s="12">
        <f t="shared" si="14"/>
        <v>3.8487122863673924</v>
      </c>
    </row>
    <row r="80" spans="2:11" x14ac:dyDescent="0.25">
      <c r="B80" s="10">
        <v>76</v>
      </c>
      <c r="C80" s="11">
        <v>43967</v>
      </c>
      <c r="D80" s="12">
        <f t="shared" si="9"/>
        <v>236523.85526021387</v>
      </c>
      <c r="E80" s="12">
        <f t="shared" si="10"/>
        <v>1265.1668007404949</v>
      </c>
      <c r="F80" s="12">
        <f t="shared" si="11"/>
        <v>381.79036575060672</v>
      </c>
      <c r="G80" s="12">
        <f t="shared" si="11"/>
        <v>47.187573295018865</v>
      </c>
      <c r="H80" s="9"/>
      <c r="I80" s="12">
        <f t="shared" si="12"/>
        <v>151.16132396812768</v>
      </c>
      <c r="J80" s="12">
        <f t="shared" si="13"/>
        <v>34.188443942324369</v>
      </c>
      <c r="K80" s="12">
        <f t="shared" si="14"/>
        <v>4.2255380153434654</v>
      </c>
    </row>
    <row r="81" spans="2:11" x14ac:dyDescent="0.25">
      <c r="B81" s="10">
        <v>77</v>
      </c>
      <c r="C81" s="11">
        <v>43968</v>
      </c>
      <c r="D81" s="12">
        <f t="shared" si="9"/>
        <v>236358.0080656746</v>
      </c>
      <c r="E81" s="12">
        <f t="shared" si="10"/>
        <v>1388.8417685884042</v>
      </c>
      <c r="F81" s="12">
        <f t="shared" si="11"/>
        <v>419.32364750590807</v>
      </c>
      <c r="G81" s="12">
        <f t="shared" si="11"/>
        <v>51.826518231067354</v>
      </c>
      <c r="H81" s="9"/>
      <c r="I81" s="12">
        <f t="shared" si="12"/>
        <v>165.84719453925936</v>
      </c>
      <c r="J81" s="12">
        <f t="shared" si="13"/>
        <v>37.533281755301346</v>
      </c>
      <c r="K81" s="12">
        <f t="shared" si="14"/>
        <v>4.6389449360484853</v>
      </c>
    </row>
    <row r="82" spans="2:11" x14ac:dyDescent="0.25">
      <c r="B82" s="10">
        <v>78</v>
      </c>
      <c r="C82" s="11">
        <v>43969</v>
      </c>
      <c r="D82" s="12">
        <f t="shared" si="9"/>
        <v>236176.07277769106</v>
      </c>
      <c r="E82" s="12">
        <f t="shared" si="10"/>
        <v>1524.4823309523133</v>
      </c>
      <c r="F82" s="12">
        <f t="shared" si="11"/>
        <v>460.52595330736403</v>
      </c>
      <c r="G82" s="12">
        <f t="shared" si="11"/>
        <v>56.918938049224842</v>
      </c>
      <c r="H82" s="9"/>
      <c r="I82" s="12">
        <f t="shared" si="12"/>
        <v>181.93528798352258</v>
      </c>
      <c r="J82" s="12">
        <f t="shared" si="13"/>
        <v>41.202305801455985</v>
      </c>
      <c r="K82" s="12">
        <f t="shared" si="14"/>
        <v>5.0924198181574862</v>
      </c>
    </row>
    <row r="83" spans="2:11" x14ac:dyDescent="0.25">
      <c r="B83" s="10">
        <v>79</v>
      </c>
      <c r="C83" s="11">
        <v>43970</v>
      </c>
      <c r="D83" s="12">
        <f t="shared" si="9"/>
        <v>235976.51832160362</v>
      </c>
      <c r="E83" s="12">
        <f t="shared" si="10"/>
        <v>1673.2207093413472</v>
      </c>
      <c r="F83" s="12">
        <f t="shared" si="11"/>
        <v>505.7522624589493</v>
      </c>
      <c r="G83" s="12">
        <f t="shared" si="11"/>
        <v>62.508706596049997</v>
      </c>
      <c r="H83" s="9"/>
      <c r="I83" s="12">
        <f t="shared" si="12"/>
        <v>199.55445608744424</v>
      </c>
      <c r="J83" s="12">
        <f t="shared" si="13"/>
        <v>45.226309151585291</v>
      </c>
      <c r="K83" s="12">
        <f t="shared" si="14"/>
        <v>5.5897685468251535</v>
      </c>
    </row>
    <row r="84" spans="2:11" x14ac:dyDescent="0.25">
      <c r="B84" s="10">
        <v>80</v>
      </c>
      <c r="C84" s="11">
        <v>43971</v>
      </c>
      <c r="D84" s="12">
        <f t="shared" si="9"/>
        <v>235757.6739650435</v>
      </c>
      <c r="E84" s="12">
        <f t="shared" si="10"/>
        <v>1836.2910422567575</v>
      </c>
      <c r="F84" s="12">
        <f t="shared" si="11"/>
        <v>555.39114350274258</v>
      </c>
      <c r="G84" s="12">
        <f t="shared" si="11"/>
        <v>68.643849196968276</v>
      </c>
      <c r="H84" s="9"/>
      <c r="I84" s="12">
        <f t="shared" si="12"/>
        <v>218.84435656012195</v>
      </c>
      <c r="J84" s="12">
        <f t="shared" si="13"/>
        <v>49.63888104379329</v>
      </c>
      <c r="K84" s="12">
        <f t="shared" si="14"/>
        <v>6.1351426009182779</v>
      </c>
    </row>
    <row r="85" spans="2:11" x14ac:dyDescent="0.25">
      <c r="B85" s="10">
        <v>81</v>
      </c>
      <c r="C85" s="11">
        <v>43972</v>
      </c>
      <c r="D85" s="12">
        <f t="shared" si="9"/>
        <v>235517.71782170885</v>
      </c>
      <c r="E85" s="12">
        <f t="shared" si="10"/>
        <v>2015.03748418286</v>
      </c>
      <c r="F85" s="12">
        <f t="shared" si="11"/>
        <v>609.86777775635971</v>
      </c>
      <c r="G85" s="12">
        <f t="shared" si="11"/>
        <v>75.376916351909728</v>
      </c>
      <c r="H85" s="9"/>
      <c r="I85" s="12">
        <f t="shared" si="12"/>
        <v>239.95614333466139</v>
      </c>
      <c r="J85" s="12">
        <f t="shared" si="13"/>
        <v>54.476634253617135</v>
      </c>
      <c r="K85" s="12">
        <f t="shared" si="14"/>
        <v>6.73306715494145</v>
      </c>
    </row>
    <row r="86" spans="2:11" x14ac:dyDescent="0.25">
      <c r="B86" s="10">
        <v>82</v>
      </c>
      <c r="C86" s="11">
        <v>43973</v>
      </c>
      <c r="D86" s="12">
        <f t="shared" si="9"/>
        <v>235254.66466853523</v>
      </c>
      <c r="E86" s="12">
        <f t="shared" si="10"/>
        <v>2210.9227212170608</v>
      </c>
      <c r="F86" s="12">
        <f t="shared" ref="F86:G101" si="15">F85+J86</f>
        <v>669.64722312045126</v>
      </c>
      <c r="G86" s="12">
        <f t="shared" si="15"/>
        <v>82.765387127246882</v>
      </c>
      <c r="H86" s="9"/>
      <c r="I86" s="12">
        <f t="shared" si="12"/>
        <v>263.05315317362925</v>
      </c>
      <c r="J86" s="12">
        <f t="shared" si="13"/>
        <v>59.779445364091508</v>
      </c>
      <c r="K86" s="12">
        <f t="shared" si="14"/>
        <v>7.3884707753371597</v>
      </c>
    </row>
    <row r="87" spans="2:11" x14ac:dyDescent="0.25">
      <c r="B87" s="10">
        <v>83</v>
      </c>
      <c r="C87" s="11">
        <v>43974</v>
      </c>
      <c r="D87" s="12">
        <f t="shared" si="9"/>
        <v>234966.35309331276</v>
      </c>
      <c r="E87" s="12">
        <f t="shared" si="10"/>
        <v>2425.5368723989686</v>
      </c>
      <c r="F87" s="12">
        <f t="shared" si="15"/>
        <v>735.23793051655741</v>
      </c>
      <c r="G87" s="12">
        <f t="shared" si="15"/>
        <v>90.872103771709448</v>
      </c>
      <c r="H87" s="9"/>
      <c r="I87" s="12">
        <f t="shared" si="12"/>
        <v>288.31157522247668</v>
      </c>
      <c r="J87" s="12">
        <f t="shared" si="13"/>
        <v>65.590707396106126</v>
      </c>
      <c r="K87" s="12">
        <f t="shared" si="14"/>
        <v>8.1067166444625638</v>
      </c>
    </row>
    <row r="88" spans="2:11" x14ac:dyDescent="0.25">
      <c r="B88" s="10">
        <v>84</v>
      </c>
      <c r="C88" s="11">
        <v>43975</v>
      </c>
      <c r="D88" s="12">
        <f t="shared" si="9"/>
        <v>234650.4320065926</v>
      </c>
      <c r="E88" s="12">
        <f t="shared" si="10"/>
        <v>2660.6067300391537</v>
      </c>
      <c r="F88" s="12">
        <f t="shared" si="15"/>
        <v>807.19552439772679</v>
      </c>
      <c r="G88" s="12">
        <f t="shared" si="15"/>
        <v>99.76573897050568</v>
      </c>
      <c r="H88" s="9"/>
      <c r="I88" s="12">
        <f t="shared" si="12"/>
        <v>315.92108672015098</v>
      </c>
      <c r="J88" s="12">
        <f t="shared" si="13"/>
        <v>71.957593881169402</v>
      </c>
      <c r="K88" s="12">
        <f t="shared" si="14"/>
        <v>8.8936351987962272</v>
      </c>
    </row>
    <row r="89" spans="2:11" x14ac:dyDescent="0.25">
      <c r="B89" s="10">
        <v>85</v>
      </c>
      <c r="C89" s="11">
        <v>43976</v>
      </c>
      <c r="D89" s="12">
        <f t="shared" si="9"/>
        <v>234304.3465725586</v>
      </c>
      <c r="E89" s="12">
        <f t="shared" si="10"/>
        <v>2918.005273071858</v>
      </c>
      <c r="F89" s="12">
        <f t="shared" si="15"/>
        <v>886.12685738888831</v>
      </c>
      <c r="G89" s="12">
        <f t="shared" si="15"/>
        <v>109.52129698064925</v>
      </c>
      <c r="H89" s="9"/>
      <c r="I89" s="12">
        <f t="shared" si="12"/>
        <v>346.0854340340091</v>
      </c>
      <c r="J89" s="12">
        <f t="shared" si="13"/>
        <v>78.931332991161554</v>
      </c>
      <c r="K89" s="12">
        <f t="shared" si="14"/>
        <v>9.7555580101435719</v>
      </c>
    </row>
    <row r="90" spans="2:11" x14ac:dyDescent="0.25">
      <c r="B90" s="10">
        <v>86</v>
      </c>
      <c r="C90" s="11">
        <v>43977</v>
      </c>
      <c r="D90" s="12">
        <f t="shared" si="9"/>
        <v>233925.32363908936</v>
      </c>
      <c r="E90" s="12">
        <f t="shared" si="10"/>
        <v>3199.7613641053608</v>
      </c>
      <c r="F90" s="12">
        <f t="shared" si="15"/>
        <v>972.69434715668672</v>
      </c>
      <c r="G90" s="12">
        <f t="shared" si="15"/>
        <v>120.22064964857941</v>
      </c>
      <c r="H90" s="9"/>
      <c r="I90" s="12">
        <f t="shared" si="12"/>
        <v>379.02293346923165</v>
      </c>
      <c r="J90" s="12">
        <f t="shared" si="13"/>
        <v>86.567489767798449</v>
      </c>
      <c r="K90" s="12">
        <f t="shared" si="14"/>
        <v>10.699352667930155</v>
      </c>
    </row>
    <row r="91" spans="2:11" x14ac:dyDescent="0.25">
      <c r="B91" s="10">
        <v>87</v>
      </c>
      <c r="C91" s="11">
        <v>43978</v>
      </c>
      <c r="D91" s="12">
        <f t="shared" si="9"/>
        <v>233510.35677824117</v>
      </c>
      <c r="E91" s="12">
        <f t="shared" si="10"/>
        <v>3508.0695128166976</v>
      </c>
      <c r="F91" s="12">
        <f t="shared" si="15"/>
        <v>1067.6206009584791</v>
      </c>
      <c r="G91" s="12">
        <f t="shared" si="15"/>
        <v>131.95310798363241</v>
      </c>
      <c r="H91" s="9"/>
      <c r="I91" s="12">
        <f t="shared" si="12"/>
        <v>414.96686084818225</v>
      </c>
      <c r="J91" s="12">
        <f t="shared" si="13"/>
        <v>94.92625380179237</v>
      </c>
      <c r="K91" s="12">
        <f t="shared" si="14"/>
        <v>11.732458335053</v>
      </c>
    </row>
    <row r="92" spans="2:11" x14ac:dyDescent="0.25">
      <c r="B92" s="10">
        <v>88</v>
      </c>
      <c r="C92" s="11">
        <v>43979</v>
      </c>
      <c r="D92" s="12">
        <f t="shared" si="9"/>
        <v>233056.19108563167</v>
      </c>
      <c r="E92" s="12">
        <f t="shared" si="10"/>
        <v>3845.2995549989814</v>
      </c>
      <c r="F92" s="12">
        <f t="shared" si="15"/>
        <v>1171.6933298387078</v>
      </c>
      <c r="G92" s="12">
        <f t="shared" si="15"/>
        <v>144.81602953062696</v>
      </c>
      <c r="H92" s="9"/>
      <c r="I92" s="12">
        <f t="shared" si="12"/>
        <v>454.16569260950678</v>
      </c>
      <c r="J92" s="12">
        <f t="shared" si="13"/>
        <v>104.07272888022868</v>
      </c>
      <c r="K92" s="12">
        <f t="shared" si="14"/>
        <v>12.862921546994569</v>
      </c>
    </row>
    <row r="93" spans="2:11" x14ac:dyDescent="0.25">
      <c r="B93" s="10">
        <v>89</v>
      </c>
      <c r="C93" s="11">
        <v>43980</v>
      </c>
      <c r="D93" s="12">
        <f t="shared" si="9"/>
        <v>232559.30793152688</v>
      </c>
      <c r="E93" s="12">
        <f t="shared" si="10"/>
        <v>4214.0060572704706</v>
      </c>
      <c r="F93" s="12">
        <f t="shared" si="15"/>
        <v>1285.7705499703443</v>
      </c>
      <c r="G93" s="12">
        <f t="shared" si="15"/>
        <v>158.91546123228991</v>
      </c>
      <c r="H93" s="9"/>
      <c r="I93" s="12">
        <f t="shared" si="12"/>
        <v>496.88315410478896</v>
      </c>
      <c r="J93" s="12">
        <f t="shared" si="13"/>
        <v>114.07722013163644</v>
      </c>
      <c r="K93" s="12">
        <f t="shared" si="14"/>
        <v>14.099431701662946</v>
      </c>
    </row>
    <row r="94" spans="2:11" x14ac:dyDescent="0.25">
      <c r="B94" s="10">
        <v>90</v>
      </c>
      <c r="C94" s="11">
        <v>43981</v>
      </c>
      <c r="D94" s="12">
        <f t="shared" si="9"/>
        <v>232015.90990866217</v>
      </c>
      <c r="E94" s="12">
        <f t="shared" si="10"/>
        <v>4616.9372115594888</v>
      </c>
      <c r="F94" s="12">
        <f t="shared" si="15"/>
        <v>1410.7860630027017</v>
      </c>
      <c r="G94" s="12">
        <f t="shared" si="15"/>
        <v>174.36681677561498</v>
      </c>
      <c r="H94" s="9"/>
      <c r="I94" s="12">
        <f t="shared" si="12"/>
        <v>543.39802286470047</v>
      </c>
      <c r="J94" s="12">
        <f t="shared" si="13"/>
        <v>125.01551303235729</v>
      </c>
      <c r="K94" s="12">
        <f t="shared" si="14"/>
        <v>15.451355543325072</v>
      </c>
    </row>
    <row r="95" spans="2:11" x14ac:dyDescent="0.25">
      <c r="B95" s="10">
        <v>91</v>
      </c>
      <c r="C95" s="13">
        <v>43982</v>
      </c>
      <c r="D95" s="12">
        <f t="shared" si="9"/>
        <v>231421.90628276189</v>
      </c>
      <c r="E95" s="12">
        <f t="shared" si="10"/>
        <v>5057.0429304077797</v>
      </c>
      <c r="F95" s="12">
        <f t="shared" si="15"/>
        <v>1547.7552002789664</v>
      </c>
      <c r="G95" s="12">
        <f t="shared" si="15"/>
        <v>191.29558655133312</v>
      </c>
      <c r="H95" s="9"/>
      <c r="I95" s="12">
        <f t="shared" si="12"/>
        <v>594.00362590027373</v>
      </c>
      <c r="J95" s="12">
        <f t="shared" si="13"/>
        <v>136.96913727626483</v>
      </c>
      <c r="K95" s="12">
        <f t="shared" si="14"/>
        <v>16.928769775718141</v>
      </c>
    </row>
    <row r="96" spans="2:11" x14ac:dyDescent="0.25">
      <c r="B96" s="10">
        <v>92</v>
      </c>
      <c r="C96" s="11">
        <v>43983</v>
      </c>
      <c r="D96" s="12">
        <f t="shared" si="9"/>
        <v>230772.89932207222</v>
      </c>
      <c r="E96" s="12">
        <f t="shared" si="10"/>
        <v>5537.4817934171988</v>
      </c>
      <c r="F96" s="12">
        <f t="shared" si="15"/>
        <v>1697.7808072143971</v>
      </c>
      <c r="G96" s="12">
        <f t="shared" si="15"/>
        <v>209.83807729616166</v>
      </c>
      <c r="H96" s="9"/>
      <c r="I96" s="12">
        <f t="shared" si="12"/>
        <v>649.00696068967829</v>
      </c>
      <c r="J96" s="12">
        <f t="shared" si="13"/>
        <v>150.0256069354308</v>
      </c>
      <c r="K96" s="12">
        <f t="shared" si="14"/>
        <v>18.542490744828545</v>
      </c>
    </row>
    <row r="97" spans="2:11" x14ac:dyDescent="0.25">
      <c r="B97" s="10">
        <v>93</v>
      </c>
      <c r="C97" s="11">
        <v>43984</v>
      </c>
      <c r="D97" s="12">
        <f t="shared" si="9"/>
        <v>230064.17196252514</v>
      </c>
      <c r="E97" s="12">
        <f t="shared" si="10"/>
        <v>6061.6264265170312</v>
      </c>
      <c r="F97" s="12">
        <f t="shared" si="15"/>
        <v>1862.0594337524408</v>
      </c>
      <c r="G97" s="12">
        <f t="shared" si="15"/>
        <v>230.14217720535808</v>
      </c>
      <c r="H97" s="9"/>
      <c r="I97" s="12">
        <f t="shared" si="12"/>
        <v>708.72735954707241</v>
      </c>
      <c r="J97" s="12">
        <f t="shared" si="13"/>
        <v>164.27862653804357</v>
      </c>
      <c r="K97" s="12">
        <f t="shared" si="14"/>
        <v>20.304099909196413</v>
      </c>
    </row>
    <row r="98" spans="2:11" x14ac:dyDescent="0.25">
      <c r="B98" s="10">
        <v>94</v>
      </c>
      <c r="C98" s="11">
        <v>43985</v>
      </c>
      <c r="D98" s="12">
        <f t="shared" si="9"/>
        <v>229290.67735567273</v>
      </c>
      <c r="E98" s="12">
        <f t="shared" si="10"/>
        <v>6633.0668191522063</v>
      </c>
      <c r="F98" s="12">
        <f t="shared" si="15"/>
        <v>2041.8876844057793</v>
      </c>
      <c r="G98" s="12">
        <f t="shared" si="15"/>
        <v>252.36814076925387</v>
      </c>
      <c r="H98" s="9"/>
      <c r="I98" s="12">
        <f t="shared" si="12"/>
        <v>773.4946068524099</v>
      </c>
      <c r="J98" s="12">
        <f t="shared" si="13"/>
        <v>179.82825065333859</v>
      </c>
      <c r="K98" s="12">
        <f t="shared" si="14"/>
        <v>22.2259635638958</v>
      </c>
    </row>
    <row r="99" spans="2:11" x14ac:dyDescent="0.25">
      <c r="B99" s="10">
        <v>95</v>
      </c>
      <c r="C99" s="11">
        <v>43986</v>
      </c>
      <c r="D99" s="12">
        <f t="shared" si="9"/>
        <v>228447.03094712441</v>
      </c>
      <c r="E99" s="12">
        <f t="shared" si="10"/>
        <v>7255.6110003954373</v>
      </c>
      <c r="F99" s="12">
        <f t="shared" si="15"/>
        <v>2238.6686667072945</v>
      </c>
      <c r="G99" s="12">
        <f t="shared" si="15"/>
        <v>276.68938577281199</v>
      </c>
      <c r="H99" s="9"/>
      <c r="I99" s="12">
        <f t="shared" si="12"/>
        <v>843.64640854830373</v>
      </c>
      <c r="J99" s="12">
        <f t="shared" si="13"/>
        <v>196.78098230151542</v>
      </c>
      <c r="K99" s="12">
        <f t="shared" si="14"/>
        <v>24.321245003558111</v>
      </c>
    </row>
    <row r="100" spans="2:11" x14ac:dyDescent="0.25">
      <c r="B100" s="10">
        <v>96</v>
      </c>
      <c r="C100" s="11">
        <v>43987</v>
      </c>
      <c r="D100" s="12">
        <f t="shared" si="9"/>
        <v>227527.50584316542</v>
      </c>
      <c r="E100" s="12">
        <f t="shared" si="10"/>
        <v>7933.2824043412538</v>
      </c>
      <c r="F100" s="12">
        <f t="shared" si="15"/>
        <v>2453.9184597190256</v>
      </c>
      <c r="G100" s="12">
        <f t="shared" si="15"/>
        <v>303.29329277426194</v>
      </c>
      <c r="H100" s="9"/>
      <c r="I100" s="12">
        <f t="shared" si="12"/>
        <v>919.52510395899833</v>
      </c>
      <c r="J100" s="12">
        <f t="shared" si="13"/>
        <v>215.24979301173127</v>
      </c>
      <c r="K100" s="12">
        <f t="shared" si="14"/>
        <v>26.603907001449961</v>
      </c>
    </row>
    <row r="101" spans="2:11" x14ac:dyDescent="0.25">
      <c r="B101" s="10">
        <v>97</v>
      </c>
      <c r="C101" s="11">
        <v>43988</v>
      </c>
      <c r="D101" s="12">
        <f t="shared" si="9"/>
        <v>226526.03234102658</v>
      </c>
      <c r="E101" s="12">
        <f t="shared" si="10"/>
        <v>8670.3131596687144</v>
      </c>
      <c r="F101" s="12">
        <f t="shared" si="15"/>
        <v>2689.2725043811492</v>
      </c>
      <c r="G101" s="12">
        <f t="shared" si="15"/>
        <v>332.38199492351322</v>
      </c>
      <c r="H101" s="9"/>
      <c r="I101" s="12">
        <f t="shared" si="12"/>
        <v>1001.4735021388353</v>
      </c>
      <c r="J101" s="12">
        <f t="shared" si="13"/>
        <v>235.35404466212384</v>
      </c>
      <c r="K101" s="12">
        <f t="shared" si="14"/>
        <v>29.08870214925129</v>
      </c>
    </row>
    <row r="102" spans="2:11" x14ac:dyDescent="0.25">
      <c r="B102" s="10">
        <v>98</v>
      </c>
      <c r="C102" s="11">
        <v>43989</v>
      </c>
      <c r="D102" s="12">
        <f t="shared" si="9"/>
        <v>225436.20262138918</v>
      </c>
      <c r="E102" s="12">
        <f t="shared" si="10"/>
        <v>9471.1324406504827</v>
      </c>
      <c r="F102" s="12">
        <f t="shared" ref="F102:G117" si="16">F101+J102</f>
        <v>2946.4917947846543</v>
      </c>
      <c r="G102" s="12">
        <f t="shared" si="16"/>
        <v>364.17314317563188</v>
      </c>
      <c r="H102" s="9"/>
      <c r="I102" s="12">
        <f t="shared" si="12"/>
        <v>1089.8297196373937</v>
      </c>
      <c r="J102" s="12">
        <f t="shared" si="13"/>
        <v>257.21929040350517</v>
      </c>
      <c r="K102" s="12">
        <f t="shared" si="14"/>
        <v>31.791148252118649</v>
      </c>
    </row>
    <row r="103" spans="2:11" x14ac:dyDescent="0.25">
      <c r="B103" s="10">
        <v>99</v>
      </c>
      <c r="C103" s="11">
        <v>43990</v>
      </c>
      <c r="D103" s="12">
        <f t="shared" si="9"/>
        <v>224251.28172631221</v>
      </c>
      <c r="E103" s="12">
        <f t="shared" si="10"/>
        <v>10340.348921039114</v>
      </c>
      <c r="F103" s="12">
        <f t="shared" si="16"/>
        <v>3227.4687238572851</v>
      </c>
      <c r="G103" s="12">
        <f t="shared" si="16"/>
        <v>398.90062879135036</v>
      </c>
      <c r="H103" s="9"/>
      <c r="I103" s="12">
        <f t="shared" si="12"/>
        <v>1184.9208950769801</v>
      </c>
      <c r="J103" s="12">
        <f t="shared" si="13"/>
        <v>280.97692907263092</v>
      </c>
      <c r="K103" s="12">
        <f t="shared" si="14"/>
        <v>34.727485615718471</v>
      </c>
    </row>
    <row r="104" spans="2:11" x14ac:dyDescent="0.25">
      <c r="B104" s="10">
        <v>100</v>
      </c>
      <c r="C104" s="11">
        <v>43991</v>
      </c>
      <c r="D104" s="12">
        <f t="shared" si="9"/>
        <v>222964.22606643202</v>
      </c>
      <c r="E104" s="12">
        <f t="shared" si="10"/>
        <v>11282.726283551325</v>
      </c>
      <c r="F104" s="12">
        <f t="shared" si="16"/>
        <v>3534.2324085147789</v>
      </c>
      <c r="G104" s="12">
        <f t="shared" si="16"/>
        <v>436.81524150182713</v>
      </c>
      <c r="H104" s="9"/>
      <c r="I104" s="12">
        <f t="shared" si="12"/>
        <v>1287.0556598801802</v>
      </c>
      <c r="J104" s="12">
        <f t="shared" si="13"/>
        <v>306.76368465749368</v>
      </c>
      <c r="K104" s="12">
        <f t="shared" si="14"/>
        <v>37.914612710476788</v>
      </c>
    </row>
    <row r="105" spans="2:11" x14ac:dyDescent="0.25">
      <c r="B105" s="10">
        <v>101</v>
      </c>
      <c r="C105" s="11">
        <v>43992</v>
      </c>
      <c r="D105" s="12">
        <f t="shared" si="9"/>
        <v>221567.71081065261</v>
      </c>
      <c r="E105" s="12">
        <f t="shared" si="10"/>
        <v>12303.150663212362</v>
      </c>
      <c r="F105" s="12">
        <f t="shared" si="16"/>
        <v>3868.9532882601347</v>
      </c>
      <c r="G105" s="12">
        <f t="shared" si="16"/>
        <v>478.18523787484867</v>
      </c>
      <c r="H105" s="9"/>
      <c r="I105" s="12">
        <f t="shared" si="12"/>
        <v>1396.5152557794154</v>
      </c>
      <c r="J105" s="12">
        <f t="shared" si="13"/>
        <v>334.72087974535594</v>
      </c>
      <c r="K105" s="12">
        <f t="shared" si="14"/>
        <v>41.369996373021557</v>
      </c>
    </row>
    <row r="106" spans="2:11" x14ac:dyDescent="0.25">
      <c r="B106" s="10">
        <v>102</v>
      </c>
      <c r="C106" s="11">
        <v>43993</v>
      </c>
      <c r="D106" s="12">
        <f t="shared" si="9"/>
        <v>220054.16760004949</v>
      </c>
      <c r="E106" s="12">
        <f t="shared" si="10"/>
        <v>13406.588851708417</v>
      </c>
      <c r="F106" s="12">
        <f t="shared" si="16"/>
        <v>4233.946757935435</v>
      </c>
      <c r="G106" s="12">
        <f t="shared" si="16"/>
        <v>523.29679030662737</v>
      </c>
      <c r="H106" s="9"/>
      <c r="I106" s="12">
        <f t="shared" si="12"/>
        <v>1513.5432106031349</v>
      </c>
      <c r="J106" s="12">
        <f t="shared" si="13"/>
        <v>364.99346967529999</v>
      </c>
      <c r="K106" s="12">
        <f t="shared" si="14"/>
        <v>45.111552431778698</v>
      </c>
    </row>
    <row r="107" spans="2:11" x14ac:dyDescent="0.25">
      <c r="B107" s="10">
        <v>103</v>
      </c>
      <c r="C107" s="11">
        <v>43994</v>
      </c>
      <c r="D107" s="12">
        <f t="shared" si="9"/>
        <v>218415.8340833277</v>
      </c>
      <c r="E107" s="12">
        <f t="shared" si="10"/>
        <v>14598.03607337327</v>
      </c>
      <c r="F107" s="12">
        <f t="shared" si="16"/>
        <v>4631.6755605361177</v>
      </c>
      <c r="G107" s="12">
        <f t="shared" si="16"/>
        <v>572.45428276289158</v>
      </c>
      <c r="H107" s="9"/>
      <c r="I107" s="12">
        <f t="shared" si="12"/>
        <v>1638.3335167218006</v>
      </c>
      <c r="J107" s="12">
        <f t="shared" si="13"/>
        <v>397.72880260068297</v>
      </c>
      <c r="K107" s="12">
        <f t="shared" si="14"/>
        <v>49.157492456264237</v>
      </c>
    </row>
    <row r="108" spans="2:11" x14ac:dyDescent="0.25">
      <c r="B108" s="10">
        <v>104</v>
      </c>
      <c r="C108" s="11">
        <v>43995</v>
      </c>
      <c r="D108" s="12">
        <f t="shared" si="9"/>
        <v>216644.81677929024</v>
      </c>
      <c r="E108" s="12">
        <f t="shared" si="10"/>
        <v>15882.452174964952</v>
      </c>
      <c r="F108" s="12">
        <f t="shared" si="16"/>
        <v>5064.7506307128579</v>
      </c>
      <c r="G108" s="12">
        <f t="shared" si="16"/>
        <v>625.98041503192701</v>
      </c>
      <c r="H108" s="9"/>
      <c r="I108" s="12">
        <f t="shared" si="12"/>
        <v>1771.0173040374568</v>
      </c>
      <c r="J108" s="12">
        <f t="shared" si="13"/>
        <v>433.07507017674033</v>
      </c>
      <c r="K108" s="12">
        <f t="shared" si="14"/>
        <v>53.526132269035379</v>
      </c>
    </row>
    <row r="109" spans="2:11" x14ac:dyDescent="0.25">
      <c r="B109" s="10">
        <v>105</v>
      </c>
      <c r="C109" s="11">
        <v>43996</v>
      </c>
      <c r="D109" s="12">
        <f t="shared" si="9"/>
        <v>214733.16871524777</v>
      </c>
      <c r="E109" s="12">
        <f t="shared" si="10"/>
        <v>17264.685166508603</v>
      </c>
      <c r="F109" s="12">
        <f t="shared" si="16"/>
        <v>5535.9300452368179</v>
      </c>
      <c r="G109" s="12">
        <f t="shared" si="16"/>
        <v>684.21607300679852</v>
      </c>
      <c r="H109" s="9"/>
      <c r="I109" s="12">
        <f t="shared" si="12"/>
        <v>1911.6480640424841</v>
      </c>
      <c r="J109" s="12">
        <f t="shared" si="13"/>
        <v>471.17941452396019</v>
      </c>
      <c r="K109" s="12">
        <f t="shared" si="14"/>
        <v>58.235657974871543</v>
      </c>
    </row>
    <row r="110" spans="2:11" x14ac:dyDescent="0.25">
      <c r="B110" s="10">
        <v>106</v>
      </c>
      <c r="C110" s="11">
        <v>43997</v>
      </c>
      <c r="D110" s="12">
        <f t="shared" si="9"/>
        <v>212672.98314979751</v>
      </c>
      <c r="E110" s="12">
        <f t="shared" si="10"/>
        <v>18749.381226408565</v>
      </c>
      <c r="F110" s="12">
        <f t="shared" si="16"/>
        <v>6048.1157051765731</v>
      </c>
      <c r="G110" s="12">
        <f t="shared" si="16"/>
        <v>747.51991861733018</v>
      </c>
      <c r="H110" s="9"/>
      <c r="I110" s="12">
        <f t="shared" si="12"/>
        <v>2060.1855654502488</v>
      </c>
      <c r="J110" s="12">
        <f t="shared" si="13"/>
        <v>512.18565993975517</v>
      </c>
      <c r="K110" s="12">
        <f t="shared" si="14"/>
        <v>63.303845610531603</v>
      </c>
    </row>
    <row r="111" spans="2:11" x14ac:dyDescent="0.25">
      <c r="B111" s="10">
        <v>107</v>
      </c>
      <c r="C111" s="11">
        <v>43998</v>
      </c>
      <c r="D111" s="12">
        <f t="shared" si="9"/>
        <v>210456.50444310863</v>
      </c>
      <c r="E111" s="12">
        <f t="shared" si="10"/>
        <v>20340.880558883833</v>
      </c>
      <c r="F111" s="12">
        <f t="shared" si="16"/>
        <v>6604.3473482266936</v>
      </c>
      <c r="G111" s="12">
        <f t="shared" si="16"/>
        <v>816.26764978082826</v>
      </c>
      <c r="H111" s="9"/>
      <c r="I111" s="12">
        <f t="shared" si="12"/>
        <v>2216.4787066888853</v>
      </c>
      <c r="J111" s="12">
        <f t="shared" si="13"/>
        <v>556.23164305012074</v>
      </c>
      <c r="K111" s="12">
        <f t="shared" si="14"/>
        <v>68.747731163498131</v>
      </c>
    </row>
    <row r="112" spans="2:11" x14ac:dyDescent="0.25">
      <c r="B112" s="10">
        <v>108</v>
      </c>
      <c r="C112" s="11">
        <v>43999</v>
      </c>
      <c r="D112" s="12">
        <f t="shared" si="9"/>
        <v>208076.25676669698</v>
      </c>
      <c r="E112" s="12">
        <f t="shared" si="10"/>
        <v>22043.098883332681</v>
      </c>
      <c r="F112" s="12">
        <f t="shared" si="16"/>
        <v>7207.7934714735802</v>
      </c>
      <c r="G112" s="12">
        <f t="shared" si="16"/>
        <v>890.85087849673573</v>
      </c>
      <c r="H112" s="9"/>
      <c r="I112" s="12">
        <f t="shared" si="12"/>
        <v>2380.2476764116391</v>
      </c>
      <c r="J112" s="12">
        <f t="shared" si="13"/>
        <v>603.44612324688705</v>
      </c>
      <c r="K112" s="12">
        <f t="shared" si="14"/>
        <v>74.583228715907453</v>
      </c>
    </row>
    <row r="113" spans="2:11" x14ac:dyDescent="0.25">
      <c r="B113" s="10">
        <v>109</v>
      </c>
      <c r="C113" s="11">
        <v>44000</v>
      </c>
      <c r="D113" s="12">
        <f t="shared" si="9"/>
        <v>205525.19082813442</v>
      </c>
      <c r="E113" s="12">
        <f t="shared" si="10"/>
        <v>23859.394859117492</v>
      </c>
      <c r="F113" s="12">
        <f t="shared" si="16"/>
        <v>7861.7387383457826</v>
      </c>
      <c r="G113" s="12">
        <f t="shared" si="16"/>
        <v>971.67557440228893</v>
      </c>
      <c r="H113" s="9"/>
      <c r="I113" s="12">
        <f t="shared" si="12"/>
        <v>2551.0659385625709</v>
      </c>
      <c r="J113" s="12">
        <f t="shared" si="13"/>
        <v>653.94526687220275</v>
      </c>
      <c r="K113" s="12">
        <f t="shared" si="14"/>
        <v>80.824695905553227</v>
      </c>
    </row>
    <row r="114" spans="2:11" x14ac:dyDescent="0.25">
      <c r="B114" s="10">
        <v>110</v>
      </c>
      <c r="C114" s="11">
        <v>44001</v>
      </c>
      <c r="D114" s="12">
        <f t="shared" si="9"/>
        <v>202796.84810872495</v>
      </c>
      <c r="E114" s="12">
        <f t="shared" si="10"/>
        <v>25792.424416556387</v>
      </c>
      <c r="F114" s="12">
        <f t="shared" si="16"/>
        <v>8569.5674524996011</v>
      </c>
      <c r="G114" s="12">
        <f t="shared" si="16"/>
        <v>1059.1600222190532</v>
      </c>
      <c r="H114" s="9"/>
      <c r="I114" s="12">
        <f t="shared" si="12"/>
        <v>2728.3427194094807</v>
      </c>
      <c r="J114" s="12">
        <f t="shared" si="13"/>
        <v>707.82871415381885</v>
      </c>
      <c r="K114" s="12">
        <f t="shared" si="14"/>
        <v>87.484447816764217</v>
      </c>
    </row>
    <row r="115" spans="2:11" x14ac:dyDescent="0.25">
      <c r="B115" s="10">
        <v>111</v>
      </c>
      <c r="C115" s="11">
        <v>44002</v>
      </c>
      <c r="D115" s="12">
        <f t="shared" si="9"/>
        <v>199885.54126561075</v>
      </c>
      <c r="E115" s="12">
        <f t="shared" si="10"/>
        <v>27843.983779118713</v>
      </c>
      <c r="F115" s="12">
        <f t="shared" si="16"/>
        <v>9334.7427101907742</v>
      </c>
      <c r="G115" s="12">
        <f t="shared" si="16"/>
        <v>1153.7322450797601</v>
      </c>
      <c r="H115" s="9"/>
      <c r="I115" s="12">
        <f t="shared" si="12"/>
        <v>2911.3068431142051</v>
      </c>
      <c r="J115" s="12">
        <f t="shared" si="13"/>
        <v>765.17525769117276</v>
      </c>
      <c r="K115" s="12">
        <f t="shared" si="14"/>
        <v>94.572222860706844</v>
      </c>
    </row>
    <row r="116" spans="2:11" x14ac:dyDescent="0.25">
      <c r="B116" s="10">
        <v>112</v>
      </c>
      <c r="C116" s="11">
        <v>44003</v>
      </c>
      <c r="D116" s="12">
        <f t="shared" si="9"/>
        <v>196786.54833671745</v>
      </c>
      <c r="E116" s="12">
        <f t="shared" si="10"/>
        <v>30014.843915374717</v>
      </c>
      <c r="F116" s="12">
        <f t="shared" si="16"/>
        <v>10160.780895637963</v>
      </c>
      <c r="G116" s="12">
        <f t="shared" si="16"/>
        <v>1255.8268522698622</v>
      </c>
      <c r="H116" s="9"/>
      <c r="I116" s="12">
        <f t="shared" si="12"/>
        <v>3098.9929288932926</v>
      </c>
      <c r="J116" s="12">
        <f t="shared" si="13"/>
        <v>826.03818544718843</v>
      </c>
      <c r="K116" s="12">
        <f t="shared" si="14"/>
        <v>102.09460719010204</v>
      </c>
    </row>
    <row r="117" spans="2:11" x14ac:dyDescent="0.25">
      <c r="B117" s="10">
        <v>113</v>
      </c>
      <c r="C117" s="11">
        <v>44004</v>
      </c>
      <c r="D117" s="12">
        <f t="shared" si="9"/>
        <v>193496.31722516267</v>
      </c>
      <c r="E117" s="12">
        <f t="shared" si="10"/>
        <v>32304.580229750343</v>
      </c>
      <c r="F117" s="12">
        <f t="shared" si="16"/>
        <v>11051.221265127413</v>
      </c>
      <c r="G117" s="12">
        <f t="shared" si="16"/>
        <v>1365.8812799595696</v>
      </c>
      <c r="H117" s="9"/>
      <c r="I117" s="12">
        <f t="shared" si="12"/>
        <v>3290.2311115547827</v>
      </c>
      <c r="J117" s="12">
        <f t="shared" si="13"/>
        <v>890.44036948944984</v>
      </c>
      <c r="K117" s="12">
        <f t="shared" si="14"/>
        <v>110.0544276897074</v>
      </c>
    </row>
    <row r="118" spans="2:11" x14ac:dyDescent="0.25">
      <c r="B118" s="10">
        <v>114</v>
      </c>
      <c r="C118" s="11">
        <v>44005</v>
      </c>
      <c r="D118" s="12">
        <f t="shared" si="9"/>
        <v>190012.67566610954</v>
      </c>
      <c r="E118" s="12">
        <f t="shared" si="10"/>
        <v>34711.402447811786</v>
      </c>
      <c r="F118" s="12">
        <f t="shared" ref="F118:G133" si="17">F117+J118</f>
        <v>12009.590478610007</v>
      </c>
      <c r="G118" s="12">
        <f t="shared" si="17"/>
        <v>1484.3314074686543</v>
      </c>
      <c r="H118" s="9"/>
      <c r="I118" s="12">
        <f t="shared" si="12"/>
        <v>3483.6415590531224</v>
      </c>
      <c r="J118" s="12">
        <f t="shared" si="13"/>
        <v>958.36921348259341</v>
      </c>
      <c r="K118" s="12">
        <f t="shared" si="14"/>
        <v>118.45012750908469</v>
      </c>
    </row>
    <row r="119" spans="2:11" x14ac:dyDescent="0.25">
      <c r="B119" s="10">
        <v>115</v>
      </c>
      <c r="C119" s="11">
        <v>44006</v>
      </c>
      <c r="D119" s="12">
        <f t="shared" si="9"/>
        <v>186335.04055291772</v>
      </c>
      <c r="E119" s="12">
        <f t="shared" si="10"/>
        <v>37231.990812743199</v>
      </c>
      <c r="F119" s="12">
        <f t="shared" si="17"/>
        <v>13039.362084561757</v>
      </c>
      <c r="G119" s="12">
        <f t="shared" si="17"/>
        <v>1611.6065497772977</v>
      </c>
      <c r="H119" s="9"/>
      <c r="I119" s="12">
        <f t="shared" si="12"/>
        <v>3677.6351131918072</v>
      </c>
      <c r="J119" s="12">
        <f t="shared" si="13"/>
        <v>1029.7716059517495</v>
      </c>
      <c r="K119" s="12">
        <f t="shared" si="14"/>
        <v>127.27514230864332</v>
      </c>
    </row>
    <row r="120" spans="2:11" x14ac:dyDescent="0.25">
      <c r="B120" s="10">
        <v>116</v>
      </c>
      <c r="C120" s="11">
        <v>44007</v>
      </c>
      <c r="D120" s="12">
        <f t="shared" si="9"/>
        <v>182464.61920454801</v>
      </c>
      <c r="E120" s="12">
        <f t="shared" si="10"/>
        <v>39861.345800688141</v>
      </c>
      <c r="F120" s="12">
        <f t="shared" si="17"/>
        <v>14143.911145339805</v>
      </c>
      <c r="G120" s="12">
        <f t="shared" si="17"/>
        <v>1748.1238494240229</v>
      </c>
      <c r="H120" s="9"/>
      <c r="I120" s="12">
        <f t="shared" si="12"/>
        <v>3870.4213483697067</v>
      </c>
      <c r="J120" s="12">
        <f t="shared" si="13"/>
        <v>1104.5490607780482</v>
      </c>
      <c r="K120" s="12">
        <f t="shared" si="14"/>
        <v>136.51729964672518</v>
      </c>
    </row>
    <row r="121" spans="2:11" x14ac:dyDescent="0.25">
      <c r="B121" s="10">
        <v>117</v>
      </c>
      <c r="C121" s="11">
        <v>44008</v>
      </c>
      <c r="D121" s="12">
        <f t="shared" si="9"/>
        <v>178404.59399998834</v>
      </c>
      <c r="E121" s="12">
        <f t="shared" si="10"/>
        <v>42592.65947855822</v>
      </c>
      <c r="F121" s="12">
        <f t="shared" si="17"/>
        <v>15326.464404093553</v>
      </c>
      <c r="G121" s="12">
        <f t="shared" si="17"/>
        <v>1894.2821173598795</v>
      </c>
      <c r="H121" s="9"/>
      <c r="I121" s="12">
        <f t="shared" si="12"/>
        <v>4060.0252045596822</v>
      </c>
      <c r="J121" s="12">
        <f t="shared" si="13"/>
        <v>1182.5532587537482</v>
      </c>
      <c r="K121" s="12">
        <f t="shared" si="14"/>
        <v>146.15826793585666</v>
      </c>
    </row>
    <row r="122" spans="2:11" x14ac:dyDescent="0.25">
      <c r="B122" s="10">
        <v>118</v>
      </c>
      <c r="C122" s="11">
        <v>44009</v>
      </c>
      <c r="D122" s="12">
        <f t="shared" si="9"/>
        <v>174160.28091518756</v>
      </c>
      <c r="E122" s="12">
        <f t="shared" si="10"/>
        <v>45417.217247407047</v>
      </c>
      <c r="F122" s="12">
        <f t="shared" si="17"/>
        <v>16590.046635290779</v>
      </c>
      <c r="G122" s="12">
        <f t="shared" si="17"/>
        <v>2050.4552021145932</v>
      </c>
      <c r="H122" s="9"/>
      <c r="I122" s="12">
        <f t="shared" si="12"/>
        <v>4244.3130848007713</v>
      </c>
      <c r="J122" s="12">
        <f t="shared" si="13"/>
        <v>1263.582231197227</v>
      </c>
      <c r="K122" s="12">
        <f t="shared" si="14"/>
        <v>156.17308475471361</v>
      </c>
    </row>
    <row r="123" spans="2:11" x14ac:dyDescent="0.25">
      <c r="B123" s="10">
        <v>119</v>
      </c>
      <c r="C123" s="11">
        <v>44010</v>
      </c>
      <c r="D123" s="12">
        <f t="shared" si="9"/>
        <v>169739.25201230749</v>
      </c>
      <c r="E123" s="12">
        <f t="shared" si="10"/>
        <v>48324.338908706879</v>
      </c>
      <c r="F123" s="12">
        <f t="shared" si="17"/>
        <v>17937.424080297187</v>
      </c>
      <c r="G123" s="12">
        <f t="shared" si="17"/>
        <v>2216.9849986884192</v>
      </c>
      <c r="H123" s="9"/>
      <c r="I123" s="12">
        <f t="shared" si="12"/>
        <v>4421.0289028800726</v>
      </c>
      <c r="J123" s="12">
        <f t="shared" si="13"/>
        <v>1347.3774450064088</v>
      </c>
      <c r="K123" s="12">
        <f t="shared" si="14"/>
        <v>166.52979657382599</v>
      </c>
    </row>
    <row r="124" spans="2:11" x14ac:dyDescent="0.25">
      <c r="B124" s="10">
        <v>120</v>
      </c>
      <c r="C124" s="11">
        <v>44011</v>
      </c>
      <c r="D124" s="12">
        <f t="shared" si="9"/>
        <v>165151.41198746438</v>
      </c>
      <c r="E124" s="12">
        <f t="shared" si="10"/>
        <v>51301.367636593102</v>
      </c>
      <c r="F124" s="12">
        <f t="shared" si="17"/>
        <v>19371.046134588825</v>
      </c>
      <c r="G124" s="12">
        <f t="shared" si="17"/>
        <v>2394.1742413536781</v>
      </c>
      <c r="H124" s="9"/>
      <c r="I124" s="12">
        <f t="shared" si="12"/>
        <v>4587.8400248431099</v>
      </c>
      <c r="J124" s="12">
        <f t="shared" si="13"/>
        <v>1433.6220542916374</v>
      </c>
      <c r="K124" s="12">
        <f t="shared" si="14"/>
        <v>177.18924266525872</v>
      </c>
    </row>
    <row r="125" spans="2:11" x14ac:dyDescent="0.25">
      <c r="B125" s="10">
        <v>121</v>
      </c>
      <c r="C125" s="13">
        <v>44012</v>
      </c>
      <c r="D125" s="12">
        <f t="shared" si="9"/>
        <v>160409.01960079343</v>
      </c>
      <c r="E125" s="12">
        <f t="shared" si="10"/>
        <v>54333.714435377609</v>
      </c>
      <c r="F125" s="12">
        <f t="shared" si="17"/>
        <v>20892.986707807755</v>
      </c>
      <c r="G125" s="12">
        <f t="shared" si="17"/>
        <v>2582.2792560211865</v>
      </c>
      <c r="H125" s="9"/>
      <c r="I125" s="12">
        <f t="shared" si="12"/>
        <v>4742.3923866709438</v>
      </c>
      <c r="J125" s="12">
        <f t="shared" si="13"/>
        <v>1521.9405732189286</v>
      </c>
      <c r="K125" s="12">
        <f t="shared" si="14"/>
        <v>188.10501466750821</v>
      </c>
    </row>
    <row r="126" spans="2:11" x14ac:dyDescent="0.25">
      <c r="B126" s="10">
        <v>122</v>
      </c>
      <c r="C126" s="11">
        <v>44013</v>
      </c>
      <c r="D126" s="12">
        <f t="shared" si="9"/>
        <v>155526.64627303308</v>
      </c>
      <c r="E126" s="12">
        <f t="shared" si="10"/>
        <v>57404.963948625373</v>
      </c>
      <c r="F126" s="12">
        <f t="shared" si="17"/>
        <v>22504.886902723956</v>
      </c>
      <c r="G126" s="12">
        <f t="shared" si="17"/>
        <v>2781.5028756175711</v>
      </c>
      <c r="H126" s="9"/>
      <c r="I126" s="12">
        <f t="shared" si="12"/>
        <v>4882.3733277603524</v>
      </c>
      <c r="J126" s="12">
        <f t="shared" si="13"/>
        <v>1611.9001949162021</v>
      </c>
      <c r="K126" s="12">
        <f t="shared" si="14"/>
        <v>199.22361959638474</v>
      </c>
    </row>
    <row r="127" spans="2:11" x14ac:dyDescent="0.25">
      <c r="B127" s="10">
        <v>123</v>
      </c>
      <c r="C127" s="11">
        <v>44014</v>
      </c>
      <c r="D127" s="12">
        <f t="shared" si="9"/>
        <v>150521.06635936262</v>
      </c>
      <c r="E127" s="12">
        <f t="shared" si="10"/>
        <v>60497.045064008307</v>
      </c>
      <c r="F127" s="12">
        <f t="shared" si="17"/>
        <v>24207.900833199841</v>
      </c>
      <c r="G127" s="12">
        <f t="shared" si="17"/>
        <v>2991.9877434291975</v>
      </c>
      <c r="H127" s="9"/>
      <c r="I127" s="12">
        <f t="shared" si="12"/>
        <v>5005.5799136704445</v>
      </c>
      <c r="J127" s="12">
        <f t="shared" si="13"/>
        <v>1703.0139304758859</v>
      </c>
      <c r="K127" s="12">
        <f t="shared" si="14"/>
        <v>210.48486781162654</v>
      </c>
    </row>
    <row r="128" spans="2:11" x14ac:dyDescent="0.25">
      <c r="B128" s="10">
        <v>124</v>
      </c>
      <c r="C128" s="11">
        <v>44015</v>
      </c>
      <c r="D128" s="12">
        <f t="shared" si="9"/>
        <v>145411.07655237045</v>
      </c>
      <c r="E128" s="12">
        <f t="shared" si="10"/>
        <v>63590.466702200203</v>
      </c>
      <c r="F128" s="12">
        <f t="shared" si="17"/>
        <v>26002.646503432086</v>
      </c>
      <c r="G128" s="12">
        <f t="shared" si="17"/>
        <v>3213.8102419972283</v>
      </c>
      <c r="H128" s="9"/>
      <c r="I128" s="12">
        <f t="shared" si="12"/>
        <v>5109.9898069921737</v>
      </c>
      <c r="J128" s="12">
        <f t="shared" si="13"/>
        <v>1794.7456702322461</v>
      </c>
      <c r="K128" s="12">
        <f t="shared" si="14"/>
        <v>221.82249856803065</v>
      </c>
    </row>
    <row r="129" spans="2:11" x14ac:dyDescent="0.25">
      <c r="B129" s="10">
        <v>125</v>
      </c>
      <c r="C129" s="11">
        <v>44016</v>
      </c>
      <c r="D129" s="12">
        <f t="shared" si="9"/>
        <v>140217.24538488081</v>
      </c>
      <c r="E129" s="12">
        <f t="shared" si="10"/>
        <v>66664.615646283171</v>
      </c>
      <c r="F129" s="12">
        <f t="shared" si="17"/>
        <v>27889.163682264025</v>
      </c>
      <c r="G129" s="12">
        <f t="shared" si="17"/>
        <v>3446.9752865719624</v>
      </c>
      <c r="H129" s="9"/>
      <c r="I129" s="12">
        <f t="shared" si="12"/>
        <v>5193.8311674896513</v>
      </c>
      <c r="J129" s="12">
        <f t="shared" si="13"/>
        <v>1886.5171788319392</v>
      </c>
      <c r="K129" s="12">
        <f t="shared" si="14"/>
        <v>233.16504457473428</v>
      </c>
    </row>
    <row r="130" spans="2:11" x14ac:dyDescent="0.25">
      <c r="B130" s="10">
        <v>126</v>
      </c>
      <c r="C130" s="11">
        <v>44017</v>
      </c>
      <c r="D130" s="12">
        <f t="shared" si="9"/>
        <v>134961.59767784146</v>
      </c>
      <c r="E130" s="12">
        <f t="shared" si="10"/>
        <v>69698.1094984464</v>
      </c>
      <c r="F130" s="12">
        <f t="shared" si="17"/>
        <v>29866.88061310376</v>
      </c>
      <c r="G130" s="12">
        <f t="shared" si="17"/>
        <v>3691.4122106083341</v>
      </c>
      <c r="H130" s="9"/>
      <c r="I130" s="12">
        <f t="shared" si="12"/>
        <v>5255.6477070393321</v>
      </c>
      <c r="J130" s="12">
        <f t="shared" si="13"/>
        <v>1977.716930839734</v>
      </c>
      <c r="K130" s="12">
        <f t="shared" si="14"/>
        <v>244.43692403637183</v>
      </c>
    </row>
    <row r="131" spans="2:11" x14ac:dyDescent="0.25">
      <c r="B131" s="10">
        <v>127</v>
      </c>
      <c r="C131" s="11">
        <v>44018</v>
      </c>
      <c r="D131" s="12">
        <f t="shared" si="9"/>
        <v>129667.24271440458</v>
      </c>
      <c r="E131" s="12">
        <f t="shared" si="10"/>
        <v>72669.194145268411</v>
      </c>
      <c r="F131" s="12">
        <f t="shared" si="17"/>
        <v>31934.591194891003</v>
      </c>
      <c r="G131" s="12">
        <f t="shared" si="17"/>
        <v>3946.9719454359711</v>
      </c>
      <c r="H131" s="9"/>
      <c r="I131" s="12">
        <f t="shared" si="12"/>
        <v>5294.3549634368819</v>
      </c>
      <c r="J131" s="12">
        <f t="shared" si="13"/>
        <v>2067.710581787243</v>
      </c>
      <c r="K131" s="12">
        <f t="shared" si="14"/>
        <v>255.55973482763702</v>
      </c>
    </row>
    <row r="132" spans="2:11" x14ac:dyDescent="0.25">
      <c r="B132" s="10">
        <v>128</v>
      </c>
      <c r="C132" s="11">
        <v>44019</v>
      </c>
      <c r="D132" s="12">
        <f t="shared" si="9"/>
        <v>124357.95857901074</v>
      </c>
      <c r="E132" s="12">
        <f t="shared" si="10"/>
        <v>75556.171809153311</v>
      </c>
      <c r="F132" s="12">
        <f t="shared" si="17"/>
        <v>34090.443954533963</v>
      </c>
      <c r="G132" s="12">
        <f t="shared" si="17"/>
        <v>4213.4256573019557</v>
      </c>
      <c r="H132" s="9"/>
      <c r="I132" s="12">
        <f t="shared" si="12"/>
        <v>5309.2841353938375</v>
      </c>
      <c r="J132" s="12">
        <f t="shared" si="13"/>
        <v>2155.8527596429626</v>
      </c>
      <c r="K132" s="12">
        <f t="shared" si="14"/>
        <v>266.45371186598442</v>
      </c>
    </row>
    <row r="133" spans="2:11" x14ac:dyDescent="0.25">
      <c r="B133" s="10">
        <v>129</v>
      </c>
      <c r="C133" s="11">
        <v>44020</v>
      </c>
      <c r="D133" s="12">
        <f t="shared" si="9"/>
        <v>119057.7481322604</v>
      </c>
      <c r="E133" s="12">
        <f t="shared" si="10"/>
        <v>78337.843195598543</v>
      </c>
      <c r="F133" s="12">
        <f t="shared" si="17"/>
        <v>36331.943718205512</v>
      </c>
      <c r="G133" s="12">
        <f t="shared" si="17"/>
        <v>4490.4649539355178</v>
      </c>
      <c r="H133" s="9"/>
      <c r="I133" s="12">
        <f t="shared" si="12"/>
        <v>5300.2104467503304</v>
      </c>
      <c r="J133" s="12">
        <f t="shared" si="13"/>
        <v>2241.499763671548</v>
      </c>
      <c r="K133" s="12">
        <f t="shared" si="14"/>
        <v>277.03929663356234</v>
      </c>
    </row>
    <row r="134" spans="2:11" x14ac:dyDescent="0.25">
      <c r="B134" s="10">
        <v>130</v>
      </c>
      <c r="C134" s="11">
        <v>44021</v>
      </c>
      <c r="D134" s="12">
        <f t="shared" ref="D134:D197" si="18">D133-I134</f>
        <v>113790.38418757598</v>
      </c>
      <c r="E134" s="12">
        <f t="shared" ref="E134:E197" si="19">E133+I134-J134-K134</f>
        <v>80993.945700429686</v>
      </c>
      <c r="F134" s="12">
        <f t="shared" ref="F134:G149" si="20">F133+J134</f>
        <v>38655.966399674937</v>
      </c>
      <c r="G134" s="12">
        <f t="shared" si="20"/>
        <v>4777.7037123193795</v>
      </c>
      <c r="H134" s="9"/>
      <c r="I134" s="12">
        <f t="shared" ref="I134:I197" si="21">E133*N$6*D133/SUM(D133:F133)*N$7</f>
        <v>5267.3639446844136</v>
      </c>
      <c r="J134" s="12">
        <f t="shared" ref="J134:J197" si="22">E133*N$8/N$5</f>
        <v>2324.0226814694233</v>
      </c>
      <c r="K134" s="12">
        <f t="shared" ref="K134:K197" si="23">E133*N$9/N$5</f>
        <v>287.23875838386158</v>
      </c>
    </row>
    <row r="135" spans="2:11" x14ac:dyDescent="0.25">
      <c r="B135" s="10">
        <v>131</v>
      </c>
      <c r="C135" s="11">
        <v>44022</v>
      </c>
      <c r="D135" s="12">
        <f t="shared" si="18"/>
        <v>108578.96238295081</v>
      </c>
      <c r="E135" s="12">
        <f t="shared" si="19"/>
        <v>83505.569315040542</v>
      </c>
      <c r="F135" s="12">
        <f t="shared" si="20"/>
        <v>41058.786788787686</v>
      </c>
      <c r="G135" s="12">
        <f t="shared" si="20"/>
        <v>5074.6815132209549</v>
      </c>
      <c r="H135" s="9"/>
      <c r="I135" s="12">
        <f t="shared" si="21"/>
        <v>5211.4218046251835</v>
      </c>
      <c r="J135" s="12">
        <f t="shared" si="22"/>
        <v>2402.8203891127473</v>
      </c>
      <c r="K135" s="12">
        <f t="shared" si="23"/>
        <v>296.97780090157573</v>
      </c>
    </row>
    <row r="136" spans="2:11" x14ac:dyDescent="0.25">
      <c r="B136" s="10">
        <v>132</v>
      </c>
      <c r="C136" s="11">
        <v>44023</v>
      </c>
      <c r="D136" s="12">
        <f t="shared" si="18"/>
        <v>103445.4798841507</v>
      </c>
      <c r="E136" s="12">
        <f t="shared" si="19"/>
        <v>85855.532836672617</v>
      </c>
      <c r="F136" s="12">
        <f t="shared" si="20"/>
        <v>43536.118678467225</v>
      </c>
      <c r="G136" s="12">
        <f t="shared" si="20"/>
        <v>5380.8686007094375</v>
      </c>
      <c r="H136" s="9"/>
      <c r="I136" s="12">
        <f t="shared" si="21"/>
        <v>5133.4824988000983</v>
      </c>
      <c r="J136" s="12">
        <f t="shared" si="22"/>
        <v>2477.3318896795358</v>
      </c>
      <c r="K136" s="12">
        <f t="shared" si="23"/>
        <v>306.18708748848229</v>
      </c>
    </row>
    <row r="137" spans="2:11" x14ac:dyDescent="0.25">
      <c r="B137" s="10">
        <v>133</v>
      </c>
      <c r="C137" s="11">
        <v>44024</v>
      </c>
      <c r="D137" s="12">
        <f t="shared" si="18"/>
        <v>98410.45643280333</v>
      </c>
      <c r="E137" s="12">
        <f t="shared" si="19"/>
        <v>88028.705193464237</v>
      </c>
      <c r="F137" s="12">
        <f t="shared" si="20"/>
        <v>46083.166152621845</v>
      </c>
      <c r="G137" s="12">
        <f t="shared" si="20"/>
        <v>5695.6722211105707</v>
      </c>
      <c r="H137" s="9"/>
      <c r="I137" s="12">
        <f t="shared" si="21"/>
        <v>5035.0234513473652</v>
      </c>
      <c r="J137" s="12">
        <f t="shared" si="22"/>
        <v>2547.0474741546209</v>
      </c>
      <c r="K137" s="12">
        <f t="shared" si="23"/>
        <v>314.80362040113323</v>
      </c>
    </row>
    <row r="138" spans="2:11" x14ac:dyDescent="0.25">
      <c r="B138" s="10">
        <v>134</v>
      </c>
      <c r="C138" s="11">
        <v>44025</v>
      </c>
      <c r="D138" s="12">
        <f t="shared" si="18"/>
        <v>93492.611516645353</v>
      </c>
      <c r="E138" s="12">
        <f t="shared" si="19"/>
        <v>90012.259936506744</v>
      </c>
      <c r="F138" s="12">
        <f t="shared" si="20"/>
        <v>48694.684406694614</v>
      </c>
      <c r="G138" s="12">
        <f t="shared" si="20"/>
        <v>6018.4441401532731</v>
      </c>
      <c r="H138" s="9"/>
      <c r="I138" s="12">
        <f t="shared" si="21"/>
        <v>4917.8449161579765</v>
      </c>
      <c r="J138" s="12">
        <f t="shared" si="22"/>
        <v>2611.5182540727719</v>
      </c>
      <c r="K138" s="12">
        <f t="shared" si="23"/>
        <v>322.77191904270251</v>
      </c>
    </row>
    <row r="139" spans="2:11" x14ac:dyDescent="0.25">
      <c r="B139" s="10">
        <v>135</v>
      </c>
      <c r="C139" s="11">
        <v>44026</v>
      </c>
      <c r="D139" s="12">
        <f t="shared" si="18"/>
        <v>88708.607857018462</v>
      </c>
      <c r="E139" s="12">
        <f t="shared" si="19"/>
        <v>91795.85493158341</v>
      </c>
      <c r="F139" s="12">
        <f t="shared" si="20"/>
        <v>51365.048118144317</v>
      </c>
      <c r="G139" s="12">
        <f t="shared" si="20"/>
        <v>6348.4890932537983</v>
      </c>
      <c r="H139" s="9"/>
      <c r="I139" s="12">
        <f t="shared" si="21"/>
        <v>4784.0036596268874</v>
      </c>
      <c r="J139" s="12">
        <f t="shared" si="22"/>
        <v>2670.3637114497001</v>
      </c>
      <c r="K139" s="12">
        <f t="shared" si="23"/>
        <v>330.04495310052505</v>
      </c>
    </row>
    <row r="140" spans="2:11" x14ac:dyDescent="0.25">
      <c r="B140" s="10">
        <v>136</v>
      </c>
      <c r="C140" s="11">
        <v>44027</v>
      </c>
      <c r="D140" s="12">
        <f t="shared" si="18"/>
        <v>84072.867325475789</v>
      </c>
      <c r="E140" s="12">
        <f t="shared" si="19"/>
        <v>93371.733632073301</v>
      </c>
      <c r="F140" s="12">
        <f t="shared" si="20"/>
        <v>54088.325147781288</v>
      </c>
      <c r="G140" s="12">
        <f t="shared" si="20"/>
        <v>6685.0738946696047</v>
      </c>
      <c r="H140" s="9"/>
      <c r="I140" s="12">
        <f t="shared" si="21"/>
        <v>4635.7405315426658</v>
      </c>
      <c r="J140" s="12">
        <f t="shared" si="22"/>
        <v>2723.277029636974</v>
      </c>
      <c r="K140" s="12">
        <f t="shared" si="23"/>
        <v>336.58480141580617</v>
      </c>
    </row>
    <row r="141" spans="2:11" x14ac:dyDescent="0.25">
      <c r="B141" s="10">
        <v>137</v>
      </c>
      <c r="C141" s="11">
        <v>44028</v>
      </c>
      <c r="D141" s="12">
        <f t="shared" si="18"/>
        <v>79597.461193202107</v>
      </c>
      <c r="E141" s="12">
        <f t="shared" si="19"/>
        <v>94734.748643277868</v>
      </c>
      <c r="F141" s="12">
        <f t="shared" si="20"/>
        <v>56858.353245532795</v>
      </c>
      <c r="G141" s="12">
        <f t="shared" si="20"/>
        <v>7027.4369179872074</v>
      </c>
      <c r="H141" s="9"/>
      <c r="I141" s="12">
        <f t="shared" si="21"/>
        <v>4475.4061322736752</v>
      </c>
      <c r="J141" s="12">
        <f t="shared" si="22"/>
        <v>2770.0280977515076</v>
      </c>
      <c r="K141" s="12">
        <f t="shared" si="23"/>
        <v>342.36302331760243</v>
      </c>
    </row>
    <row r="142" spans="2:11" x14ac:dyDescent="0.25">
      <c r="B142" s="10">
        <v>138</v>
      </c>
      <c r="C142" s="11">
        <v>44029</v>
      </c>
      <c r="D142" s="12">
        <f t="shared" si="18"/>
        <v>75292.072643038817</v>
      </c>
      <c r="E142" s="12">
        <f t="shared" si="19"/>
        <v>95882.312238665239</v>
      </c>
      <c r="F142" s="12">
        <f t="shared" si="20"/>
        <v>59668.817455283373</v>
      </c>
      <c r="G142" s="12">
        <f t="shared" si="20"/>
        <v>7374.7976630125595</v>
      </c>
      <c r="H142" s="9"/>
      <c r="I142" s="12">
        <f t="shared" si="21"/>
        <v>4305.3885501632867</v>
      </c>
      <c r="J142" s="12">
        <f t="shared" si="22"/>
        <v>2810.4642097505766</v>
      </c>
      <c r="K142" s="12">
        <f t="shared" si="23"/>
        <v>347.36074502535246</v>
      </c>
    </row>
    <row r="143" spans="2:11" x14ac:dyDescent="0.25">
      <c r="B143" s="10">
        <v>139</v>
      </c>
      <c r="C143" s="11">
        <v>44030</v>
      </c>
      <c r="D143" s="12">
        <f t="shared" si="18"/>
        <v>71164.026034940267</v>
      </c>
      <c r="E143" s="12">
        <f t="shared" si="19"/>
        <v>96814.281772141607</v>
      </c>
      <c r="F143" s="12">
        <f t="shared" si="20"/>
        <v>62513.326051697106</v>
      </c>
      <c r="G143" s="12">
        <f t="shared" si="20"/>
        <v>7726.3661412209995</v>
      </c>
      <c r="H143" s="9"/>
      <c r="I143" s="12">
        <f t="shared" si="21"/>
        <v>4128.0466080985443</v>
      </c>
      <c r="J143" s="12">
        <f t="shared" si="22"/>
        <v>2844.5085964137352</v>
      </c>
      <c r="K143" s="12">
        <f t="shared" si="23"/>
        <v>351.56847820843956</v>
      </c>
    </row>
    <row r="144" spans="2:11" x14ac:dyDescent="0.25">
      <c r="B144" s="10">
        <v>140</v>
      </c>
      <c r="C144" s="11">
        <v>44031</v>
      </c>
      <c r="D144" s="12">
        <f t="shared" si="18"/>
        <v>67218.374725050831</v>
      </c>
      <c r="E144" s="12">
        <f t="shared" si="19"/>
        <v>97532.790356292986</v>
      </c>
      <c r="F144" s="12">
        <f t="shared" si="20"/>
        <v>65385.483077603974</v>
      </c>
      <c r="G144" s="12">
        <f t="shared" si="20"/>
        <v>8081.3518410521856</v>
      </c>
      <c r="H144" s="9"/>
      <c r="I144" s="12">
        <f t="shared" si="21"/>
        <v>3945.6513098894388</v>
      </c>
      <c r="J144" s="12">
        <f t="shared" si="22"/>
        <v>2872.1570259068676</v>
      </c>
      <c r="K144" s="12">
        <f t="shared" si="23"/>
        <v>354.9856998311862</v>
      </c>
    </row>
    <row r="145" spans="2:11" x14ac:dyDescent="0.25">
      <c r="B145" s="10">
        <v>141</v>
      </c>
      <c r="C145" s="11">
        <v>44032</v>
      </c>
      <c r="D145" s="12">
        <f t="shared" si="18"/>
        <v>63458.037409188008</v>
      </c>
      <c r="E145" s="12">
        <f t="shared" si="19"/>
        <v>98042.034660279372</v>
      </c>
      <c r="F145" s="12">
        <f t="shared" si="20"/>
        <v>68278.955858173998</v>
      </c>
      <c r="G145" s="12">
        <f t="shared" si="20"/>
        <v>8438.9720723585942</v>
      </c>
      <c r="H145" s="9"/>
      <c r="I145" s="12">
        <f t="shared" si="21"/>
        <v>3760.3373158628233</v>
      </c>
      <c r="J145" s="12">
        <f t="shared" si="22"/>
        <v>2893.472780570025</v>
      </c>
      <c r="K145" s="12">
        <f t="shared" si="23"/>
        <v>357.6202313064079</v>
      </c>
    </row>
    <row r="146" spans="2:11" x14ac:dyDescent="0.25">
      <c r="B146" s="10">
        <v>142</v>
      </c>
      <c r="C146" s="11">
        <v>44033</v>
      </c>
      <c r="D146" s="12">
        <f t="shared" si="18"/>
        <v>59883.972008085591</v>
      </c>
      <c r="E146" s="12">
        <f t="shared" si="19"/>
        <v>98348.032239372478</v>
      </c>
      <c r="F146" s="12">
        <f t="shared" si="20"/>
        <v>71187.536219762289</v>
      </c>
      <c r="G146" s="12">
        <f t="shared" si="20"/>
        <v>8798.4595327796196</v>
      </c>
      <c r="H146" s="9"/>
      <c r="I146" s="12">
        <f t="shared" si="21"/>
        <v>3574.0654011024158</v>
      </c>
      <c r="J146" s="12">
        <f t="shared" si="22"/>
        <v>2908.5803615882878</v>
      </c>
      <c r="K146" s="12">
        <f t="shared" si="23"/>
        <v>359.48746042102465</v>
      </c>
    </row>
    <row r="147" spans="2:11" x14ac:dyDescent="0.25">
      <c r="B147" s="10">
        <v>143</v>
      </c>
      <c r="C147" s="11">
        <v>44034</v>
      </c>
      <c r="D147" s="12">
        <f t="shared" si="18"/>
        <v>56495.375965683976</v>
      </c>
      <c r="E147" s="12">
        <f t="shared" si="19"/>
        <v>98458.360540461683</v>
      </c>
      <c r="F147" s="12">
        <f t="shared" si="20"/>
        <v>74105.194509530338</v>
      </c>
      <c r="G147" s="12">
        <f t="shared" si="20"/>
        <v>9159.0689843239852</v>
      </c>
      <c r="H147" s="9"/>
      <c r="I147" s="12">
        <f t="shared" si="21"/>
        <v>3388.5960424016162</v>
      </c>
      <c r="J147" s="12">
        <f t="shared" si="22"/>
        <v>2917.6582897680496</v>
      </c>
      <c r="K147" s="12">
        <f t="shared" si="23"/>
        <v>360.6094515443661</v>
      </c>
    </row>
    <row r="148" spans="2:11" x14ac:dyDescent="0.25">
      <c r="B148" s="10">
        <v>144</v>
      </c>
      <c r="C148" s="11">
        <v>44035</v>
      </c>
      <c r="D148" s="12">
        <f t="shared" si="18"/>
        <v>53289.902363862617</v>
      </c>
      <c r="E148" s="12">
        <f t="shared" si="19"/>
        <v>98381.888790934318</v>
      </c>
      <c r="F148" s="12">
        <f t="shared" si="20"/>
        <v>77026.125872230696</v>
      </c>
      <c r="G148" s="12">
        <f t="shared" si="20"/>
        <v>9520.0829729723446</v>
      </c>
      <c r="H148" s="9"/>
      <c r="I148" s="12">
        <f t="shared" si="21"/>
        <v>3205.4736018213571</v>
      </c>
      <c r="J148" s="12">
        <f t="shared" si="22"/>
        <v>2920.931362700363</v>
      </c>
      <c r="K148" s="12">
        <f t="shared" si="23"/>
        <v>361.01398864835977</v>
      </c>
    </row>
    <row r="149" spans="2:11" x14ac:dyDescent="0.25">
      <c r="B149" s="10">
        <v>145</v>
      </c>
      <c r="C149" s="11">
        <v>44036</v>
      </c>
      <c r="D149" s="12">
        <f t="shared" si="18"/>
        <v>50263.882303261613</v>
      </c>
      <c r="E149" s="12">
        <f t="shared" si="19"/>
        <v>98128.512558504168</v>
      </c>
      <c r="F149" s="12">
        <f t="shared" si="20"/>
        <v>79944.788573028418</v>
      </c>
      <c r="G149" s="12">
        <f t="shared" si="20"/>
        <v>9880.8165652057705</v>
      </c>
      <c r="H149" s="9"/>
      <c r="I149" s="12">
        <f t="shared" si="21"/>
        <v>3026.0200606010012</v>
      </c>
      <c r="J149" s="12">
        <f t="shared" si="22"/>
        <v>2918.6627007977177</v>
      </c>
      <c r="K149" s="12">
        <f t="shared" si="23"/>
        <v>360.73359223342612</v>
      </c>
    </row>
    <row r="150" spans="2:11" x14ac:dyDescent="0.25">
      <c r="B150" s="10">
        <v>146</v>
      </c>
      <c r="C150" s="11">
        <v>44037</v>
      </c>
      <c r="D150" s="12">
        <f t="shared" si="18"/>
        <v>47412.545385741498</v>
      </c>
      <c r="E150" s="12">
        <f t="shared" si="19"/>
        <v>97708.899057407485</v>
      </c>
      <c r="F150" s="12">
        <f t="shared" ref="F150:G165" si="24">F149+J150</f>
        <v>82855.934445597377</v>
      </c>
      <c r="G150" s="12">
        <f t="shared" si="24"/>
        <v>10240.62111125362</v>
      </c>
      <c r="H150" s="9"/>
      <c r="I150" s="12">
        <f t="shared" si="21"/>
        <v>2851.336917520116</v>
      </c>
      <c r="J150" s="12">
        <f t="shared" si="22"/>
        <v>2911.1458725689567</v>
      </c>
      <c r="K150" s="12">
        <f t="shared" si="23"/>
        <v>359.80454604784893</v>
      </c>
    </row>
    <row r="151" spans="2:11" x14ac:dyDescent="0.25">
      <c r="B151" s="10">
        <v>147</v>
      </c>
      <c r="C151" s="11">
        <v>44038</v>
      </c>
      <c r="D151" s="12">
        <f t="shared" si="18"/>
        <v>44730.231694564973</v>
      </c>
      <c r="E151" s="12">
        <f t="shared" si="19"/>
        <v>97134.249446670423</v>
      </c>
      <c r="F151" s="12">
        <f t="shared" si="24"/>
        <v>85754.631784300465</v>
      </c>
      <c r="G151" s="12">
        <f t="shared" si="24"/>
        <v>10598.887074464115</v>
      </c>
      <c r="H151" s="9"/>
      <c r="I151" s="12">
        <f t="shared" si="21"/>
        <v>2682.3136911765241</v>
      </c>
      <c r="J151" s="12">
        <f t="shared" si="22"/>
        <v>2898.6973387030885</v>
      </c>
      <c r="K151" s="12">
        <f t="shared" si="23"/>
        <v>358.26596321049442</v>
      </c>
    </row>
    <row r="152" spans="2:11" x14ac:dyDescent="0.25">
      <c r="B152" s="10">
        <v>148</v>
      </c>
      <c r="C152" s="11">
        <v>44039</v>
      </c>
      <c r="D152" s="12">
        <f t="shared" si="18"/>
        <v>42210.590261933532</v>
      </c>
      <c r="E152" s="12">
        <f t="shared" si="19"/>
        <v>96416.082564412849</v>
      </c>
      <c r="F152" s="12">
        <f t="shared" si="24"/>
        <v>88636.281184551684</v>
      </c>
      <c r="G152" s="12">
        <f t="shared" si="24"/>
        <v>10955.045989101907</v>
      </c>
      <c r="H152" s="9"/>
      <c r="I152" s="12">
        <f t="shared" si="21"/>
        <v>2519.6414326314434</v>
      </c>
      <c r="J152" s="12">
        <f t="shared" si="22"/>
        <v>2881.6494002512222</v>
      </c>
      <c r="K152" s="12">
        <f t="shared" si="23"/>
        <v>356.1589146377919</v>
      </c>
    </row>
    <row r="153" spans="2:11" x14ac:dyDescent="0.25">
      <c r="B153" s="10">
        <v>149</v>
      </c>
      <c r="C153" s="11">
        <v>44040</v>
      </c>
      <c r="D153" s="12">
        <f t="shared" si="18"/>
        <v>39846.760529534004</v>
      </c>
      <c r="E153" s="12">
        <f t="shared" si="19"/>
        <v>95566.04287799861</v>
      </c>
      <c r="F153" s="12">
        <f t="shared" si="24"/>
        <v>91496.624967295938</v>
      </c>
      <c r="G153" s="12">
        <f t="shared" si="24"/>
        <v>11308.571625171422</v>
      </c>
      <c r="H153" s="9"/>
      <c r="I153" s="12">
        <f t="shared" si="21"/>
        <v>2363.8297323995321</v>
      </c>
      <c r="J153" s="12">
        <f t="shared" si="22"/>
        <v>2860.3437827442476</v>
      </c>
      <c r="K153" s="12">
        <f t="shared" si="23"/>
        <v>353.52563606951406</v>
      </c>
    </row>
    <row r="154" spans="2:11" x14ac:dyDescent="0.25">
      <c r="B154" s="10">
        <v>150</v>
      </c>
      <c r="C154" s="11">
        <v>44041</v>
      </c>
      <c r="D154" s="12">
        <f t="shared" si="18"/>
        <v>37631.534668970722</v>
      </c>
      <c r="E154" s="12">
        <f t="shared" si="19"/>
        <v>94595.733975961935</v>
      </c>
      <c r="F154" s="12">
        <f t="shared" si="24"/>
        <v>94331.750906009896</v>
      </c>
      <c r="G154" s="12">
        <f t="shared" si="24"/>
        <v>11658.980449057417</v>
      </c>
      <c r="H154" s="9"/>
      <c r="I154" s="12">
        <f t="shared" si="21"/>
        <v>2215.2258605632833</v>
      </c>
      <c r="J154" s="12">
        <f t="shared" si="22"/>
        <v>2835.1259387139585</v>
      </c>
      <c r="K154" s="12">
        <f t="shared" si="23"/>
        <v>350.40882388599522</v>
      </c>
    </row>
    <row r="155" spans="2:11" x14ac:dyDescent="0.25">
      <c r="B155" s="10">
        <v>151</v>
      </c>
      <c r="C155" s="11">
        <v>44042</v>
      </c>
      <c r="D155" s="12">
        <f t="shared" si="18"/>
        <v>35557.499789399051</v>
      </c>
      <c r="E155" s="12">
        <f t="shared" si="19"/>
        <v>93516.577723001537</v>
      </c>
      <c r="F155" s="12">
        <f t="shared" si="24"/>
        <v>97138.091013963436</v>
      </c>
      <c r="G155" s="12">
        <f t="shared" si="24"/>
        <v>12005.831473635944</v>
      </c>
      <c r="H155" s="9"/>
      <c r="I155" s="12">
        <f t="shared" si="21"/>
        <v>2074.0348795716709</v>
      </c>
      <c r="J155" s="12">
        <f t="shared" si="22"/>
        <v>2806.3401079535374</v>
      </c>
      <c r="K155" s="12">
        <f t="shared" si="23"/>
        <v>346.85102457852742</v>
      </c>
    </row>
    <row r="156" spans="2:11" x14ac:dyDescent="0.25">
      <c r="B156" s="10">
        <v>152</v>
      </c>
      <c r="C156" s="13">
        <v>44043</v>
      </c>
      <c r="D156" s="12">
        <f t="shared" si="18"/>
        <v>33617.160000012125</v>
      </c>
      <c r="E156" s="12">
        <f t="shared" si="19"/>
        <v>92339.698254955074</v>
      </c>
      <c r="F156" s="12">
        <f t="shared" si="24"/>
        <v>99912.416153079146</v>
      </c>
      <c r="G156" s="12">
        <f t="shared" si="24"/>
        <v>12348.725591953616</v>
      </c>
      <c r="H156" s="9"/>
      <c r="I156" s="12">
        <f t="shared" si="21"/>
        <v>1940.3397893869262</v>
      </c>
      <c r="J156" s="12">
        <f t="shared" si="22"/>
        <v>2774.3251391157119</v>
      </c>
      <c r="K156" s="12">
        <f t="shared" si="23"/>
        <v>342.89411831767262</v>
      </c>
    </row>
    <row r="157" spans="2:11" x14ac:dyDescent="0.25">
      <c r="B157" s="10">
        <v>153</v>
      </c>
      <c r="C157" s="21">
        <v>44044</v>
      </c>
      <c r="D157" s="12">
        <f t="shared" si="18"/>
        <v>31803.039016661416</v>
      </c>
      <c r="E157" s="12">
        <f t="shared" si="19"/>
        <v>91075.829296473938</v>
      </c>
      <c r="F157" s="12">
        <f t="shared" si="24"/>
        <v>102651.82720130948</v>
      </c>
      <c r="G157" s="12">
        <f t="shared" si="24"/>
        <v>12687.304485555118</v>
      </c>
      <c r="H157" s="9"/>
      <c r="I157" s="12">
        <f t="shared" si="21"/>
        <v>1814.1209833507073</v>
      </c>
      <c r="J157" s="12">
        <f t="shared" si="22"/>
        <v>2739.4110482303336</v>
      </c>
      <c r="K157" s="12">
        <f t="shared" si="23"/>
        <v>338.57889360150227</v>
      </c>
    </row>
    <row r="158" spans="2:11" x14ac:dyDescent="0.25">
      <c r="B158" s="10">
        <v>154</v>
      </c>
      <c r="C158" s="21">
        <v>44045</v>
      </c>
      <c r="D158" s="12">
        <f t="shared" si="18"/>
        <v>30107.764520789231</v>
      </c>
      <c r="E158" s="12">
        <f t="shared" si="19"/>
        <v>89735.242815796999</v>
      </c>
      <c r="F158" s="12">
        <f t="shared" si="24"/>
        <v>105353.7434704382</v>
      </c>
      <c r="G158" s="12">
        <f t="shared" si="24"/>
        <v>13021.249192975523</v>
      </c>
      <c r="H158" s="9"/>
      <c r="I158" s="12">
        <f t="shared" si="21"/>
        <v>1695.2744958721835</v>
      </c>
      <c r="J158" s="12">
        <f t="shared" si="22"/>
        <v>2701.9162691287265</v>
      </c>
      <c r="K158" s="12">
        <f t="shared" si="23"/>
        <v>333.94470742040471</v>
      </c>
    </row>
    <row r="159" spans="2:11" x14ac:dyDescent="0.25">
      <c r="B159" s="10">
        <v>155</v>
      </c>
      <c r="C159" s="21">
        <v>44046</v>
      </c>
      <c r="D159" s="12">
        <f t="shared" si="18"/>
        <v>28524.135819972711</v>
      </c>
      <c r="E159" s="12">
        <f t="shared" si="19"/>
        <v>88327.696756086953</v>
      </c>
      <c r="F159" s="12">
        <f t="shared" si="24"/>
        <v>108015.88900730685</v>
      </c>
      <c r="G159" s="12">
        <f t="shared" si="24"/>
        <v>13350.278416633446</v>
      </c>
      <c r="H159" s="9"/>
      <c r="I159" s="12">
        <f t="shared" si="21"/>
        <v>1583.6287008165193</v>
      </c>
      <c r="J159" s="12">
        <f t="shared" si="22"/>
        <v>2662.1455368686438</v>
      </c>
      <c r="K159" s="12">
        <f t="shared" si="23"/>
        <v>329.02922365792261</v>
      </c>
    </row>
    <row r="160" spans="2:11" x14ac:dyDescent="0.25">
      <c r="B160" s="10">
        <v>156</v>
      </c>
      <c r="C160" s="21">
        <v>44047</v>
      </c>
      <c r="D160" s="12">
        <f t="shared" si="18"/>
        <v>27045.176552018129</v>
      </c>
      <c r="E160" s="12">
        <f t="shared" si="19"/>
        <v>86862.399465505296</v>
      </c>
      <c r="F160" s="12">
        <f t="shared" si="24"/>
        <v>110636.27734440409</v>
      </c>
      <c r="G160" s="12">
        <f t="shared" si="24"/>
        <v>13674.146638072432</v>
      </c>
      <c r="H160" s="9"/>
      <c r="I160" s="12">
        <f t="shared" si="21"/>
        <v>1478.9592679545815</v>
      </c>
      <c r="J160" s="12">
        <f t="shared" si="22"/>
        <v>2620.3883370972462</v>
      </c>
      <c r="K160" s="12">
        <f t="shared" si="23"/>
        <v>323.86822143898576</v>
      </c>
    </row>
    <row r="161" spans="2:11" x14ac:dyDescent="0.25">
      <c r="B161" s="10">
        <v>157</v>
      </c>
      <c r="C161" s="21">
        <v>44048</v>
      </c>
      <c r="D161" s="12">
        <f t="shared" si="18"/>
        <v>25664.174248807998</v>
      </c>
      <c r="E161" s="12">
        <f t="shared" si="19"/>
        <v>85347.988453198588</v>
      </c>
      <c r="F161" s="12">
        <f t="shared" si="24"/>
        <v>113213.19519521408</v>
      </c>
      <c r="G161" s="12">
        <f t="shared" si="24"/>
        <v>13992.642102779286</v>
      </c>
      <c r="H161" s="9"/>
      <c r="I161" s="12">
        <f t="shared" si="21"/>
        <v>1381.0023032101326</v>
      </c>
      <c r="J161" s="12">
        <f t="shared" si="22"/>
        <v>2576.9178508099899</v>
      </c>
      <c r="K161" s="12">
        <f t="shared" si="23"/>
        <v>318.49546470685306</v>
      </c>
    </row>
    <row r="162" spans="2:11" x14ac:dyDescent="0.25">
      <c r="B162" s="10">
        <v>158</v>
      </c>
      <c r="C162" s="21">
        <v>44049</v>
      </c>
      <c r="D162" s="12">
        <f t="shared" si="18"/>
        <v>24374.708560472762</v>
      </c>
      <c r="E162" s="12">
        <f t="shared" si="19"/>
        <v>83792.521193093882</v>
      </c>
      <c r="F162" s="12">
        <f t="shared" si="24"/>
        <v>115745.18551932563</v>
      </c>
      <c r="G162" s="12">
        <f t="shared" si="24"/>
        <v>14305.58472710768</v>
      </c>
      <c r="H162" s="9"/>
      <c r="I162" s="12">
        <f t="shared" si="21"/>
        <v>1289.4656883352379</v>
      </c>
      <c r="J162" s="12">
        <f t="shared" si="22"/>
        <v>2531.990324111558</v>
      </c>
      <c r="K162" s="12">
        <f t="shared" si="23"/>
        <v>312.94262432839508</v>
      </c>
    </row>
    <row r="163" spans="2:11" x14ac:dyDescent="0.25">
      <c r="B163" s="10">
        <v>159</v>
      </c>
      <c r="C163" s="21">
        <v>44050</v>
      </c>
      <c r="D163" s="12">
        <f t="shared" si="18"/>
        <v>23170.669860294201</v>
      </c>
      <c r="E163" s="12">
        <f t="shared" si="19"/>
        <v>82203.475853502634</v>
      </c>
      <c r="F163" s="12">
        <f t="shared" si="24"/>
        <v>118231.03031472076</v>
      </c>
      <c r="G163" s="12">
        <f t="shared" si="24"/>
        <v>14612.823971482358</v>
      </c>
      <c r="H163" s="9"/>
      <c r="I163" s="12">
        <f t="shared" si="21"/>
        <v>1204.0387001785589</v>
      </c>
      <c r="J163" s="12">
        <f t="shared" si="22"/>
        <v>2485.8447953951181</v>
      </c>
      <c r="K163" s="12">
        <f t="shared" si="23"/>
        <v>307.23924437467781</v>
      </c>
    </row>
    <row r="164" spans="2:11" x14ac:dyDescent="0.25">
      <c r="B164" s="10">
        <v>160</v>
      </c>
      <c r="C164" s="21">
        <v>44051</v>
      </c>
      <c r="D164" s="12">
        <f t="shared" si="18"/>
        <v>22046.269827547203</v>
      </c>
      <c r="E164" s="12">
        <f t="shared" si="19"/>
        <v>80587.760024466203</v>
      </c>
      <c r="F164" s="12">
        <f t="shared" si="24"/>
        <v>120669.73343170801</v>
      </c>
      <c r="G164" s="12">
        <f t="shared" si="24"/>
        <v>14914.236716278534</v>
      </c>
      <c r="H164" s="9"/>
      <c r="I164" s="12">
        <f t="shared" si="21"/>
        <v>1124.4000327469969</v>
      </c>
      <c r="J164" s="12">
        <f t="shared" si="22"/>
        <v>2438.7031169872444</v>
      </c>
      <c r="K164" s="12">
        <f t="shared" si="23"/>
        <v>301.41274479617658</v>
      </c>
    </row>
    <row r="165" spans="2:11" x14ac:dyDescent="0.25">
      <c r="B165" s="10">
        <v>161</v>
      </c>
      <c r="C165" s="21">
        <v>44052</v>
      </c>
      <c r="D165" s="12">
        <f t="shared" si="18"/>
        <v>20996.045456696662</v>
      </c>
      <c r="E165" s="12">
        <f t="shared" si="19"/>
        <v>78951.72572783455</v>
      </c>
      <c r="F165" s="12">
        <f t="shared" si="24"/>
        <v>123060.50364576717</v>
      </c>
      <c r="G165" s="12">
        <f t="shared" si="24"/>
        <v>15209.725169701576</v>
      </c>
      <c r="H165" s="9"/>
      <c r="I165" s="12">
        <f t="shared" si="21"/>
        <v>1050.2243708505414</v>
      </c>
      <c r="J165" s="12">
        <f t="shared" si="22"/>
        <v>2390.7702140591637</v>
      </c>
      <c r="K165" s="12">
        <f t="shared" si="23"/>
        <v>295.48845342304304</v>
      </c>
    </row>
    <row r="166" spans="2:11" x14ac:dyDescent="0.25">
      <c r="B166" s="10">
        <v>162</v>
      </c>
      <c r="C166" s="21">
        <v>44053</v>
      </c>
      <c r="D166" s="12">
        <f t="shared" si="18"/>
        <v>20014.857780563765</v>
      </c>
      <c r="E166" s="12">
        <f t="shared" si="19"/>
        <v>77301.189213039615</v>
      </c>
      <c r="F166" s="12">
        <f t="shared" ref="F166:G181" si="25">F165+J166</f>
        <v>125402.73817569292</v>
      </c>
      <c r="G166" s="12">
        <f t="shared" si="25"/>
        <v>15499.214830703637</v>
      </c>
      <c r="H166" s="9"/>
      <c r="I166" s="12">
        <f t="shared" si="21"/>
        <v>981.18767613289549</v>
      </c>
      <c r="J166" s="12">
        <f t="shared" si="22"/>
        <v>2342.2345299257581</v>
      </c>
      <c r="K166" s="12">
        <f t="shared" si="23"/>
        <v>289.4896610020603</v>
      </c>
    </row>
    <row r="167" spans="2:11" x14ac:dyDescent="0.25">
      <c r="B167" s="10">
        <v>163</v>
      </c>
      <c r="C167" s="21">
        <v>44054</v>
      </c>
      <c r="D167" s="12">
        <f t="shared" si="18"/>
        <v>19097.886432371193</v>
      </c>
      <c r="E167" s="12">
        <f t="shared" si="19"/>
        <v>75641.454254130862</v>
      </c>
      <c r="F167" s="12">
        <f t="shared" si="25"/>
        <v>127696.0067890131</v>
      </c>
      <c r="G167" s="12">
        <f t="shared" si="25"/>
        <v>15782.652524484782</v>
      </c>
      <c r="H167" s="9"/>
      <c r="I167" s="12">
        <f t="shared" si="21"/>
        <v>916.9713481925736</v>
      </c>
      <c r="J167" s="12">
        <f t="shared" si="22"/>
        <v>2293.2686133201746</v>
      </c>
      <c r="K167" s="12">
        <f t="shared" si="23"/>
        <v>283.43769378114553</v>
      </c>
    </row>
    <row r="168" spans="2:11" x14ac:dyDescent="0.25">
      <c r="B168" s="10">
        <v>164</v>
      </c>
      <c r="C168" s="21">
        <v>44055</v>
      </c>
      <c r="D168" s="12">
        <f t="shared" si="18"/>
        <v>18240.62101412618</v>
      </c>
      <c r="E168" s="12">
        <f t="shared" si="19"/>
        <v>73977.337863904846</v>
      </c>
      <c r="F168" s="12">
        <f t="shared" si="25"/>
        <v>129940.03659855232</v>
      </c>
      <c r="G168" s="12">
        <f t="shared" si="25"/>
        <v>16060.004523416595</v>
      </c>
      <c r="H168" s="9"/>
      <c r="I168" s="12">
        <f t="shared" si="21"/>
        <v>857.26541824501419</v>
      </c>
      <c r="J168" s="12">
        <f t="shared" si="22"/>
        <v>2244.0298095392154</v>
      </c>
      <c r="K168" s="12">
        <f t="shared" si="23"/>
        <v>277.35199893181345</v>
      </c>
    </row>
    <row r="169" spans="2:11" x14ac:dyDescent="0.25">
      <c r="B169" s="10">
        <v>165</v>
      </c>
      <c r="C169" s="21">
        <v>44056</v>
      </c>
      <c r="D169" s="12">
        <f t="shared" si="18"/>
        <v>17438.850091345132</v>
      </c>
      <c r="E169" s="12">
        <f t="shared" si="19"/>
        <v>72313.197524555726</v>
      </c>
      <c r="F169" s="12">
        <f t="shared" si="25"/>
        <v>132134.69762184817</v>
      </c>
      <c r="G169" s="12">
        <f t="shared" si="25"/>
        <v>16331.254762250914</v>
      </c>
      <c r="H169" s="9"/>
      <c r="I169" s="12">
        <f t="shared" si="21"/>
        <v>801.77092278104772</v>
      </c>
      <c r="J169" s="12">
        <f t="shared" si="22"/>
        <v>2194.6610232958433</v>
      </c>
      <c r="K169" s="12">
        <f t="shared" si="23"/>
        <v>271.250238834318</v>
      </c>
    </row>
    <row r="170" spans="2:11" x14ac:dyDescent="0.25">
      <c r="B170" s="10">
        <v>166</v>
      </c>
      <c r="C170" s="21">
        <v>44057</v>
      </c>
      <c r="D170" s="12">
        <f t="shared" si="18"/>
        <v>16688.648499503735</v>
      </c>
      <c r="E170" s="12">
        <f t="shared" si="19"/>
        <v>70652.959198911936</v>
      </c>
      <c r="F170" s="12">
        <f t="shared" si="25"/>
        <v>134279.98914840998</v>
      </c>
      <c r="G170" s="12">
        <f t="shared" si="25"/>
        <v>16596.403153174284</v>
      </c>
      <c r="H170" s="9"/>
      <c r="I170" s="12">
        <f t="shared" si="21"/>
        <v>750.20159184139584</v>
      </c>
      <c r="J170" s="12">
        <f t="shared" si="22"/>
        <v>2145.2915265618194</v>
      </c>
      <c r="K170" s="12">
        <f t="shared" si="23"/>
        <v>265.14839092337127</v>
      </c>
    </row>
    <row r="171" spans="2:11" x14ac:dyDescent="0.25">
      <c r="B171" s="10">
        <v>167</v>
      </c>
      <c r="C171" s="21">
        <v>44058</v>
      </c>
      <c r="D171" s="12">
        <f t="shared" si="18"/>
        <v>15986.363527212576</v>
      </c>
      <c r="E171" s="12">
        <f t="shared" si="19"/>
        <v>69000.145531239366</v>
      </c>
      <c r="F171" s="12">
        <f t="shared" si="25"/>
        <v>136376.0269379777</v>
      </c>
      <c r="G171" s="12">
        <f t="shared" si="25"/>
        <v>16855.464003570294</v>
      </c>
      <c r="H171" s="9"/>
      <c r="I171" s="12">
        <f t="shared" si="21"/>
        <v>702.28497229115953</v>
      </c>
      <c r="J171" s="12">
        <f t="shared" si="22"/>
        <v>2096.0377895677207</v>
      </c>
      <c r="K171" s="12">
        <f t="shared" si="23"/>
        <v>259.06085039601066</v>
      </c>
    </row>
    <row r="172" spans="2:11" x14ac:dyDescent="0.25">
      <c r="B172" s="10">
        <v>168</v>
      </c>
      <c r="C172" s="21">
        <v>44059</v>
      </c>
      <c r="D172" s="12">
        <f t="shared" si="18"/>
        <v>15328.600435321454</v>
      </c>
      <c r="E172" s="12">
        <f t="shared" si="19"/>
        <v>67357.903772089179</v>
      </c>
      <c r="F172" s="12">
        <f t="shared" si="25"/>
        <v>138423.03125540446</v>
      </c>
      <c r="G172" s="12">
        <f t="shared" si="25"/>
        <v>17108.464537184838</v>
      </c>
      <c r="H172" s="9"/>
      <c r="I172" s="12">
        <f t="shared" si="21"/>
        <v>657.76309189112214</v>
      </c>
      <c r="J172" s="12">
        <f t="shared" si="22"/>
        <v>2047.0043174267676</v>
      </c>
      <c r="K172" s="12">
        <f t="shared" si="23"/>
        <v>253.00053361454457</v>
      </c>
    </row>
    <row r="173" spans="2:11" x14ac:dyDescent="0.25">
      <c r="B173" s="10">
        <v>169</v>
      </c>
      <c r="C173" s="21">
        <v>44060</v>
      </c>
      <c r="D173" s="12">
        <f t="shared" si="18"/>
        <v>14712.207679569401</v>
      </c>
      <c r="E173" s="12">
        <f t="shared" si="19"/>
        <v>65729.03306877159</v>
      </c>
      <c r="F173" s="12">
        <f t="shared" si="25"/>
        <v>140421.31573397643</v>
      </c>
      <c r="G173" s="12">
        <f t="shared" si="25"/>
        <v>17355.443517682499</v>
      </c>
      <c r="H173" s="9"/>
      <c r="I173" s="12">
        <f t="shared" si="21"/>
        <v>616.39275575205204</v>
      </c>
      <c r="J173" s="12">
        <f t="shared" si="22"/>
        <v>1998.2844785719788</v>
      </c>
      <c r="K173" s="12">
        <f t="shared" si="23"/>
        <v>246.97898049766053</v>
      </c>
    </row>
    <row r="174" spans="2:11" x14ac:dyDescent="0.25">
      <c r="B174" s="10">
        <v>170</v>
      </c>
      <c r="C174" s="21">
        <v>44061</v>
      </c>
      <c r="D174" s="12">
        <f t="shared" si="18"/>
        <v>14134.26212617069</v>
      </c>
      <c r="E174" s="12">
        <f t="shared" si="19"/>
        <v>64116.010853211243</v>
      </c>
      <c r="F174" s="12">
        <f t="shared" si="25"/>
        <v>142371.27704834999</v>
      </c>
      <c r="G174" s="12">
        <f t="shared" si="25"/>
        <v>17596.449972267994</v>
      </c>
      <c r="H174" s="9"/>
      <c r="I174" s="12">
        <f t="shared" si="21"/>
        <v>577.94555339871067</v>
      </c>
      <c r="J174" s="12">
        <f t="shared" si="22"/>
        <v>1949.9613143735571</v>
      </c>
      <c r="K174" s="12">
        <f t="shared" si="23"/>
        <v>241.00645458549604</v>
      </c>
    </row>
    <row r="175" spans="2:11" x14ac:dyDescent="0.25">
      <c r="B175" s="10">
        <v>171</v>
      </c>
      <c r="C175" s="21">
        <v>44062</v>
      </c>
      <c r="D175" s="12">
        <f t="shared" si="18"/>
        <v>13592.054483727732</v>
      </c>
      <c r="E175" s="12">
        <f t="shared" si="19"/>
        <v>62521.01813388049</v>
      </c>
      <c r="F175" s="12">
        <f t="shared" si="25"/>
        <v>144273.38537032859</v>
      </c>
      <c r="G175" s="12">
        <f t="shared" si="25"/>
        <v>17831.542012063102</v>
      </c>
      <c r="H175" s="9"/>
      <c r="I175" s="12">
        <f t="shared" si="21"/>
        <v>542.20764244295708</v>
      </c>
      <c r="J175" s="12">
        <f t="shared" si="22"/>
        <v>1902.1083219786001</v>
      </c>
      <c r="K175" s="12">
        <f t="shared" si="23"/>
        <v>235.09203979510809</v>
      </c>
    </row>
    <row r="176" spans="2:11" x14ac:dyDescent="0.25">
      <c r="B176" s="10">
        <v>172</v>
      </c>
      <c r="C176" s="21">
        <v>44063</v>
      </c>
      <c r="D176" s="12">
        <f t="shared" si="18"/>
        <v>13083.075119819419</v>
      </c>
      <c r="E176" s="12">
        <f t="shared" si="19"/>
        <v>60945.963559992786</v>
      </c>
      <c r="F176" s="12">
        <f t="shared" si="25"/>
        <v>146128.17557496703</v>
      </c>
      <c r="G176" s="12">
        <f t="shared" si="25"/>
        <v>18060.785745220663</v>
      </c>
      <c r="H176" s="9"/>
      <c r="I176" s="12">
        <f t="shared" si="21"/>
        <v>508.97936390831194</v>
      </c>
      <c r="J176" s="12">
        <f t="shared" si="22"/>
        <v>1854.7902046384545</v>
      </c>
      <c r="K176" s="12">
        <f t="shared" si="23"/>
        <v>229.24373315756199</v>
      </c>
    </row>
    <row r="177" spans="2:11" x14ac:dyDescent="0.25">
      <c r="B177" s="10">
        <v>173</v>
      </c>
      <c r="C177" s="21">
        <v>44064</v>
      </c>
      <c r="D177" s="12">
        <f t="shared" si="18"/>
        <v>12605.000385221452</v>
      </c>
      <c r="E177" s="12">
        <f t="shared" si="19"/>
        <v>59392.506175924325</v>
      </c>
      <c r="F177" s="12">
        <f t="shared" si="25"/>
        <v>147936.23916058015</v>
      </c>
      <c r="G177" s="12">
        <f t="shared" si="25"/>
        <v>18284.254278273969</v>
      </c>
      <c r="H177" s="9"/>
      <c r="I177" s="12">
        <f t="shared" si="21"/>
        <v>478.07473459796762</v>
      </c>
      <c r="J177" s="12">
        <f t="shared" si="22"/>
        <v>1808.0635856131191</v>
      </c>
      <c r="K177" s="12">
        <f t="shared" si="23"/>
        <v>223.46853305330708</v>
      </c>
    </row>
    <row r="178" spans="2:11" x14ac:dyDescent="0.25">
      <c r="B178" s="10">
        <v>174</v>
      </c>
      <c r="C178" s="21">
        <v>44065</v>
      </c>
      <c r="D178" s="12">
        <f t="shared" si="18"/>
        <v>12155.679531699632</v>
      </c>
      <c r="E178" s="12">
        <f t="shared" si="19"/>
        <v>57862.076823582</v>
      </c>
      <c r="F178" s="12">
        <f t="shared" si="25"/>
        <v>149698.21684379925</v>
      </c>
      <c r="G178" s="12">
        <f t="shared" si="25"/>
        <v>18502.026800919026</v>
      </c>
      <c r="H178" s="9"/>
      <c r="I178" s="12">
        <f t="shared" si="21"/>
        <v>449.32085352181974</v>
      </c>
      <c r="J178" s="12">
        <f t="shared" si="22"/>
        <v>1761.977683219088</v>
      </c>
      <c r="K178" s="12">
        <f t="shared" si="23"/>
        <v>217.77252264505606</v>
      </c>
    </row>
    <row r="179" spans="2:11" x14ac:dyDescent="0.25">
      <c r="B179" s="10">
        <v>175</v>
      </c>
      <c r="C179" s="21">
        <v>44066</v>
      </c>
      <c r="D179" s="12">
        <f t="shared" si="18"/>
        <v>11733.122279480764</v>
      </c>
      <c r="E179" s="12">
        <f t="shared" si="19"/>
        <v>56355.898181681463</v>
      </c>
      <c r="F179" s="12">
        <f t="shared" si="25"/>
        <v>151414.79178956553</v>
      </c>
      <c r="G179" s="12">
        <f t="shared" si="25"/>
        <v>18714.187749272161</v>
      </c>
      <c r="H179" s="9"/>
      <c r="I179" s="12">
        <f t="shared" si="21"/>
        <v>422.55725221886888</v>
      </c>
      <c r="J179" s="12">
        <f t="shared" si="22"/>
        <v>1716.5749457662657</v>
      </c>
      <c r="K179" s="12">
        <f t="shared" si="23"/>
        <v>212.16094835313419</v>
      </c>
    </row>
    <row r="180" spans="2:11" x14ac:dyDescent="0.25">
      <c r="B180" s="10">
        <v>176</v>
      </c>
      <c r="C180" s="21">
        <v>44067</v>
      </c>
      <c r="D180" s="12">
        <f t="shared" si="18"/>
        <v>11335.487066753771</v>
      </c>
      <c r="E180" s="12">
        <f t="shared" si="19"/>
        <v>54875.003455019068</v>
      </c>
      <c r="F180" s="12">
        <f t="shared" si="25"/>
        <v>153086.68343562208</v>
      </c>
      <c r="G180" s="12">
        <f t="shared" si="25"/>
        <v>18920.826042604993</v>
      </c>
      <c r="H180" s="9"/>
      <c r="I180" s="12">
        <f t="shared" si="21"/>
        <v>397.63521272699262</v>
      </c>
      <c r="J180" s="12">
        <f t="shared" si="22"/>
        <v>1671.8916460565499</v>
      </c>
      <c r="K180" s="12">
        <f t="shared" si="23"/>
        <v>206.63829333283221</v>
      </c>
    </row>
    <row r="181" spans="2:11" x14ac:dyDescent="0.25">
      <c r="B181" s="10">
        <v>177</v>
      </c>
      <c r="C181" s="21">
        <v>44068</v>
      </c>
      <c r="D181" s="12">
        <f t="shared" si="18"/>
        <v>10961.069994905532</v>
      </c>
      <c r="E181" s="12">
        <f t="shared" si="19"/>
        <v>53420.25374503334</v>
      </c>
      <c r="F181" s="12">
        <f t="shared" si="25"/>
        <v>154714.64187145431</v>
      </c>
      <c r="G181" s="12">
        <f t="shared" si="25"/>
        <v>19122.034388606731</v>
      </c>
      <c r="H181" s="9"/>
      <c r="I181" s="12">
        <f t="shared" si="21"/>
        <v>374.41707184823912</v>
      </c>
      <c r="J181" s="12">
        <f t="shared" si="22"/>
        <v>1627.9584358322322</v>
      </c>
      <c r="K181" s="12">
        <f t="shared" si="23"/>
        <v>201.20834600173674</v>
      </c>
    </row>
    <row r="182" spans="2:11" x14ac:dyDescent="0.25">
      <c r="B182" s="10">
        <v>178</v>
      </c>
      <c r="C182" s="21">
        <v>44069</v>
      </c>
      <c r="D182" s="12">
        <f t="shared" si="18"/>
        <v>10608.294468788265</v>
      </c>
      <c r="E182" s="12">
        <f t="shared" si="19"/>
        <v>51992.354146316167</v>
      </c>
      <c r="F182" s="12">
        <f t="shared" ref="F182:G197" si="26">F181+J182</f>
        <v>156299.44273255696</v>
      </c>
      <c r="G182" s="12">
        <f t="shared" si="26"/>
        <v>19317.908652338519</v>
      </c>
      <c r="H182" s="9"/>
      <c r="I182" s="12">
        <f t="shared" si="21"/>
        <v>352.77552611726799</v>
      </c>
      <c r="J182" s="12">
        <f t="shared" si="22"/>
        <v>1584.8008611026555</v>
      </c>
      <c r="K182" s="12">
        <f t="shared" si="23"/>
        <v>195.87426373178909</v>
      </c>
    </row>
    <row r="183" spans="2:11" x14ac:dyDescent="0.25">
      <c r="B183" s="10">
        <v>179</v>
      </c>
      <c r="C183" s="21">
        <v>44070</v>
      </c>
      <c r="D183" s="12">
        <f t="shared" si="18"/>
        <v>10275.701520398656</v>
      </c>
      <c r="E183" s="12">
        <f t="shared" si="19"/>
        <v>50591.868623161907</v>
      </c>
      <c r="F183" s="12">
        <f t="shared" si="26"/>
        <v>157841.882572231</v>
      </c>
      <c r="G183" s="12">
        <f t="shared" si="26"/>
        <v>19508.547284208347</v>
      </c>
      <c r="H183" s="9"/>
      <c r="I183" s="12">
        <f t="shared" si="21"/>
        <v>332.59294838960852</v>
      </c>
      <c r="J183" s="12">
        <f t="shared" si="22"/>
        <v>1542.4398396740462</v>
      </c>
      <c r="K183" s="12">
        <f t="shared" si="23"/>
        <v>190.6386318698261</v>
      </c>
    </row>
    <row r="184" spans="2:11" x14ac:dyDescent="0.25">
      <c r="B184" s="10">
        <v>180</v>
      </c>
      <c r="C184" s="21">
        <v>44071</v>
      </c>
      <c r="D184" s="12">
        <f t="shared" si="18"/>
        <v>9961.9407962801452</v>
      </c>
      <c r="E184" s="12">
        <f t="shared" si="19"/>
        <v>49219.233726508355</v>
      </c>
      <c r="F184" s="12">
        <f t="shared" si="26"/>
        <v>159342.77467471812</v>
      </c>
      <c r="G184" s="12">
        <f t="shared" si="26"/>
        <v>19694.050802493275</v>
      </c>
      <c r="H184" s="9"/>
      <c r="I184" s="12">
        <f t="shared" si="21"/>
        <v>313.76072411851135</v>
      </c>
      <c r="J184" s="12">
        <f t="shared" si="22"/>
        <v>1500.8921024871365</v>
      </c>
      <c r="K184" s="12">
        <f t="shared" si="23"/>
        <v>185.50351828492714</v>
      </c>
    </row>
    <row r="185" spans="2:11" x14ac:dyDescent="0.25">
      <c r="B185" s="10">
        <v>181</v>
      </c>
      <c r="C185" s="21">
        <v>44072</v>
      </c>
      <c r="D185" s="12">
        <f t="shared" si="18"/>
        <v>9665.7621831928718</v>
      </c>
      <c r="E185" s="12">
        <f t="shared" si="19"/>
        <v>47874.771215378685</v>
      </c>
      <c r="F185" s="12">
        <f t="shared" si="26"/>
        <v>160802.94527527119</v>
      </c>
      <c r="G185" s="12">
        <f t="shared" si="26"/>
        <v>19874.521326157141</v>
      </c>
      <c r="H185" s="9"/>
      <c r="I185" s="12">
        <f t="shared" si="21"/>
        <v>296.17861308727277</v>
      </c>
      <c r="J185" s="12">
        <f t="shared" si="22"/>
        <v>1460.1706005530809</v>
      </c>
      <c r="K185" s="12">
        <f t="shared" si="23"/>
        <v>180.47052366386413</v>
      </c>
    </row>
    <row r="186" spans="2:11" x14ac:dyDescent="0.25">
      <c r="B186" s="10">
        <v>182</v>
      </c>
      <c r="C186" s="21">
        <v>44073</v>
      </c>
      <c r="D186" s="12">
        <f t="shared" si="18"/>
        <v>9386.0080426715995</v>
      </c>
      <c r="E186" s="12">
        <f t="shared" si="19"/>
        <v>46558.699648720663</v>
      </c>
      <c r="F186" s="12">
        <f t="shared" si="26"/>
        <v>162223.23015466076</v>
      </c>
      <c r="G186" s="12">
        <f t="shared" si="26"/>
        <v>20050.062153946863</v>
      </c>
      <c r="H186" s="9"/>
      <c r="I186" s="12">
        <f t="shared" si="21"/>
        <v>279.75414052127206</v>
      </c>
      <c r="J186" s="12">
        <f t="shared" si="22"/>
        <v>1420.2848793895675</v>
      </c>
      <c r="K186" s="12">
        <f t="shared" si="23"/>
        <v>175.54082778972199</v>
      </c>
    </row>
    <row r="187" spans="2:11" x14ac:dyDescent="0.25">
      <c r="B187" s="10">
        <v>183</v>
      </c>
      <c r="C187" s="13">
        <v>44074</v>
      </c>
      <c r="D187" s="12">
        <f t="shared" si="18"/>
        <v>9121.6060226272002</v>
      </c>
      <c r="E187" s="12">
        <f t="shared" si="19"/>
        <v>45271.145013807705</v>
      </c>
      <c r="F187" s="12">
        <f t="shared" si="26"/>
        <v>163604.47157757281</v>
      </c>
      <c r="G187" s="12">
        <f t="shared" si="26"/>
        <v>20220.777385992173</v>
      </c>
      <c r="H187" s="9"/>
      <c r="I187" s="12">
        <f t="shared" si="21"/>
        <v>264.40202004439988</v>
      </c>
      <c r="J187" s="12">
        <f t="shared" si="22"/>
        <v>1381.2414229120463</v>
      </c>
      <c r="K187" s="12">
        <f t="shared" si="23"/>
        <v>170.71523204530925</v>
      </c>
    </row>
    <row r="188" spans="2:11" x14ac:dyDescent="0.25">
      <c r="B188" s="10">
        <v>184</v>
      </c>
      <c r="C188" s="21">
        <v>44075</v>
      </c>
      <c r="D188" s="12">
        <f t="shared" si="18"/>
        <v>8871.5624128252239</v>
      </c>
      <c r="E188" s="12">
        <f t="shared" si="19"/>
        <v>44012.150456482763</v>
      </c>
      <c r="F188" s="12">
        <f t="shared" si="26"/>
        <v>164947.51554631579</v>
      </c>
      <c r="G188" s="12">
        <f t="shared" si="26"/>
        <v>20386.771584376136</v>
      </c>
      <c r="H188" s="9"/>
      <c r="I188" s="12">
        <f t="shared" si="21"/>
        <v>250.04360980197606</v>
      </c>
      <c r="J188" s="12">
        <f t="shared" si="22"/>
        <v>1343.0439687429616</v>
      </c>
      <c r="K188" s="12">
        <f t="shared" si="23"/>
        <v>165.99419838396173</v>
      </c>
    </row>
    <row r="189" spans="2:11" x14ac:dyDescent="0.25">
      <c r="B189" s="10">
        <v>185</v>
      </c>
      <c r="C189" s="21">
        <v>44076</v>
      </c>
      <c r="D189" s="12">
        <f t="shared" si="18"/>
        <v>8634.9560106352237</v>
      </c>
      <c r="E189" s="12">
        <f t="shared" si="19"/>
        <v>42781.685176790008</v>
      </c>
      <c r="F189" s="12">
        <f t="shared" si="26"/>
        <v>166253.20934319144</v>
      </c>
      <c r="G189" s="12">
        <f t="shared" si="26"/>
        <v>20548.149469383239</v>
      </c>
      <c r="H189" s="9"/>
      <c r="I189" s="12">
        <f t="shared" si="21"/>
        <v>236.60640219000084</v>
      </c>
      <c r="J189" s="12">
        <f t="shared" si="22"/>
        <v>1305.6937968756552</v>
      </c>
      <c r="K189" s="12">
        <f t="shared" si="23"/>
        <v>161.3778850071036</v>
      </c>
    </row>
    <row r="190" spans="2:11" x14ac:dyDescent="0.25">
      <c r="B190" s="10">
        <v>186</v>
      </c>
      <c r="C190" s="21">
        <v>44077</v>
      </c>
      <c r="D190" s="12">
        <f t="shared" si="18"/>
        <v>8410.9324636746787</v>
      </c>
      <c r="E190" s="12">
        <f t="shared" si="19"/>
        <v>41579.652551190884</v>
      </c>
      <c r="F190" s="12">
        <f t="shared" si="26"/>
        <v>167522.39933676954</v>
      </c>
      <c r="G190" s="12">
        <f t="shared" si="26"/>
        <v>20705.015648364802</v>
      </c>
      <c r="H190" s="9"/>
      <c r="I190" s="12">
        <f t="shared" si="21"/>
        <v>224.02354696054459</v>
      </c>
      <c r="J190" s="12">
        <f t="shared" si="22"/>
        <v>1269.1899935781034</v>
      </c>
      <c r="K190" s="12">
        <f t="shared" si="23"/>
        <v>156.86617898156348</v>
      </c>
    </row>
    <row r="191" spans="2:11" x14ac:dyDescent="0.25">
      <c r="B191" s="10">
        <v>187</v>
      </c>
      <c r="C191" s="21">
        <v>44078</v>
      </c>
      <c r="D191" s="12">
        <f t="shared" si="18"/>
        <v>8198.6990566999502</v>
      </c>
      <c r="E191" s="12">
        <f t="shared" si="19"/>
        <v>40405.89753979259</v>
      </c>
      <c r="F191" s="12">
        <f t="shared" si="26"/>
        <v>168755.92902912153</v>
      </c>
      <c r="G191" s="12">
        <f t="shared" si="26"/>
        <v>20857.474374385834</v>
      </c>
      <c r="H191" s="9"/>
      <c r="I191" s="12">
        <f t="shared" si="21"/>
        <v>212.23340697472938</v>
      </c>
      <c r="J191" s="12">
        <f t="shared" si="22"/>
        <v>1233.5296923519961</v>
      </c>
      <c r="K191" s="12">
        <f t="shared" si="23"/>
        <v>152.45872602103336</v>
      </c>
    </row>
    <row r="192" spans="2:11" x14ac:dyDescent="0.25">
      <c r="B192" s="10">
        <v>188</v>
      </c>
      <c r="C192" s="21">
        <v>44079</v>
      </c>
      <c r="D192" s="12">
        <f t="shared" si="18"/>
        <v>7997.5199111857019</v>
      </c>
      <c r="E192" s="12">
        <f t="shared" si="19"/>
        <v>39260.213433980411</v>
      </c>
      <c r="F192" s="12">
        <f t="shared" si="26"/>
        <v>169954.63732280204</v>
      </c>
      <c r="G192" s="12">
        <f t="shared" si="26"/>
        <v>21005.629332031742</v>
      </c>
      <c r="H192" s="9"/>
      <c r="I192" s="12">
        <f t="shared" si="21"/>
        <v>201.17914551424795</v>
      </c>
      <c r="J192" s="12">
        <f t="shared" si="22"/>
        <v>1198.7082936805134</v>
      </c>
      <c r="K192" s="12">
        <f t="shared" si="23"/>
        <v>148.15495764590631</v>
      </c>
    </row>
    <row r="193" spans="2:11" x14ac:dyDescent="0.25">
      <c r="B193" s="10">
        <v>189</v>
      </c>
      <c r="C193" s="21">
        <v>44080</v>
      </c>
      <c r="D193" s="12">
        <f t="shared" si="18"/>
        <v>7806.7115673740991</v>
      </c>
      <c r="E193" s="12">
        <f t="shared" si="19"/>
        <v>38142.347996659337</v>
      </c>
      <c r="F193" s="12">
        <f t="shared" si="26"/>
        <v>171119.35698801011</v>
      </c>
      <c r="G193" s="12">
        <f t="shared" si="26"/>
        <v>21149.583447956338</v>
      </c>
      <c r="H193" s="9"/>
      <c r="I193" s="12">
        <f t="shared" si="21"/>
        <v>190.8083438116027</v>
      </c>
      <c r="J193" s="12">
        <f t="shared" si="22"/>
        <v>1164.7196652080854</v>
      </c>
      <c r="K193" s="12">
        <f t="shared" si="23"/>
        <v>143.95411592459496</v>
      </c>
    </row>
    <row r="194" spans="2:11" x14ac:dyDescent="0.25">
      <c r="B194" s="10">
        <v>190</v>
      </c>
      <c r="C194" s="21">
        <v>44081</v>
      </c>
      <c r="D194" s="12">
        <f t="shared" si="18"/>
        <v>7625.63892007903</v>
      </c>
      <c r="E194" s="12">
        <f t="shared" si="19"/>
        <v>37052.009044065766</v>
      </c>
      <c r="F194" s="12">
        <f t="shared" si="26"/>
        <v>172250.91331191102</v>
      </c>
      <c r="G194" s="12">
        <f t="shared" si="26"/>
        <v>21289.438723944088</v>
      </c>
      <c r="H194" s="9"/>
      <c r="I194" s="12">
        <f t="shared" si="21"/>
        <v>181.07264729506946</v>
      </c>
      <c r="J194" s="12">
        <f t="shared" si="22"/>
        <v>1131.5563239008936</v>
      </c>
      <c r="K194" s="12">
        <f t="shared" si="23"/>
        <v>139.85527598775104</v>
      </c>
    </row>
    <row r="195" spans="2:11" x14ac:dyDescent="0.25">
      <c r="B195" s="10">
        <v>191</v>
      </c>
      <c r="C195" s="21">
        <v>44082</v>
      </c>
      <c r="D195" s="12">
        <f t="shared" si="18"/>
        <v>7453.7114811312058</v>
      </c>
      <c r="E195" s="12">
        <f t="shared" si="19"/>
        <v>35988.869514878068</v>
      </c>
      <c r="F195" s="12">
        <f t="shared" si="26"/>
        <v>173350.12291355163</v>
      </c>
      <c r="G195" s="12">
        <f t="shared" si="26"/>
        <v>21425.296090438995</v>
      </c>
      <c r="H195" s="9"/>
      <c r="I195" s="12">
        <f t="shared" si="21"/>
        <v>171.92743894782387</v>
      </c>
      <c r="J195" s="12">
        <f t="shared" si="22"/>
        <v>1099.2096016406176</v>
      </c>
      <c r="K195" s="12">
        <f t="shared" si="23"/>
        <v>135.85736649490792</v>
      </c>
    </row>
    <row r="196" spans="2:11" x14ac:dyDescent="0.25">
      <c r="B196" s="10">
        <v>192</v>
      </c>
      <c r="C196" s="21">
        <v>44083</v>
      </c>
      <c r="D196" s="12">
        <f t="shared" si="18"/>
        <v>7290.3799429949368</v>
      </c>
      <c r="E196" s="12">
        <f t="shared" si="19"/>
        <v>34952.572069185073</v>
      </c>
      <c r="F196" s="12">
        <f t="shared" si="26"/>
        <v>174417.79270915969</v>
      </c>
      <c r="G196" s="12">
        <f t="shared" si="26"/>
        <v>21557.255278660214</v>
      </c>
      <c r="H196" s="9"/>
      <c r="I196" s="12">
        <f t="shared" si="21"/>
        <v>163.33153813626885</v>
      </c>
      <c r="J196" s="12">
        <f t="shared" si="22"/>
        <v>1067.6697956080493</v>
      </c>
      <c r="K196" s="12">
        <f t="shared" si="23"/>
        <v>131.9591882212197</v>
      </c>
    </row>
    <row r="197" spans="2:11" x14ac:dyDescent="0.25">
      <c r="B197" s="10">
        <v>193</v>
      </c>
      <c r="C197" s="21">
        <v>44084</v>
      </c>
      <c r="D197" s="12">
        <f t="shared" si="18"/>
        <v>7135.1330197370798</v>
      </c>
      <c r="E197" s="12">
        <f t="shared" si="19"/>
        <v>33942.733256803433</v>
      </c>
      <c r="F197" s="12">
        <f t="shared" si="26"/>
        <v>175454.71901387884</v>
      </c>
      <c r="G197" s="12">
        <f t="shared" si="26"/>
        <v>21685.41470958056</v>
      </c>
      <c r="H197" s="9"/>
      <c r="I197" s="12">
        <f t="shared" si="21"/>
        <v>155.24692325785665</v>
      </c>
      <c r="J197" s="12">
        <f t="shared" si="22"/>
        <v>1036.9263047191571</v>
      </c>
      <c r="K197" s="12">
        <f t="shared" si="23"/>
        <v>128.15943092034539</v>
      </c>
    </row>
    <row r="198" spans="2:11" x14ac:dyDescent="0.25">
      <c r="B198" s="10">
        <v>194</v>
      </c>
      <c r="C198" s="21">
        <v>44085</v>
      </c>
      <c r="D198" s="12">
        <f t="shared" ref="D198:D204" si="27">D197-I198</f>
        <v>6987.4945431535143</v>
      </c>
      <c r="E198" s="12">
        <f t="shared" ref="E198:E204" si="28">E197+I198-J198-K198</f>
        <v>32958.947291493547</v>
      </c>
      <c r="F198" s="12">
        <f t="shared" ref="F198:G204" si="29">F197+J198</f>
        <v>176461.68676716401</v>
      </c>
      <c r="G198" s="12">
        <f t="shared" si="29"/>
        <v>21809.87139818884</v>
      </c>
      <c r="H198" s="9"/>
      <c r="I198" s="12">
        <f t="shared" ref="I198:I204" si="30">E197*N$6*D197/SUM(D197:F197)*N$7</f>
        <v>147.63847658356553</v>
      </c>
      <c r="J198" s="12">
        <f t="shared" ref="J198:J204" si="31">E197*N$8/N$5</f>
        <v>1006.9677532851684</v>
      </c>
      <c r="K198" s="12">
        <f t="shared" ref="K198:K204" si="32">E197*N$9/N$5</f>
        <v>124.45668860827936</v>
      </c>
    </row>
    <row r="199" spans="2:11" x14ac:dyDescent="0.25">
      <c r="B199" s="10">
        <v>195</v>
      </c>
      <c r="C199" s="21">
        <v>44086</v>
      </c>
      <c r="D199" s="12">
        <f t="shared" si="27"/>
        <v>6847.0207934368791</v>
      </c>
      <c r="E199" s="12">
        <f t="shared" si="28"/>
        <v>32000.789464827063</v>
      </c>
      <c r="F199" s="12">
        <f t="shared" si="29"/>
        <v>177439.46887014498</v>
      </c>
      <c r="G199" s="12">
        <f t="shared" si="29"/>
        <v>21930.720871590984</v>
      </c>
      <c r="H199" s="9"/>
      <c r="I199" s="12">
        <f t="shared" si="30"/>
        <v>140.47374971663513</v>
      </c>
      <c r="J199" s="12">
        <f t="shared" si="31"/>
        <v>977.78210298097508</v>
      </c>
      <c r="K199" s="12">
        <f t="shared" si="32"/>
        <v>120.8494734021431</v>
      </c>
    </row>
    <row r="200" spans="2:11" x14ac:dyDescent="0.25">
      <c r="B200" s="10">
        <v>196</v>
      </c>
      <c r="C200" s="21">
        <v>44087</v>
      </c>
      <c r="D200" s="12">
        <f t="shared" si="27"/>
        <v>6713.2980452860666</v>
      </c>
      <c r="E200" s="12">
        <f t="shared" si="28"/>
        <v>31067.819230816971</v>
      </c>
      <c r="F200" s="12">
        <f t="shared" si="29"/>
        <v>178388.82562426818</v>
      </c>
      <c r="G200" s="12">
        <f t="shared" si="29"/>
        <v>22048.057099628684</v>
      </c>
      <c r="H200" s="9"/>
      <c r="I200" s="12">
        <f t="shared" si="30"/>
        <v>133.72274815081295</v>
      </c>
      <c r="J200" s="12">
        <f t="shared" si="31"/>
        <v>949.35675412320279</v>
      </c>
      <c r="K200" s="12">
        <f t="shared" si="32"/>
        <v>117.33622803769934</v>
      </c>
    </row>
    <row r="201" spans="2:11" x14ac:dyDescent="0.25">
      <c r="B201" s="10">
        <v>197</v>
      </c>
      <c r="C201" s="21">
        <v>44088</v>
      </c>
      <c r="D201" s="12">
        <f t="shared" si="27"/>
        <v>6585.9403118028486</v>
      </c>
      <c r="E201" s="12">
        <f t="shared" si="28"/>
        <v>30159.582989939623</v>
      </c>
      <c r="F201" s="12">
        <f t="shared" si="29"/>
        <v>179310.5042614491</v>
      </c>
      <c r="G201" s="12">
        <f t="shared" si="29"/>
        <v>22161.972436808348</v>
      </c>
      <c r="H201" s="9"/>
      <c r="I201" s="12">
        <f t="shared" si="30"/>
        <v>127.3577334832177</v>
      </c>
      <c r="J201" s="12">
        <f t="shared" si="31"/>
        <v>921.67863718090337</v>
      </c>
      <c r="K201" s="12">
        <f t="shared" si="32"/>
        <v>113.91533717966233</v>
      </c>
    </row>
    <row r="202" spans="2:11" x14ac:dyDescent="0.25">
      <c r="B202" s="10">
        <v>198</v>
      </c>
      <c r="C202" s="21">
        <v>44089</v>
      </c>
      <c r="D202" s="12">
        <f t="shared" si="27"/>
        <v>6464.5872698877756</v>
      </c>
      <c r="E202" s="12">
        <f t="shared" si="28"/>
        <v>29275.616598856708</v>
      </c>
      <c r="F202" s="12">
        <f t="shared" si="29"/>
        <v>180205.23855681729</v>
      </c>
      <c r="G202" s="12">
        <f t="shared" si="29"/>
        <v>22272.557574438128</v>
      </c>
      <c r="H202" s="9"/>
      <c r="I202" s="12">
        <f t="shared" si="30"/>
        <v>121.35304191507277</v>
      </c>
      <c r="J202" s="12">
        <f t="shared" si="31"/>
        <v>894.73429536820879</v>
      </c>
      <c r="K202" s="12">
        <f t="shared" si="32"/>
        <v>110.58513762977871</v>
      </c>
    </row>
    <row r="203" spans="2:11" x14ac:dyDescent="0.25">
      <c r="B203" s="10">
        <v>199</v>
      </c>
      <c r="C203" s="21">
        <v>44090</v>
      </c>
      <c r="D203" s="12">
        <f t="shared" si="27"/>
        <v>6348.9023521327808</v>
      </c>
      <c r="E203" s="12">
        <f t="shared" si="28"/>
        <v>28415.447629983148</v>
      </c>
      <c r="F203" s="12">
        <f t="shared" si="29"/>
        <v>181073.7485159167</v>
      </c>
      <c r="G203" s="12">
        <f t="shared" si="29"/>
        <v>22379.90150196727</v>
      </c>
      <c r="H203" s="9"/>
      <c r="I203" s="12">
        <f t="shared" si="30"/>
        <v>115.68491775499504</v>
      </c>
      <c r="J203" s="12">
        <f t="shared" si="31"/>
        <v>868.5099590994156</v>
      </c>
      <c r="K203" s="12">
        <f t="shared" si="32"/>
        <v>107.34392752914137</v>
      </c>
    </row>
    <row r="204" spans="2:11" x14ac:dyDescent="0.25">
      <c r="B204" s="20">
        <v>200</v>
      </c>
      <c r="C204" s="21">
        <v>44091</v>
      </c>
      <c r="D204" s="12">
        <f t="shared" si="27"/>
        <v>6238.5709914108247</v>
      </c>
      <c r="E204" s="12">
        <f t="shared" si="28"/>
        <v>27578.597403038999</v>
      </c>
      <c r="F204" s="12">
        <f t="shared" si="29"/>
        <v>181916.74012893953</v>
      </c>
      <c r="G204" s="12">
        <f t="shared" si="29"/>
        <v>22484.091476610542</v>
      </c>
      <c r="H204" s="9"/>
      <c r="I204" s="12">
        <f t="shared" si="30"/>
        <v>110.33136072195632</v>
      </c>
      <c r="J204" s="12">
        <f t="shared" si="31"/>
        <v>842.99161302283335</v>
      </c>
      <c r="K204" s="12">
        <f t="shared" si="32"/>
        <v>104.18997464327164</v>
      </c>
    </row>
    <row r="205" spans="2:11" x14ac:dyDescent="0.25">
      <c r="B205" s="19"/>
      <c r="C205" s="1"/>
      <c r="E205" s="12">
        <f>MAX(E4:E204)</f>
        <v>98458.360540461683</v>
      </c>
      <c r="F205" s="31"/>
      <c r="G205" s="31"/>
      <c r="I205" s="12">
        <f>MAX(I4:I204)</f>
        <v>5309.2841353938375</v>
      </c>
      <c r="J205" s="31"/>
      <c r="K205" s="31"/>
    </row>
    <row r="206" spans="2:11" x14ac:dyDescent="0.25">
      <c r="C206" s="1"/>
    </row>
    <row r="207" spans="2:11" x14ac:dyDescent="0.25">
      <c r="C207" s="1"/>
    </row>
    <row r="208" spans="2:11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  <row r="341" spans="3:3" x14ac:dyDescent="0.25">
      <c r="C341" s="1"/>
    </row>
    <row r="342" spans="3:3" x14ac:dyDescent="0.25">
      <c r="C342" s="1"/>
    </row>
    <row r="343" spans="3:3" x14ac:dyDescent="0.25">
      <c r="C343" s="1"/>
    </row>
    <row r="344" spans="3:3" x14ac:dyDescent="0.25">
      <c r="C344" s="1"/>
    </row>
    <row r="345" spans="3:3" x14ac:dyDescent="0.25">
      <c r="C345" s="1"/>
    </row>
    <row r="346" spans="3:3" x14ac:dyDescent="0.25">
      <c r="C346" s="1"/>
    </row>
    <row r="347" spans="3:3" x14ac:dyDescent="0.25">
      <c r="C347" s="1"/>
    </row>
    <row r="348" spans="3:3" x14ac:dyDescent="0.25">
      <c r="C348" s="1"/>
    </row>
    <row r="349" spans="3:3" x14ac:dyDescent="0.25">
      <c r="C349" s="1"/>
    </row>
    <row r="350" spans="3:3" x14ac:dyDescent="0.25">
      <c r="C350" s="1"/>
    </row>
    <row r="351" spans="3:3" x14ac:dyDescent="0.25">
      <c r="C351" s="1"/>
    </row>
    <row r="352" spans="3:3" x14ac:dyDescent="0.25">
      <c r="C352" s="1"/>
    </row>
    <row r="353" spans="3:3" x14ac:dyDescent="0.25">
      <c r="C353" s="1"/>
    </row>
    <row r="354" spans="3:3" x14ac:dyDescent="0.25">
      <c r="C354" s="1"/>
    </row>
    <row r="355" spans="3:3" x14ac:dyDescent="0.25">
      <c r="C355" s="1"/>
    </row>
    <row r="356" spans="3:3" x14ac:dyDescent="0.25">
      <c r="C356" s="1"/>
    </row>
    <row r="357" spans="3:3" x14ac:dyDescent="0.25">
      <c r="C357" s="1"/>
    </row>
    <row r="358" spans="3:3" x14ac:dyDescent="0.25">
      <c r="C358" s="1"/>
    </row>
    <row r="359" spans="3:3" x14ac:dyDescent="0.25">
      <c r="C359" s="1"/>
    </row>
    <row r="360" spans="3:3" x14ac:dyDescent="0.25">
      <c r="C360" s="1"/>
    </row>
    <row r="361" spans="3:3" x14ac:dyDescent="0.25">
      <c r="C361" s="1"/>
    </row>
    <row r="362" spans="3:3" x14ac:dyDescent="0.25">
      <c r="C362" s="1"/>
    </row>
    <row r="363" spans="3:3" x14ac:dyDescent="0.25">
      <c r="C363" s="1"/>
    </row>
    <row r="364" spans="3:3" x14ac:dyDescent="0.25">
      <c r="C364" s="1"/>
    </row>
    <row r="365" spans="3:3" x14ac:dyDescent="0.25">
      <c r="C365" s="1"/>
    </row>
    <row r="366" spans="3:3" x14ac:dyDescent="0.25">
      <c r="C366" s="1"/>
    </row>
    <row r="367" spans="3:3" x14ac:dyDescent="0.25">
      <c r="C367" s="1"/>
    </row>
    <row r="368" spans="3:3" x14ac:dyDescent="0.25">
      <c r="C368" s="1"/>
    </row>
    <row r="369" spans="3:3" x14ac:dyDescent="0.25">
      <c r="C369" s="1"/>
    </row>
    <row r="370" spans="3:3" x14ac:dyDescent="0.25">
      <c r="C370" s="1"/>
    </row>
    <row r="371" spans="3:3" x14ac:dyDescent="0.25">
      <c r="C371" s="1"/>
    </row>
    <row r="372" spans="3:3" x14ac:dyDescent="0.25">
      <c r="C372" s="1"/>
    </row>
    <row r="373" spans="3:3" x14ac:dyDescent="0.25">
      <c r="C373" s="1"/>
    </row>
    <row r="374" spans="3:3" x14ac:dyDescent="0.25">
      <c r="C374" s="1"/>
    </row>
    <row r="375" spans="3:3" x14ac:dyDescent="0.25">
      <c r="C375" s="1"/>
    </row>
    <row r="376" spans="3:3" x14ac:dyDescent="0.25">
      <c r="C376" s="1"/>
    </row>
    <row r="377" spans="3:3" x14ac:dyDescent="0.25">
      <c r="C377" s="1"/>
    </row>
    <row r="378" spans="3:3" x14ac:dyDescent="0.25">
      <c r="C378" s="1"/>
    </row>
    <row r="379" spans="3:3" x14ac:dyDescent="0.25">
      <c r="C379" s="1"/>
    </row>
    <row r="380" spans="3:3" x14ac:dyDescent="0.25">
      <c r="C380" s="1"/>
    </row>
    <row r="381" spans="3:3" x14ac:dyDescent="0.25">
      <c r="C381" s="1"/>
    </row>
    <row r="382" spans="3:3" x14ac:dyDescent="0.25">
      <c r="C382" s="1"/>
    </row>
    <row r="383" spans="3:3" x14ac:dyDescent="0.25">
      <c r="C383" s="1"/>
    </row>
    <row r="384" spans="3:3" x14ac:dyDescent="0.25">
      <c r="C384" s="1"/>
    </row>
    <row r="385" spans="3:3" x14ac:dyDescent="0.25">
      <c r="C385" s="1"/>
    </row>
    <row r="386" spans="3:3" x14ac:dyDescent="0.25">
      <c r="C386" s="1"/>
    </row>
    <row r="387" spans="3:3" x14ac:dyDescent="0.25">
      <c r="C387" s="1"/>
    </row>
    <row r="388" spans="3:3" x14ac:dyDescent="0.25">
      <c r="C388" s="1"/>
    </row>
    <row r="389" spans="3:3" x14ac:dyDescent="0.25">
      <c r="C389" s="1"/>
    </row>
    <row r="390" spans="3:3" x14ac:dyDescent="0.25">
      <c r="C390" s="1"/>
    </row>
    <row r="391" spans="3:3" x14ac:dyDescent="0.25">
      <c r="C391" s="1"/>
    </row>
    <row r="392" spans="3:3" x14ac:dyDescent="0.25">
      <c r="C392" s="1"/>
    </row>
    <row r="393" spans="3:3" x14ac:dyDescent="0.25">
      <c r="C393" s="1"/>
    </row>
    <row r="394" spans="3:3" x14ac:dyDescent="0.25">
      <c r="C394" s="1"/>
    </row>
    <row r="395" spans="3:3" x14ac:dyDescent="0.25">
      <c r="C395" s="1"/>
    </row>
    <row r="396" spans="3:3" x14ac:dyDescent="0.25">
      <c r="C396" s="1"/>
    </row>
    <row r="397" spans="3:3" x14ac:dyDescent="0.25">
      <c r="C397" s="1"/>
    </row>
    <row r="398" spans="3:3" x14ac:dyDescent="0.25">
      <c r="C398" s="1"/>
    </row>
    <row r="399" spans="3:3" x14ac:dyDescent="0.25">
      <c r="C399" s="1"/>
    </row>
    <row r="400" spans="3:3" x14ac:dyDescent="0.25">
      <c r="C400" s="1"/>
    </row>
    <row r="401" spans="3:3" x14ac:dyDescent="0.25">
      <c r="C401" s="1"/>
    </row>
    <row r="402" spans="3:3" x14ac:dyDescent="0.25">
      <c r="C402" s="1"/>
    </row>
    <row r="403" spans="3:3" x14ac:dyDescent="0.25">
      <c r="C403" s="1"/>
    </row>
    <row r="404" spans="3:3" x14ac:dyDescent="0.25">
      <c r="C404" s="1"/>
    </row>
    <row r="405" spans="3:3" x14ac:dyDescent="0.25">
      <c r="C405" s="1"/>
    </row>
    <row r="406" spans="3:3" x14ac:dyDescent="0.25">
      <c r="C406" s="1"/>
    </row>
    <row r="407" spans="3:3" x14ac:dyDescent="0.25">
      <c r="C407" s="1"/>
    </row>
    <row r="408" spans="3:3" x14ac:dyDescent="0.25">
      <c r="C408" s="1"/>
    </row>
    <row r="409" spans="3:3" x14ac:dyDescent="0.25">
      <c r="C409" s="1"/>
    </row>
    <row r="410" spans="3:3" x14ac:dyDescent="0.25">
      <c r="C410" s="1"/>
    </row>
    <row r="411" spans="3:3" x14ac:dyDescent="0.25">
      <c r="C411" s="1"/>
    </row>
    <row r="412" spans="3:3" x14ac:dyDescent="0.25">
      <c r="C412" s="1"/>
    </row>
    <row r="413" spans="3:3" x14ac:dyDescent="0.25">
      <c r="C413" s="1"/>
    </row>
    <row r="414" spans="3:3" x14ac:dyDescent="0.25">
      <c r="C414" s="1"/>
    </row>
    <row r="415" spans="3:3" x14ac:dyDescent="0.25">
      <c r="C415" s="1"/>
    </row>
    <row r="416" spans="3:3" x14ac:dyDescent="0.25">
      <c r="C416" s="1"/>
    </row>
    <row r="417" spans="3:3" x14ac:dyDescent="0.25">
      <c r="C417" s="1"/>
    </row>
    <row r="418" spans="3:3" x14ac:dyDescent="0.25">
      <c r="C418" s="1"/>
    </row>
    <row r="419" spans="3:3" x14ac:dyDescent="0.25">
      <c r="C419" s="1"/>
    </row>
    <row r="420" spans="3:3" x14ac:dyDescent="0.25">
      <c r="C420" s="1"/>
    </row>
    <row r="421" spans="3:3" x14ac:dyDescent="0.25">
      <c r="C421" s="1"/>
    </row>
    <row r="422" spans="3:3" x14ac:dyDescent="0.25">
      <c r="C422" s="1"/>
    </row>
    <row r="423" spans="3:3" x14ac:dyDescent="0.25">
      <c r="C423" s="1"/>
    </row>
    <row r="424" spans="3:3" x14ac:dyDescent="0.25">
      <c r="C424" s="1"/>
    </row>
    <row r="425" spans="3:3" x14ac:dyDescent="0.25">
      <c r="C425" s="1"/>
    </row>
    <row r="426" spans="3:3" x14ac:dyDescent="0.25">
      <c r="C426" s="1"/>
    </row>
    <row r="427" spans="3:3" x14ac:dyDescent="0.25">
      <c r="C427" s="1"/>
    </row>
    <row r="428" spans="3:3" x14ac:dyDescent="0.25">
      <c r="C428" s="1"/>
    </row>
    <row r="429" spans="3:3" x14ac:dyDescent="0.25">
      <c r="C429" s="1"/>
    </row>
    <row r="430" spans="3:3" x14ac:dyDescent="0.25">
      <c r="C430" s="1"/>
    </row>
    <row r="431" spans="3:3" x14ac:dyDescent="0.25">
      <c r="C431" s="1"/>
    </row>
    <row r="432" spans="3:3" x14ac:dyDescent="0.25">
      <c r="C432" s="1"/>
    </row>
    <row r="433" spans="3:3" x14ac:dyDescent="0.25">
      <c r="C433" s="1"/>
    </row>
    <row r="434" spans="3:3" x14ac:dyDescent="0.25">
      <c r="C434" s="1"/>
    </row>
    <row r="435" spans="3:3" x14ac:dyDescent="0.25">
      <c r="C435" s="1"/>
    </row>
    <row r="436" spans="3:3" x14ac:dyDescent="0.25">
      <c r="C436" s="1"/>
    </row>
    <row r="437" spans="3:3" x14ac:dyDescent="0.25">
      <c r="C437" s="1"/>
    </row>
    <row r="438" spans="3:3" x14ac:dyDescent="0.25">
      <c r="C438" s="1"/>
    </row>
    <row r="439" spans="3:3" x14ac:dyDescent="0.25">
      <c r="C439" s="1"/>
    </row>
    <row r="440" spans="3:3" x14ac:dyDescent="0.25">
      <c r="C440" s="1"/>
    </row>
    <row r="441" spans="3:3" x14ac:dyDescent="0.25">
      <c r="C441" s="1"/>
    </row>
    <row r="442" spans="3:3" x14ac:dyDescent="0.25">
      <c r="C442" s="1"/>
    </row>
    <row r="443" spans="3:3" x14ac:dyDescent="0.25">
      <c r="C443" s="1"/>
    </row>
    <row r="444" spans="3:3" x14ac:dyDescent="0.25">
      <c r="C444" s="1"/>
    </row>
    <row r="445" spans="3:3" x14ac:dyDescent="0.25">
      <c r="C445" s="1"/>
    </row>
    <row r="446" spans="3:3" x14ac:dyDescent="0.25">
      <c r="C446" s="1"/>
    </row>
    <row r="447" spans="3:3" x14ac:dyDescent="0.25">
      <c r="C447" s="1"/>
    </row>
    <row r="448" spans="3:3" x14ac:dyDescent="0.25">
      <c r="C448" s="1"/>
    </row>
    <row r="449" spans="3:3" x14ac:dyDescent="0.25">
      <c r="C449" s="1"/>
    </row>
    <row r="450" spans="3:3" x14ac:dyDescent="0.25">
      <c r="C450" s="1"/>
    </row>
    <row r="451" spans="3:3" x14ac:dyDescent="0.25">
      <c r="C451" s="1"/>
    </row>
    <row r="452" spans="3:3" x14ac:dyDescent="0.25">
      <c r="C452" s="1"/>
    </row>
    <row r="453" spans="3:3" x14ac:dyDescent="0.25">
      <c r="C453" s="1"/>
    </row>
    <row r="454" spans="3:3" x14ac:dyDescent="0.25">
      <c r="C454" s="1"/>
    </row>
    <row r="455" spans="3:3" x14ac:dyDescent="0.25">
      <c r="C455" s="1"/>
    </row>
    <row r="456" spans="3:3" x14ac:dyDescent="0.25">
      <c r="C456" s="1"/>
    </row>
    <row r="457" spans="3:3" x14ac:dyDescent="0.25">
      <c r="C457" s="1"/>
    </row>
    <row r="458" spans="3:3" x14ac:dyDescent="0.25">
      <c r="C458" s="1"/>
    </row>
    <row r="459" spans="3:3" x14ac:dyDescent="0.25">
      <c r="C459" s="1"/>
    </row>
    <row r="460" spans="3:3" x14ac:dyDescent="0.25">
      <c r="C460" s="1"/>
    </row>
    <row r="461" spans="3:3" x14ac:dyDescent="0.25">
      <c r="C461" s="1"/>
    </row>
    <row r="462" spans="3:3" x14ac:dyDescent="0.25">
      <c r="C462" s="1"/>
    </row>
    <row r="463" spans="3:3" x14ac:dyDescent="0.25">
      <c r="C463" s="1"/>
    </row>
    <row r="464" spans="3:3" x14ac:dyDescent="0.25">
      <c r="C464" s="1"/>
    </row>
    <row r="465" spans="3:3" x14ac:dyDescent="0.25">
      <c r="C465" s="1"/>
    </row>
    <row r="466" spans="3:3" x14ac:dyDescent="0.25">
      <c r="C466" s="1"/>
    </row>
    <row r="467" spans="3:3" x14ac:dyDescent="0.25">
      <c r="C467" s="1"/>
    </row>
    <row r="468" spans="3:3" x14ac:dyDescent="0.25">
      <c r="C468" s="1"/>
    </row>
    <row r="469" spans="3:3" x14ac:dyDescent="0.25">
      <c r="C469" s="1"/>
    </row>
    <row r="470" spans="3:3" x14ac:dyDescent="0.25">
      <c r="C470" s="1"/>
    </row>
    <row r="471" spans="3:3" x14ac:dyDescent="0.25">
      <c r="C471" s="1"/>
    </row>
    <row r="472" spans="3:3" x14ac:dyDescent="0.25">
      <c r="C472" s="1"/>
    </row>
    <row r="473" spans="3:3" x14ac:dyDescent="0.25">
      <c r="C473" s="1"/>
    </row>
    <row r="474" spans="3:3" x14ac:dyDescent="0.25">
      <c r="C474" s="1"/>
    </row>
    <row r="475" spans="3:3" x14ac:dyDescent="0.25">
      <c r="C475" s="1"/>
    </row>
    <row r="476" spans="3:3" x14ac:dyDescent="0.25">
      <c r="C476" s="1"/>
    </row>
    <row r="477" spans="3:3" x14ac:dyDescent="0.25">
      <c r="C477" s="1"/>
    </row>
    <row r="478" spans="3:3" x14ac:dyDescent="0.25">
      <c r="C478" s="1"/>
    </row>
    <row r="479" spans="3:3" x14ac:dyDescent="0.25">
      <c r="C479" s="1"/>
    </row>
    <row r="480" spans="3:3" x14ac:dyDescent="0.25">
      <c r="C480" s="1"/>
    </row>
    <row r="481" spans="3:3" x14ac:dyDescent="0.25">
      <c r="C481" s="1"/>
    </row>
    <row r="482" spans="3:3" x14ac:dyDescent="0.25">
      <c r="C482" s="1"/>
    </row>
    <row r="483" spans="3:3" x14ac:dyDescent="0.25">
      <c r="C483" s="1"/>
    </row>
    <row r="484" spans="3:3" x14ac:dyDescent="0.25">
      <c r="C484" s="1"/>
    </row>
    <row r="485" spans="3:3" x14ac:dyDescent="0.25">
      <c r="C485" s="1"/>
    </row>
    <row r="486" spans="3:3" x14ac:dyDescent="0.25">
      <c r="C486" s="1"/>
    </row>
    <row r="487" spans="3:3" x14ac:dyDescent="0.25">
      <c r="C487" s="1"/>
    </row>
    <row r="488" spans="3:3" x14ac:dyDescent="0.25">
      <c r="C488" s="1"/>
    </row>
    <row r="489" spans="3:3" x14ac:dyDescent="0.25">
      <c r="C489" s="1"/>
    </row>
    <row r="490" spans="3:3" x14ac:dyDescent="0.25">
      <c r="C490" s="1"/>
    </row>
    <row r="491" spans="3:3" x14ac:dyDescent="0.25">
      <c r="C491" s="1"/>
    </row>
    <row r="492" spans="3:3" x14ac:dyDescent="0.25">
      <c r="C492" s="1"/>
    </row>
    <row r="493" spans="3:3" x14ac:dyDescent="0.25">
      <c r="C493" s="1"/>
    </row>
    <row r="494" spans="3:3" x14ac:dyDescent="0.25">
      <c r="C494" s="1"/>
    </row>
    <row r="495" spans="3:3" x14ac:dyDescent="0.25">
      <c r="C495" s="1"/>
    </row>
    <row r="496" spans="3:3" x14ac:dyDescent="0.25">
      <c r="C496" s="1"/>
    </row>
    <row r="497" spans="3:3" x14ac:dyDescent="0.25">
      <c r="C497" s="1"/>
    </row>
    <row r="498" spans="3:3" x14ac:dyDescent="0.25">
      <c r="C498" s="1"/>
    </row>
    <row r="499" spans="3:3" x14ac:dyDescent="0.25">
      <c r="C499" s="1"/>
    </row>
    <row r="500" spans="3:3" x14ac:dyDescent="0.25">
      <c r="C500" s="1"/>
    </row>
    <row r="501" spans="3:3" x14ac:dyDescent="0.25">
      <c r="C501" s="1"/>
    </row>
    <row r="502" spans="3:3" x14ac:dyDescent="0.25">
      <c r="C502" s="1"/>
    </row>
    <row r="503" spans="3:3" x14ac:dyDescent="0.25">
      <c r="C503" s="1"/>
    </row>
    <row r="504" spans="3:3" x14ac:dyDescent="0.25">
      <c r="C504" s="1"/>
    </row>
    <row r="505" spans="3:3" x14ac:dyDescent="0.25">
      <c r="C505" s="1"/>
    </row>
    <row r="506" spans="3:3" x14ac:dyDescent="0.25">
      <c r="C506" s="1"/>
    </row>
    <row r="507" spans="3:3" x14ac:dyDescent="0.25">
      <c r="C507" s="1"/>
    </row>
    <row r="508" spans="3:3" x14ac:dyDescent="0.25">
      <c r="C508" s="1"/>
    </row>
    <row r="509" spans="3:3" x14ac:dyDescent="0.25">
      <c r="C509" s="1"/>
    </row>
    <row r="510" spans="3:3" x14ac:dyDescent="0.25">
      <c r="C510" s="1"/>
    </row>
    <row r="511" spans="3:3" x14ac:dyDescent="0.25">
      <c r="C511" s="1"/>
    </row>
    <row r="512" spans="3:3" x14ac:dyDescent="0.25">
      <c r="C512" s="1"/>
    </row>
    <row r="513" spans="3:3" x14ac:dyDescent="0.25">
      <c r="C513" s="1"/>
    </row>
    <row r="514" spans="3:3" x14ac:dyDescent="0.25">
      <c r="C514" s="1"/>
    </row>
    <row r="515" spans="3:3" x14ac:dyDescent="0.25">
      <c r="C515" s="1"/>
    </row>
    <row r="516" spans="3:3" x14ac:dyDescent="0.25">
      <c r="C516" s="1"/>
    </row>
    <row r="517" spans="3:3" x14ac:dyDescent="0.25">
      <c r="C517" s="1"/>
    </row>
    <row r="518" spans="3:3" x14ac:dyDescent="0.25">
      <c r="C518" s="1"/>
    </row>
    <row r="519" spans="3:3" x14ac:dyDescent="0.25">
      <c r="C519" s="1"/>
    </row>
    <row r="520" spans="3:3" x14ac:dyDescent="0.25">
      <c r="C520" s="1"/>
    </row>
    <row r="521" spans="3:3" x14ac:dyDescent="0.25">
      <c r="C521" s="1"/>
    </row>
    <row r="522" spans="3:3" x14ac:dyDescent="0.25">
      <c r="C522" s="1"/>
    </row>
    <row r="523" spans="3:3" x14ac:dyDescent="0.25">
      <c r="C523" s="1"/>
    </row>
    <row r="524" spans="3:3" x14ac:dyDescent="0.25">
      <c r="C524" s="1"/>
    </row>
    <row r="525" spans="3:3" x14ac:dyDescent="0.25">
      <c r="C525" s="1"/>
    </row>
    <row r="526" spans="3:3" x14ac:dyDescent="0.25">
      <c r="C526" s="1"/>
    </row>
    <row r="527" spans="3:3" x14ac:dyDescent="0.25">
      <c r="C527" s="1"/>
    </row>
    <row r="528" spans="3:3" x14ac:dyDescent="0.25">
      <c r="C528" s="1"/>
    </row>
    <row r="529" spans="3:3" x14ac:dyDescent="0.25">
      <c r="C529" s="1"/>
    </row>
    <row r="530" spans="3:3" x14ac:dyDescent="0.25">
      <c r="C530" s="1"/>
    </row>
    <row r="531" spans="3:3" x14ac:dyDescent="0.25">
      <c r="C531" s="1"/>
    </row>
    <row r="532" spans="3:3" x14ac:dyDescent="0.25">
      <c r="C532" s="1"/>
    </row>
    <row r="533" spans="3:3" x14ac:dyDescent="0.25">
      <c r="C533" s="1"/>
    </row>
    <row r="534" spans="3:3" x14ac:dyDescent="0.25">
      <c r="C534" s="1"/>
    </row>
    <row r="535" spans="3:3" x14ac:dyDescent="0.25">
      <c r="C535" s="1"/>
    </row>
    <row r="536" spans="3:3" x14ac:dyDescent="0.25">
      <c r="C536" s="1"/>
    </row>
    <row r="537" spans="3:3" x14ac:dyDescent="0.25">
      <c r="C537" s="1"/>
    </row>
    <row r="538" spans="3:3" x14ac:dyDescent="0.25">
      <c r="C538" s="1"/>
    </row>
    <row r="539" spans="3:3" x14ac:dyDescent="0.25">
      <c r="C539" s="1"/>
    </row>
    <row r="540" spans="3:3" x14ac:dyDescent="0.25">
      <c r="C540" s="1"/>
    </row>
    <row r="541" spans="3:3" x14ac:dyDescent="0.25">
      <c r="C541" s="1"/>
    </row>
    <row r="542" spans="3:3" x14ac:dyDescent="0.25">
      <c r="C542" s="1"/>
    </row>
    <row r="543" spans="3:3" x14ac:dyDescent="0.25">
      <c r="C543" s="1"/>
    </row>
    <row r="544" spans="3:3" x14ac:dyDescent="0.25">
      <c r="C544" s="1"/>
    </row>
    <row r="545" spans="3:3" x14ac:dyDescent="0.25">
      <c r="C545" s="1"/>
    </row>
    <row r="546" spans="3:3" x14ac:dyDescent="0.25">
      <c r="C546" s="1"/>
    </row>
    <row r="547" spans="3:3" x14ac:dyDescent="0.25">
      <c r="C547" s="1"/>
    </row>
    <row r="548" spans="3:3" x14ac:dyDescent="0.25">
      <c r="C548" s="1"/>
    </row>
    <row r="549" spans="3:3" x14ac:dyDescent="0.25">
      <c r="C549" s="1"/>
    </row>
    <row r="550" spans="3:3" x14ac:dyDescent="0.25">
      <c r="C550" s="1"/>
    </row>
    <row r="551" spans="3:3" x14ac:dyDescent="0.25">
      <c r="C551" s="1"/>
    </row>
    <row r="552" spans="3:3" x14ac:dyDescent="0.25">
      <c r="C552" s="1"/>
    </row>
    <row r="553" spans="3:3" x14ac:dyDescent="0.25">
      <c r="C553" s="1"/>
    </row>
    <row r="554" spans="3:3" x14ac:dyDescent="0.25">
      <c r="C554" s="1"/>
    </row>
    <row r="555" spans="3:3" x14ac:dyDescent="0.25">
      <c r="C555" s="1"/>
    </row>
    <row r="556" spans="3:3" x14ac:dyDescent="0.25">
      <c r="C556" s="1"/>
    </row>
    <row r="557" spans="3:3" x14ac:dyDescent="0.25">
      <c r="C557" s="1"/>
    </row>
    <row r="558" spans="3:3" x14ac:dyDescent="0.25">
      <c r="C558" s="1"/>
    </row>
    <row r="559" spans="3:3" x14ac:dyDescent="0.25">
      <c r="C559" s="1"/>
    </row>
    <row r="560" spans="3:3" x14ac:dyDescent="0.25">
      <c r="C560" s="1"/>
    </row>
    <row r="561" spans="3:3" x14ac:dyDescent="0.25">
      <c r="C561" s="1"/>
    </row>
    <row r="562" spans="3:3" x14ac:dyDescent="0.25">
      <c r="C562" s="1"/>
    </row>
    <row r="563" spans="3:3" x14ac:dyDescent="0.25">
      <c r="C563" s="1"/>
    </row>
    <row r="564" spans="3:3" x14ac:dyDescent="0.25">
      <c r="C564" s="1"/>
    </row>
    <row r="565" spans="3:3" x14ac:dyDescent="0.25">
      <c r="C565" s="1"/>
    </row>
    <row r="566" spans="3:3" x14ac:dyDescent="0.25">
      <c r="C566" s="1"/>
    </row>
    <row r="567" spans="3:3" x14ac:dyDescent="0.25">
      <c r="C567" s="1"/>
    </row>
    <row r="568" spans="3:3" x14ac:dyDescent="0.25">
      <c r="C568" s="1"/>
    </row>
    <row r="569" spans="3:3" x14ac:dyDescent="0.25">
      <c r="C569" s="1"/>
    </row>
    <row r="570" spans="3:3" x14ac:dyDescent="0.25">
      <c r="C570" s="1"/>
    </row>
    <row r="571" spans="3:3" x14ac:dyDescent="0.25">
      <c r="C571" s="1"/>
    </row>
    <row r="572" spans="3:3" x14ac:dyDescent="0.25">
      <c r="C572" s="1"/>
    </row>
    <row r="573" spans="3:3" x14ac:dyDescent="0.25">
      <c r="C573" s="1"/>
    </row>
    <row r="574" spans="3:3" x14ac:dyDescent="0.25">
      <c r="C574" s="1"/>
    </row>
    <row r="575" spans="3:3" x14ac:dyDescent="0.25">
      <c r="C575" s="1"/>
    </row>
    <row r="576" spans="3:3" x14ac:dyDescent="0.25">
      <c r="C576" s="1"/>
    </row>
    <row r="577" spans="3:3" x14ac:dyDescent="0.25">
      <c r="C577" s="1"/>
    </row>
    <row r="578" spans="3:3" x14ac:dyDescent="0.25">
      <c r="C578" s="1"/>
    </row>
    <row r="579" spans="3:3" x14ac:dyDescent="0.25">
      <c r="C579" s="1"/>
    </row>
    <row r="580" spans="3:3" x14ac:dyDescent="0.25">
      <c r="C580" s="1"/>
    </row>
    <row r="581" spans="3:3" x14ac:dyDescent="0.25">
      <c r="C581" s="1"/>
    </row>
    <row r="582" spans="3:3" x14ac:dyDescent="0.25">
      <c r="C582" s="1"/>
    </row>
    <row r="583" spans="3:3" x14ac:dyDescent="0.25">
      <c r="C583" s="1"/>
    </row>
    <row r="584" spans="3:3" x14ac:dyDescent="0.25">
      <c r="C584" s="1"/>
    </row>
    <row r="585" spans="3:3" x14ac:dyDescent="0.25">
      <c r="C585" s="1"/>
    </row>
    <row r="586" spans="3:3" x14ac:dyDescent="0.25">
      <c r="C586" s="1"/>
    </row>
    <row r="587" spans="3:3" x14ac:dyDescent="0.25">
      <c r="C587" s="1"/>
    </row>
    <row r="588" spans="3:3" x14ac:dyDescent="0.25">
      <c r="C588" s="1"/>
    </row>
    <row r="589" spans="3:3" x14ac:dyDescent="0.25">
      <c r="C589" s="1"/>
    </row>
    <row r="590" spans="3:3" x14ac:dyDescent="0.25">
      <c r="C590" s="1"/>
    </row>
    <row r="591" spans="3:3" x14ac:dyDescent="0.25">
      <c r="C591" s="1"/>
    </row>
    <row r="592" spans="3:3" x14ac:dyDescent="0.25">
      <c r="C592" s="1"/>
    </row>
    <row r="593" spans="3:3" x14ac:dyDescent="0.25">
      <c r="C593" s="1"/>
    </row>
    <row r="594" spans="3:3" x14ac:dyDescent="0.25">
      <c r="C594" s="1"/>
    </row>
    <row r="595" spans="3:3" x14ac:dyDescent="0.25">
      <c r="C595" s="1"/>
    </row>
    <row r="596" spans="3:3" x14ac:dyDescent="0.25">
      <c r="C596" s="1"/>
    </row>
    <row r="597" spans="3:3" x14ac:dyDescent="0.25">
      <c r="C597" s="1"/>
    </row>
    <row r="598" spans="3:3" x14ac:dyDescent="0.25">
      <c r="C598" s="1"/>
    </row>
    <row r="599" spans="3:3" x14ac:dyDescent="0.25">
      <c r="C599" s="1"/>
    </row>
    <row r="600" spans="3:3" x14ac:dyDescent="0.25">
      <c r="C600" s="1"/>
    </row>
    <row r="601" spans="3:3" x14ac:dyDescent="0.25">
      <c r="C601" s="1"/>
    </row>
    <row r="602" spans="3:3" x14ac:dyDescent="0.25">
      <c r="C602" s="1"/>
    </row>
    <row r="603" spans="3:3" x14ac:dyDescent="0.25">
      <c r="C603" s="1"/>
    </row>
    <row r="604" spans="3:3" x14ac:dyDescent="0.25">
      <c r="C604" s="1"/>
    </row>
    <row r="605" spans="3:3" x14ac:dyDescent="0.25">
      <c r="C605" s="1"/>
    </row>
    <row r="606" spans="3:3" x14ac:dyDescent="0.25">
      <c r="C606" s="1"/>
    </row>
    <row r="607" spans="3:3" x14ac:dyDescent="0.25">
      <c r="C607" s="1"/>
    </row>
    <row r="608" spans="3:3" x14ac:dyDescent="0.25">
      <c r="C608" s="1"/>
    </row>
    <row r="609" spans="3:3" x14ac:dyDescent="0.25">
      <c r="C609" s="1"/>
    </row>
    <row r="610" spans="3:3" x14ac:dyDescent="0.25">
      <c r="C610" s="1"/>
    </row>
    <row r="611" spans="3:3" x14ac:dyDescent="0.25">
      <c r="C611" s="1"/>
    </row>
    <row r="612" spans="3:3" x14ac:dyDescent="0.25">
      <c r="C612" s="1"/>
    </row>
    <row r="613" spans="3:3" x14ac:dyDescent="0.25">
      <c r="C613" s="1"/>
    </row>
    <row r="614" spans="3:3" x14ac:dyDescent="0.25">
      <c r="C614" s="1"/>
    </row>
    <row r="615" spans="3:3" x14ac:dyDescent="0.25">
      <c r="C615" s="1"/>
    </row>
    <row r="616" spans="3:3" x14ac:dyDescent="0.25">
      <c r="C616" s="1"/>
    </row>
    <row r="617" spans="3:3" x14ac:dyDescent="0.25">
      <c r="C617" s="1"/>
    </row>
    <row r="618" spans="3:3" x14ac:dyDescent="0.25">
      <c r="C618" s="1"/>
    </row>
    <row r="619" spans="3:3" x14ac:dyDescent="0.25">
      <c r="C619" s="1"/>
    </row>
    <row r="620" spans="3:3" x14ac:dyDescent="0.25">
      <c r="C620" s="1"/>
    </row>
    <row r="621" spans="3:3" x14ac:dyDescent="0.25">
      <c r="C621" s="1"/>
    </row>
    <row r="622" spans="3:3" x14ac:dyDescent="0.25">
      <c r="C622" s="1"/>
    </row>
    <row r="623" spans="3:3" x14ac:dyDescent="0.25">
      <c r="C623" s="1"/>
    </row>
    <row r="624" spans="3:3" x14ac:dyDescent="0.25">
      <c r="C624" s="1"/>
    </row>
    <row r="625" spans="3:3" x14ac:dyDescent="0.25">
      <c r="C625" s="1"/>
    </row>
    <row r="626" spans="3:3" x14ac:dyDescent="0.25">
      <c r="C626" s="1"/>
    </row>
    <row r="627" spans="3:3" x14ac:dyDescent="0.25">
      <c r="C627" s="1"/>
    </row>
    <row r="628" spans="3:3" x14ac:dyDescent="0.25">
      <c r="C628" s="1"/>
    </row>
    <row r="629" spans="3:3" x14ac:dyDescent="0.25">
      <c r="C629" s="1"/>
    </row>
    <row r="630" spans="3:3" x14ac:dyDescent="0.25">
      <c r="C630" s="1"/>
    </row>
    <row r="631" spans="3:3" x14ac:dyDescent="0.25">
      <c r="C631" s="1"/>
    </row>
    <row r="632" spans="3:3" x14ac:dyDescent="0.25">
      <c r="C632" s="1"/>
    </row>
    <row r="633" spans="3:3" x14ac:dyDescent="0.25">
      <c r="C633" s="1"/>
    </row>
    <row r="634" spans="3:3" x14ac:dyDescent="0.25">
      <c r="C634" s="1"/>
    </row>
    <row r="635" spans="3:3" x14ac:dyDescent="0.25">
      <c r="C635" s="1"/>
    </row>
    <row r="636" spans="3:3" x14ac:dyDescent="0.25">
      <c r="C636" s="1"/>
    </row>
    <row r="637" spans="3:3" x14ac:dyDescent="0.25">
      <c r="C637" s="1"/>
    </row>
    <row r="638" spans="3:3" x14ac:dyDescent="0.25">
      <c r="C638" s="1"/>
    </row>
    <row r="639" spans="3:3" x14ac:dyDescent="0.25">
      <c r="C639" s="1"/>
    </row>
    <row r="640" spans="3:3" x14ac:dyDescent="0.25">
      <c r="C640" s="1"/>
    </row>
    <row r="641" spans="3:3" x14ac:dyDescent="0.25">
      <c r="C641" s="1"/>
    </row>
    <row r="642" spans="3:3" x14ac:dyDescent="0.25">
      <c r="C642" s="1"/>
    </row>
    <row r="643" spans="3:3" x14ac:dyDescent="0.25">
      <c r="C643" s="1"/>
    </row>
    <row r="644" spans="3:3" x14ac:dyDescent="0.25">
      <c r="C644" s="1"/>
    </row>
    <row r="645" spans="3:3" x14ac:dyDescent="0.25">
      <c r="C645" s="1"/>
    </row>
    <row r="646" spans="3:3" x14ac:dyDescent="0.25">
      <c r="C646" s="1"/>
    </row>
    <row r="647" spans="3:3" x14ac:dyDescent="0.25">
      <c r="C647" s="1"/>
    </row>
    <row r="648" spans="3:3" x14ac:dyDescent="0.25">
      <c r="C648" s="1"/>
    </row>
    <row r="649" spans="3:3" x14ac:dyDescent="0.25">
      <c r="C649" s="1"/>
    </row>
    <row r="650" spans="3:3" x14ac:dyDescent="0.25">
      <c r="C650" s="1"/>
    </row>
    <row r="651" spans="3:3" x14ac:dyDescent="0.25">
      <c r="C651" s="1"/>
    </row>
    <row r="652" spans="3:3" x14ac:dyDescent="0.25">
      <c r="C652" s="1"/>
    </row>
    <row r="653" spans="3:3" x14ac:dyDescent="0.25">
      <c r="C653" s="1"/>
    </row>
    <row r="654" spans="3:3" x14ac:dyDescent="0.25">
      <c r="C654" s="1"/>
    </row>
    <row r="655" spans="3:3" x14ac:dyDescent="0.25">
      <c r="C655" s="1"/>
    </row>
    <row r="656" spans="3:3" x14ac:dyDescent="0.25">
      <c r="C656" s="1"/>
    </row>
    <row r="657" spans="3:3" x14ac:dyDescent="0.25">
      <c r="C657" s="1"/>
    </row>
    <row r="658" spans="3:3" x14ac:dyDescent="0.25">
      <c r="C658" s="1"/>
    </row>
    <row r="659" spans="3:3" x14ac:dyDescent="0.25">
      <c r="C659" s="1"/>
    </row>
    <row r="660" spans="3:3" x14ac:dyDescent="0.25">
      <c r="C660" s="1"/>
    </row>
    <row r="661" spans="3:3" x14ac:dyDescent="0.25">
      <c r="C661" s="1"/>
    </row>
    <row r="662" spans="3:3" x14ac:dyDescent="0.25">
      <c r="C662" s="1"/>
    </row>
    <row r="663" spans="3:3" x14ac:dyDescent="0.25">
      <c r="C663" s="1"/>
    </row>
    <row r="664" spans="3:3" x14ac:dyDescent="0.25">
      <c r="C664" s="1"/>
    </row>
    <row r="665" spans="3:3" x14ac:dyDescent="0.25">
      <c r="C665" s="1"/>
    </row>
    <row r="666" spans="3:3" x14ac:dyDescent="0.25">
      <c r="C666" s="1"/>
    </row>
    <row r="667" spans="3:3" x14ac:dyDescent="0.25">
      <c r="C667" s="1"/>
    </row>
    <row r="668" spans="3:3" x14ac:dyDescent="0.25">
      <c r="C668" s="1"/>
    </row>
    <row r="669" spans="3:3" x14ac:dyDescent="0.25">
      <c r="C669" s="1"/>
    </row>
    <row r="670" spans="3:3" x14ac:dyDescent="0.25">
      <c r="C670" s="1"/>
    </row>
    <row r="671" spans="3:3" x14ac:dyDescent="0.25">
      <c r="C671" s="1"/>
    </row>
    <row r="672" spans="3:3" x14ac:dyDescent="0.25">
      <c r="C672" s="1"/>
    </row>
    <row r="673" spans="3:3" x14ac:dyDescent="0.25">
      <c r="C673" s="1"/>
    </row>
    <row r="674" spans="3:3" x14ac:dyDescent="0.25">
      <c r="C674" s="1"/>
    </row>
    <row r="675" spans="3:3" x14ac:dyDescent="0.25">
      <c r="C675" s="1"/>
    </row>
    <row r="676" spans="3:3" x14ac:dyDescent="0.25">
      <c r="C676" s="1"/>
    </row>
    <row r="677" spans="3:3" x14ac:dyDescent="0.25">
      <c r="C677" s="1"/>
    </row>
    <row r="678" spans="3:3" x14ac:dyDescent="0.25">
      <c r="C678" s="1"/>
    </row>
    <row r="679" spans="3:3" x14ac:dyDescent="0.25">
      <c r="C679" s="1"/>
    </row>
    <row r="680" spans="3:3" x14ac:dyDescent="0.25">
      <c r="C680" s="1"/>
    </row>
    <row r="681" spans="3:3" x14ac:dyDescent="0.25">
      <c r="C681" s="1"/>
    </row>
    <row r="682" spans="3:3" x14ac:dyDescent="0.25">
      <c r="C682" s="1"/>
    </row>
    <row r="683" spans="3:3" x14ac:dyDescent="0.25">
      <c r="C683" s="1"/>
    </row>
    <row r="684" spans="3:3" x14ac:dyDescent="0.25">
      <c r="C684" s="1"/>
    </row>
    <row r="685" spans="3:3" x14ac:dyDescent="0.25">
      <c r="C685" s="1"/>
    </row>
    <row r="686" spans="3:3" x14ac:dyDescent="0.25">
      <c r="C686" s="1"/>
    </row>
    <row r="687" spans="3:3" x14ac:dyDescent="0.25">
      <c r="C687" s="1"/>
    </row>
    <row r="688" spans="3:3" x14ac:dyDescent="0.25">
      <c r="C688" s="1"/>
    </row>
    <row r="689" spans="3:3" x14ac:dyDescent="0.25">
      <c r="C689" s="1"/>
    </row>
    <row r="690" spans="3:3" x14ac:dyDescent="0.25">
      <c r="C690" s="1"/>
    </row>
    <row r="691" spans="3:3" x14ac:dyDescent="0.25">
      <c r="C691" s="1"/>
    </row>
    <row r="692" spans="3:3" x14ac:dyDescent="0.25">
      <c r="C692" s="1"/>
    </row>
    <row r="693" spans="3:3" x14ac:dyDescent="0.25">
      <c r="C693" s="1"/>
    </row>
    <row r="694" spans="3:3" x14ac:dyDescent="0.25">
      <c r="C694" s="1"/>
    </row>
    <row r="695" spans="3:3" x14ac:dyDescent="0.25">
      <c r="C695" s="1"/>
    </row>
    <row r="696" spans="3:3" x14ac:dyDescent="0.25">
      <c r="C696" s="1"/>
    </row>
    <row r="697" spans="3:3" x14ac:dyDescent="0.25">
      <c r="C697" s="1"/>
    </row>
    <row r="698" spans="3:3" x14ac:dyDescent="0.25">
      <c r="C698" s="1"/>
    </row>
    <row r="699" spans="3:3" x14ac:dyDescent="0.25">
      <c r="C699" s="1"/>
    </row>
    <row r="700" spans="3:3" x14ac:dyDescent="0.25">
      <c r="C700" s="1"/>
    </row>
    <row r="701" spans="3:3" x14ac:dyDescent="0.25">
      <c r="C701" s="1"/>
    </row>
    <row r="702" spans="3:3" x14ac:dyDescent="0.25">
      <c r="C702" s="1"/>
    </row>
    <row r="703" spans="3:3" x14ac:dyDescent="0.25">
      <c r="C703" s="1"/>
    </row>
    <row r="704" spans="3:3" x14ac:dyDescent="0.25">
      <c r="C704" s="1"/>
    </row>
    <row r="705" spans="3:3" x14ac:dyDescent="0.25">
      <c r="C705" s="1"/>
    </row>
    <row r="706" spans="3:3" x14ac:dyDescent="0.25">
      <c r="C706" s="1"/>
    </row>
    <row r="707" spans="3:3" x14ac:dyDescent="0.25">
      <c r="C707" s="1"/>
    </row>
    <row r="708" spans="3:3" x14ac:dyDescent="0.25">
      <c r="C708" s="1"/>
    </row>
    <row r="709" spans="3:3" x14ac:dyDescent="0.25">
      <c r="C709" s="1"/>
    </row>
    <row r="710" spans="3:3" x14ac:dyDescent="0.25">
      <c r="C710" s="1"/>
    </row>
    <row r="711" spans="3:3" x14ac:dyDescent="0.25">
      <c r="C711" s="1"/>
    </row>
    <row r="712" spans="3:3" x14ac:dyDescent="0.25">
      <c r="C712" s="1"/>
    </row>
    <row r="713" spans="3:3" x14ac:dyDescent="0.25">
      <c r="C713" s="1"/>
    </row>
    <row r="714" spans="3:3" x14ac:dyDescent="0.25">
      <c r="C714" s="1"/>
    </row>
    <row r="715" spans="3:3" x14ac:dyDescent="0.25">
      <c r="C715" s="1"/>
    </row>
    <row r="716" spans="3:3" x14ac:dyDescent="0.25">
      <c r="C716" s="1"/>
    </row>
    <row r="717" spans="3:3" x14ac:dyDescent="0.25">
      <c r="C717" s="1"/>
    </row>
    <row r="718" spans="3:3" x14ac:dyDescent="0.25">
      <c r="C718" s="1"/>
    </row>
    <row r="719" spans="3:3" x14ac:dyDescent="0.25">
      <c r="C719" s="1"/>
    </row>
    <row r="720" spans="3:3" x14ac:dyDescent="0.25">
      <c r="C720" s="1"/>
    </row>
    <row r="721" spans="3:3" x14ac:dyDescent="0.25">
      <c r="C721" s="1"/>
    </row>
    <row r="722" spans="3:3" x14ac:dyDescent="0.25">
      <c r="C722" s="1"/>
    </row>
    <row r="723" spans="3:3" x14ac:dyDescent="0.25">
      <c r="C723" s="1"/>
    </row>
    <row r="724" spans="3:3" x14ac:dyDescent="0.25">
      <c r="C724" s="1"/>
    </row>
    <row r="725" spans="3:3" x14ac:dyDescent="0.25">
      <c r="C725" s="1"/>
    </row>
    <row r="726" spans="3:3" x14ac:dyDescent="0.25">
      <c r="C726" s="1"/>
    </row>
    <row r="727" spans="3:3" x14ac:dyDescent="0.25">
      <c r="C727" s="1"/>
    </row>
    <row r="728" spans="3:3" x14ac:dyDescent="0.25">
      <c r="C728" s="1"/>
    </row>
    <row r="729" spans="3:3" x14ac:dyDescent="0.25">
      <c r="C729" s="1"/>
    </row>
    <row r="730" spans="3:3" x14ac:dyDescent="0.25">
      <c r="C730" s="1"/>
    </row>
    <row r="731" spans="3:3" x14ac:dyDescent="0.25">
      <c r="C731" s="1"/>
    </row>
    <row r="732" spans="3:3" x14ac:dyDescent="0.25">
      <c r="C732" s="1"/>
    </row>
    <row r="733" spans="3:3" x14ac:dyDescent="0.25">
      <c r="C733" s="1"/>
    </row>
    <row r="734" spans="3:3" x14ac:dyDescent="0.25">
      <c r="C734" s="1"/>
    </row>
    <row r="735" spans="3:3" x14ac:dyDescent="0.25">
      <c r="C735" s="1"/>
    </row>
    <row r="736" spans="3:3" x14ac:dyDescent="0.25">
      <c r="C736" s="1"/>
    </row>
    <row r="737" spans="3:3" x14ac:dyDescent="0.25">
      <c r="C737" s="1"/>
    </row>
    <row r="738" spans="3:3" x14ac:dyDescent="0.25">
      <c r="C738" s="1"/>
    </row>
    <row r="739" spans="3:3" x14ac:dyDescent="0.25">
      <c r="C739" s="1"/>
    </row>
    <row r="740" spans="3:3" x14ac:dyDescent="0.25">
      <c r="C740" s="1"/>
    </row>
    <row r="741" spans="3:3" x14ac:dyDescent="0.25">
      <c r="C741" s="1"/>
    </row>
    <row r="742" spans="3:3" x14ac:dyDescent="0.25">
      <c r="C742" s="1"/>
    </row>
    <row r="743" spans="3:3" x14ac:dyDescent="0.25">
      <c r="C743" s="1"/>
    </row>
    <row r="744" spans="3:3" x14ac:dyDescent="0.25">
      <c r="C744" s="1"/>
    </row>
    <row r="745" spans="3:3" x14ac:dyDescent="0.25">
      <c r="C745" s="1"/>
    </row>
    <row r="746" spans="3:3" x14ac:dyDescent="0.25">
      <c r="C746" s="1"/>
    </row>
    <row r="747" spans="3:3" x14ac:dyDescent="0.25">
      <c r="C747" s="1"/>
    </row>
    <row r="748" spans="3:3" x14ac:dyDescent="0.25">
      <c r="C748" s="1"/>
    </row>
    <row r="749" spans="3:3" x14ac:dyDescent="0.25">
      <c r="C749" s="1"/>
    </row>
    <row r="750" spans="3:3" x14ac:dyDescent="0.25">
      <c r="C750" s="1"/>
    </row>
    <row r="751" spans="3:3" x14ac:dyDescent="0.25">
      <c r="C751" s="1"/>
    </row>
    <row r="752" spans="3:3" x14ac:dyDescent="0.25">
      <c r="C752" s="1"/>
    </row>
    <row r="753" spans="3:3" x14ac:dyDescent="0.25">
      <c r="C753" s="1"/>
    </row>
    <row r="754" spans="3:3" x14ac:dyDescent="0.25">
      <c r="C754" s="1"/>
    </row>
    <row r="755" spans="3:3" x14ac:dyDescent="0.25">
      <c r="C755" s="1"/>
    </row>
    <row r="756" spans="3:3" x14ac:dyDescent="0.25">
      <c r="C756" s="1"/>
    </row>
    <row r="757" spans="3:3" x14ac:dyDescent="0.25">
      <c r="C757" s="1"/>
    </row>
    <row r="758" spans="3:3" x14ac:dyDescent="0.25">
      <c r="C758" s="1"/>
    </row>
    <row r="759" spans="3:3" x14ac:dyDescent="0.25">
      <c r="C759" s="1"/>
    </row>
    <row r="760" spans="3:3" x14ac:dyDescent="0.25">
      <c r="C760" s="1"/>
    </row>
    <row r="761" spans="3:3" x14ac:dyDescent="0.25">
      <c r="C761" s="1"/>
    </row>
    <row r="762" spans="3:3" x14ac:dyDescent="0.25">
      <c r="C762" s="1"/>
    </row>
  </sheetData>
  <mergeCells count="2">
    <mergeCell ref="D2:G2"/>
    <mergeCell ref="I2:K2"/>
  </mergeCells>
  <pageMargins left="0.7" right="0.7" top="0.75" bottom="0.75" header="0.3" footer="0.3"/>
  <pageSetup orientation="portrait" horizontalDpi="4294967293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7F444-61C7-47D1-BA5D-2CC0F4D23249}">
  <sheetPr codeName="Hoja16"/>
  <dimension ref="B3:G17"/>
  <sheetViews>
    <sheetView workbookViewId="0">
      <selection activeCell="H15" sqref="H15"/>
    </sheetView>
  </sheetViews>
  <sheetFormatPr baseColWidth="10" defaultRowHeight="15" x14ac:dyDescent="0.25"/>
  <cols>
    <col min="2" max="2" width="10.5703125" bestFit="1" customWidth="1"/>
    <col min="3" max="3" width="13.140625" bestFit="1" customWidth="1"/>
    <col min="4" max="4" width="16.42578125" style="6" bestFit="1" customWidth="1"/>
    <col min="6" max="6" width="31.28515625" bestFit="1" customWidth="1"/>
  </cols>
  <sheetData>
    <row r="3" spans="2:7" x14ac:dyDescent="0.25">
      <c r="B3" t="s">
        <v>42</v>
      </c>
      <c r="C3" t="s">
        <v>43</v>
      </c>
      <c r="D3" s="6" t="s">
        <v>45</v>
      </c>
      <c r="F3" s="2" t="s">
        <v>7</v>
      </c>
      <c r="G3" s="18">
        <f>Simulacion!B4</f>
        <v>30</v>
      </c>
    </row>
    <row r="4" spans="2:7" x14ac:dyDescent="0.25">
      <c r="B4" s="9" t="s">
        <v>28</v>
      </c>
      <c r="C4" s="24" t="s">
        <v>44</v>
      </c>
      <c r="D4" s="30">
        <f>Ahuchapan!I205</f>
        <v>7120.236237813574</v>
      </c>
      <c r="F4" s="2" t="s">
        <v>8</v>
      </c>
      <c r="G4" s="3">
        <f>Simulacion!E4</f>
        <v>2</v>
      </c>
    </row>
    <row r="5" spans="2:7" x14ac:dyDescent="0.25">
      <c r="B5" s="9" t="s">
        <v>28</v>
      </c>
      <c r="C5" s="24" t="s">
        <v>29</v>
      </c>
      <c r="D5" s="30">
        <f>'Santa Ana'!I205</f>
        <v>11664.947018637478</v>
      </c>
      <c r="F5" s="2" t="s">
        <v>9</v>
      </c>
      <c r="G5" s="4">
        <f>Simulacion!H4</f>
        <v>6.6000000000000003E-2</v>
      </c>
    </row>
    <row r="6" spans="2:7" x14ac:dyDescent="0.25">
      <c r="B6" s="9" t="s">
        <v>28</v>
      </c>
      <c r="C6" s="24" t="s">
        <v>30</v>
      </c>
      <c r="D6" s="30">
        <f>Sonsonate!I205</f>
        <v>9780.4200482797623</v>
      </c>
      <c r="F6" s="2" t="s">
        <v>10</v>
      </c>
      <c r="G6" s="5">
        <f>Simulacion!K4</f>
        <v>0.8899999999999999</v>
      </c>
    </row>
    <row r="7" spans="2:7" x14ac:dyDescent="0.25">
      <c r="B7" s="9" t="s">
        <v>28</v>
      </c>
      <c r="C7" s="24" t="s">
        <v>31</v>
      </c>
      <c r="D7" s="30">
        <f>Usulutan!I205</f>
        <v>7672.3899284560775</v>
      </c>
      <c r="F7" s="2" t="s">
        <v>11</v>
      </c>
      <c r="G7" s="5">
        <f>Simulacion!N4</f>
        <v>0.1100000000000001</v>
      </c>
    </row>
    <row r="8" spans="2:7" x14ac:dyDescent="0.25">
      <c r="B8" s="9" t="s">
        <v>28</v>
      </c>
      <c r="C8" s="24" t="s">
        <v>32</v>
      </c>
      <c r="D8" s="30">
        <f>'San Miguel'!I205</f>
        <v>9667.7698304075238</v>
      </c>
    </row>
    <row r="9" spans="2:7" x14ac:dyDescent="0.25">
      <c r="B9" s="9" t="s">
        <v>28</v>
      </c>
      <c r="C9" s="24" t="s">
        <v>33</v>
      </c>
      <c r="D9" s="30">
        <f>Morazan!I205</f>
        <v>3887.3575877719068</v>
      </c>
    </row>
    <row r="10" spans="2:7" x14ac:dyDescent="0.25">
      <c r="B10" s="9" t="s">
        <v>28</v>
      </c>
      <c r="C10" s="24" t="s">
        <v>34</v>
      </c>
      <c r="D10" s="30">
        <f>'La Union'!I205</f>
        <v>5309.2841353938375</v>
      </c>
    </row>
    <row r="11" spans="2:7" x14ac:dyDescent="0.25">
      <c r="B11" s="9" t="s">
        <v>28</v>
      </c>
      <c r="C11" s="24" t="s">
        <v>35</v>
      </c>
      <c r="D11" s="30">
        <f>'La Libertad'!I205</f>
        <v>14724.720520340952</v>
      </c>
    </row>
    <row r="12" spans="2:7" x14ac:dyDescent="0.25">
      <c r="B12" s="9" t="s">
        <v>28</v>
      </c>
      <c r="C12" s="24" t="s">
        <v>36</v>
      </c>
      <c r="D12" s="30">
        <f>Chalatenango!I205</f>
        <v>4296.7761631053118</v>
      </c>
    </row>
    <row r="13" spans="2:7" x14ac:dyDescent="0.25">
      <c r="B13" s="9" t="s">
        <v>28</v>
      </c>
      <c r="C13" s="24" t="s">
        <v>37</v>
      </c>
      <c r="D13" s="30">
        <f>Cuscatlan!I205</f>
        <v>4296.7761631053118</v>
      </c>
    </row>
    <row r="14" spans="2:7" x14ac:dyDescent="0.25">
      <c r="B14" s="9" t="s">
        <v>28</v>
      </c>
      <c r="C14" s="24" t="s">
        <v>38</v>
      </c>
      <c r="D14" s="30">
        <f>'San Salvador'!I205</f>
        <v>34927.494035382668</v>
      </c>
    </row>
    <row r="15" spans="2:7" x14ac:dyDescent="0.25">
      <c r="B15" s="9" t="s">
        <v>28</v>
      </c>
      <c r="C15" s="24" t="s">
        <v>39</v>
      </c>
      <c r="D15" s="30">
        <f>'La Paz'!I205</f>
        <v>6866.4111938951974</v>
      </c>
    </row>
    <row r="16" spans="2:7" x14ac:dyDescent="0.25">
      <c r="B16" s="9" t="s">
        <v>28</v>
      </c>
      <c r="C16" s="24" t="s">
        <v>40</v>
      </c>
      <c r="D16" s="30">
        <f>Cabañas!I205</f>
        <v>3328.0555729119483</v>
      </c>
    </row>
    <row r="17" spans="2:4" x14ac:dyDescent="0.25">
      <c r="B17" s="25" t="s">
        <v>28</v>
      </c>
      <c r="C17" s="26" t="s">
        <v>41</v>
      </c>
      <c r="D17" s="33">
        <f>'San Vicente'!I205</f>
        <v>3602.812132139456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B3:Q4"/>
  <sheetViews>
    <sheetView showGridLines="0" tabSelected="1" zoomScale="85" zoomScaleNormal="85" workbookViewId="0">
      <selection activeCell="O7" sqref="O7"/>
    </sheetView>
  </sheetViews>
  <sheetFormatPr baseColWidth="10" defaultRowHeight="15" x14ac:dyDescent="0.25"/>
  <cols>
    <col min="2" max="7" width="5.7109375" customWidth="1"/>
    <col min="8" max="8" width="7.140625" bestFit="1" customWidth="1"/>
    <col min="9" max="10" width="5.7109375" customWidth="1"/>
    <col min="11" max="11" width="7.140625" bestFit="1" customWidth="1"/>
    <col min="12" max="13" width="5.7109375" customWidth="1"/>
    <col min="14" max="14" width="8.140625" bestFit="1" customWidth="1"/>
    <col min="15" max="15" width="5.7109375" customWidth="1"/>
    <col min="16" max="17" width="11.42578125" customWidth="1"/>
  </cols>
  <sheetData>
    <row r="3" spans="2:17" x14ac:dyDescent="0.25">
      <c r="B3" s="27" t="s">
        <v>21</v>
      </c>
      <c r="C3" s="6"/>
      <c r="D3" s="6"/>
      <c r="E3" s="27" t="s">
        <v>22</v>
      </c>
      <c r="F3" s="6"/>
      <c r="G3" s="6"/>
      <c r="H3" s="27" t="s">
        <v>23</v>
      </c>
      <c r="I3" s="6"/>
      <c r="K3" s="27" t="s">
        <v>24</v>
      </c>
      <c r="N3" s="27" t="s">
        <v>25</v>
      </c>
      <c r="Q3" s="22"/>
    </row>
    <row r="4" spans="2:17" x14ac:dyDescent="0.25">
      <c r="B4" s="28">
        <v>30</v>
      </c>
      <c r="C4" s="6"/>
      <c r="D4" s="6"/>
      <c r="E4" s="28">
        <v>2</v>
      </c>
      <c r="F4" s="6">
        <v>-7</v>
      </c>
      <c r="G4" s="6"/>
      <c r="H4" s="29">
        <v>6.6000000000000003E-2</v>
      </c>
      <c r="I4" s="6"/>
      <c r="K4" s="29">
        <v>0.8899999999999999</v>
      </c>
      <c r="N4" s="29">
        <v>0.1100000000000001</v>
      </c>
    </row>
  </sheetData>
  <sheetProtection algorithmName="SHA-512" hashValue="kdoVWn47aLzkSAFltT/eVbsFz6u9JXi+b546qCpgB5JcyDzyiwitxi7vQRp7dS5huZXcCDdwM0TCnR0M2a6ZTQ==" saltValue="WASp8GMdApeB8ZhypjqEQg==" spinCount="100000" sheet="1" objects="1" scenarios="1" selectLockedCells="1" selectUnlockedCells="1"/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52" r:id="rId4" name="spTasaRecuperacion">
          <controlPr defaultSize="0" autoLine="0" r:id="rId5">
            <anchor>
              <from>
                <xdr:col>11</xdr:col>
                <xdr:colOff>180975</xdr:colOff>
                <xdr:row>2</xdr:row>
                <xdr:rowOff>9525</xdr:rowOff>
              </from>
              <to>
                <xdr:col>12</xdr:col>
                <xdr:colOff>180975</xdr:colOff>
                <xdr:row>4</xdr:row>
                <xdr:rowOff>28575</xdr:rowOff>
              </to>
            </anchor>
          </controlPr>
        </control>
      </mc:Choice>
      <mc:Fallback>
        <control shapeId="2052" r:id="rId4" name="spTasaRecuperacion"/>
      </mc:Fallback>
    </mc:AlternateContent>
    <mc:AlternateContent xmlns:mc="http://schemas.openxmlformats.org/markup-compatibility/2006">
      <mc:Choice Requires="x14">
        <control shapeId="2051" r:id="rId6" name="spProDeContagio">
          <controlPr defaultSize="0" autoLine="0" r:id="rId5">
            <anchor>
              <from>
                <xdr:col>8</xdr:col>
                <xdr:colOff>9525</xdr:colOff>
                <xdr:row>1</xdr:row>
                <xdr:rowOff>171450</xdr:rowOff>
              </from>
              <to>
                <xdr:col>9</xdr:col>
                <xdr:colOff>9525</xdr:colOff>
                <xdr:row>4</xdr:row>
                <xdr:rowOff>0</xdr:rowOff>
              </to>
            </anchor>
          </controlPr>
        </control>
      </mc:Choice>
      <mc:Fallback>
        <control shapeId="2051" r:id="rId6" name="spProDeContagio"/>
      </mc:Fallback>
    </mc:AlternateContent>
    <mc:AlternateContent xmlns:mc="http://schemas.openxmlformats.org/markup-compatibility/2006">
      <mc:Choice Requires="x14">
        <control shapeId="2050" r:id="rId7" name="spTasaInteraccion">
          <controlPr defaultSize="0" autoLine="0" r:id="rId8">
            <anchor>
              <from>
                <xdr:col>4</xdr:col>
                <xdr:colOff>371475</xdr:colOff>
                <xdr:row>2</xdr:row>
                <xdr:rowOff>0</xdr:rowOff>
              </from>
              <to>
                <xdr:col>6</xdr:col>
                <xdr:colOff>0</xdr:colOff>
                <xdr:row>4</xdr:row>
                <xdr:rowOff>9525</xdr:rowOff>
              </to>
            </anchor>
          </controlPr>
        </control>
      </mc:Choice>
      <mc:Fallback>
        <control shapeId="2050" r:id="rId7" name="spTasaInteraccion"/>
      </mc:Fallback>
    </mc:AlternateContent>
    <mc:AlternateContent xmlns:mc="http://schemas.openxmlformats.org/markup-compatibility/2006">
      <mc:Choice Requires="x14">
        <control shapeId="2049" r:id="rId9" name="spDuracion">
          <controlPr defaultSize="0" autoLine="0" r:id="rId10">
            <anchor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2049" r:id="rId9" name="spDuracion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B79E2-772E-47A1-B9B5-87CD8D03137A}">
  <sheetPr codeName="Hoja17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56A1388E-2AEB-4C52-9E61-4D0EDDD1BF8D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9736909D-441F-4182-9C8A-8001312F1862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68836365-F5A8-4E90-A1A2-33213B655E4D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Ahuchapan</vt:lpstr>
      <vt:lpstr>Santa Ana</vt:lpstr>
      <vt:lpstr>Sonsonate</vt:lpstr>
      <vt:lpstr>La Libertad</vt:lpstr>
      <vt:lpstr>Chalatenango</vt:lpstr>
      <vt:lpstr>San Salvador</vt:lpstr>
      <vt:lpstr>Cuscatlan</vt:lpstr>
      <vt:lpstr>Cabañas</vt:lpstr>
      <vt:lpstr>La Paz</vt:lpstr>
      <vt:lpstr>San Vicente</vt:lpstr>
      <vt:lpstr>Usulutan</vt:lpstr>
      <vt:lpstr>San Miguel</vt:lpstr>
      <vt:lpstr>Morazan</vt:lpstr>
      <vt:lpstr>La Union</vt:lpstr>
      <vt:lpstr>Datos</vt:lpstr>
      <vt:lpstr>Simulacion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Harold Jeancarlos GT</dc:creator>
  <cp:lastModifiedBy>Harold Jeancarlos GT</cp:lastModifiedBy>
  <dcterms:created xsi:type="dcterms:W3CDTF">2020-06-02T21:55:40Z</dcterms:created>
  <dcterms:modified xsi:type="dcterms:W3CDTF">2020-06-05T02:16:03Z</dcterms:modified>
</cp:coreProperties>
</file>